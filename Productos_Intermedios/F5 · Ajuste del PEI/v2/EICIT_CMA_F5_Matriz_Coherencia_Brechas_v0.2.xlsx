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apa_plantilla" sheetId="2" state="visible" r:id="rId4"/>
    <sheet name="Hallazgos" sheetId="3" state="visible" r:id="rId5"/>
    <sheet name="Pendientes" sheetId="4" state="visible" r:id="rId6"/>
    <sheet name="Paginacion" sheetId="5" state="visible" r:id="rId7"/>
  </sheets>
  <definedNames>
    <definedName function="false" hidden="true" localSheetId="2" name="_xlnm._FilterDatabase" vbProcedure="false">Hallazgos!$A$4:$H$21</definedName>
    <definedName function="false" hidden="true" localSheetId="1" name="_xlnm._FilterDatabase" vbProcedure="false">Mapa_plantilla!$A$4:$F$39</definedName>
    <definedName function="false" hidden="true" localSheetId="4" name="_xlnm._FilterDatabase" vbProcedure="false">Paginacion!$A$4:$D$19</definedName>
    <definedName function="false" hidden="true" localSheetId="3" name="_xlnm._FilterDatabase" vbProcedure="false">Pendientes!$A$4:$G$23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<sst xmlns="http://schemas.openxmlformats.org/spreadsheetml/2006/main" count="535" uniqueCount="335">
  <si>
    <t xml:space="preserve">Matriz de coherencia, brechas y pendientes · PEI CMA · Fase 5</t>
  </si>
  <si>
    <t xml:space="preserve">Colegio María Auxiliadora de Soacha · versión v0.2 del 5 de octubre de 2026 · EICIT propone; el Colegio decide y adopta.</t>
  </si>
  <si>
    <t xml:space="preserve">Ítems de la plantilla mapeados</t>
  </si>
  <si>
    <t xml:space="preserve">— Ajustados o nuevos en la v0.2</t>
  </si>
  <si>
    <t xml:space="preserve">— Completos</t>
  </si>
  <si>
    <t xml:space="preserve">— Existen en el 0K (por revisar o condensar)</t>
  </si>
  <si>
    <t xml:space="preserve">— Faltan</t>
  </si>
  <si>
    <t xml:space="preserve">— No aplican (confirmar)</t>
  </si>
  <si>
    <t xml:space="preserve">Hallazgos registrados</t>
  </si>
  <si>
    <t xml:space="preserve">— Resueltos en la v0.2</t>
  </si>
  <si>
    <t xml:space="preserve">— Pendientes de EICIT</t>
  </si>
  <si>
    <t xml:space="preserve">— Pendientes del Colegio</t>
  </si>
  <si>
    <t xml:space="preserve">Pendientes de datos y documentos</t>
  </si>
  <si>
    <t xml:space="preserve">— Que bloquean la radicación</t>
  </si>
  <si>
    <t xml:space="preserve">Páginas actuales / objetivo / límite</t>
  </si>
  <si>
    <t xml:space="preserve">Fuentes: PEICMASEM-0K, Plantilla-Guía SEM 2026-2027, modelo pedagógico validado, arquitectura v5-def (consenso del 30-sep-2026), icfes.pptx, acta n.º 06, convenio EICIT–CMA, Manual de Convivencia, SIEE y Políticas.</t>
  </si>
  <si>
    <t xml:space="preserve">Mapa de la plantilla de la SEM frente al PEI base (0K) y la v0.2</t>
  </si>
  <si>
    <t xml:space="preserve">Estado: Completo · Ajustado · Existe · Por revisar · Por ajustar · Nuevo · Falta · No aplica. Color de «Lidera»: EICIT navy, ENSMA azul medio, Ambas dorado.</t>
  </si>
  <si>
    <t xml:space="preserve">Gestión</t>
  </si>
  <si>
    <t xml:space="preserve">Ítem de la plantilla SEM</t>
  </si>
  <si>
    <t xml:space="preserve">Sección en el 0K</t>
  </si>
  <si>
    <t xml:space="preserve">Estado</t>
  </si>
  <si>
    <t xml:space="preserve">Observación</t>
  </si>
  <si>
    <t xml:space="preserve">Lidera</t>
  </si>
  <si>
    <t xml:space="preserve">Identidad</t>
  </si>
  <si>
    <t xml:space="preserve">Datos generales</t>
  </si>
  <si>
    <t xml:space="preserve">1.1</t>
  </si>
  <si>
    <t xml:space="preserve">Ajustado</t>
  </si>
  <si>
    <t xml:space="preserve">Completados: DANE, NIT, naturaleza, licencia (Res. 001380/1999), niveles, jornada Única, calendario A, representante legal; totales de matrícula 2026 corregidos y proyección 2027 añadida. Falta la autoridad que expidió la licencia.</t>
  </si>
  <si>
    <t xml:space="preserve">ENSMA</t>
  </si>
  <si>
    <t xml:space="preserve">Reseña histórica</t>
  </si>
  <si>
    <t xml:space="preserve">1.2</t>
  </si>
  <si>
    <t xml:space="preserve">Existe</t>
  </si>
  <si>
    <t xml:space="preserve">Contenido completo; condensar a 1 página al ajustar la extensión.</t>
  </si>
  <si>
    <t xml:space="preserve">Emblemas o símbolos (escudo, bandera, himno)</t>
  </si>
  <si>
    <t xml:space="preserve">1.3</t>
  </si>
  <si>
    <t xml:space="preserve">Completo</t>
  </si>
  <si>
    <t xml:space="preserve">Escudo, bandera e himno ya están en el 0K (pág. 7).</t>
  </si>
  <si>
    <t xml:space="preserve">Gestión Directiva</t>
  </si>
  <si>
    <t xml:space="preserve">Caracterización institucional</t>
  </si>
  <si>
    <t xml:space="preserve">2.1</t>
  </si>
  <si>
    <t xml:space="preserve">Actualizar con Saber 11 de 2026 (hecho en 3.3.3); condensar el diagnóstico externo.</t>
  </si>
  <si>
    <t xml:space="preserve">Ambas</t>
  </si>
  <si>
    <t xml:space="preserve">Filosofía o fundamentos</t>
  </si>
  <si>
    <t xml:space="preserve">2.2</t>
  </si>
  <si>
    <t xml:space="preserve">Se retiró «software» del fundamento epistemológico; condensar (8 pp).</t>
  </si>
  <si>
    <t xml:space="preserve">Horizonte (misión, visión, valores, perfiles)</t>
  </si>
  <si>
    <t xml:space="preserve">2.3</t>
  </si>
  <si>
    <t xml:space="preserve">Misión y visión con media técnica en Analítica de Datos y «Nuevos Patios»; lema en portada; perfiles completos (condensar).</t>
  </si>
  <si>
    <t xml:space="preserve">Políticas institucionales</t>
  </si>
  <si>
    <t xml:space="preserve">2.4</t>
  </si>
  <si>
    <t xml:space="preserve">Por revisar</t>
  </si>
  <si>
    <t xml:space="preserve">El 0K reemplazó dos enlaces por uno; falta contrastar el texto con el PDF «10. Políticas institucionales CMA».</t>
  </si>
  <si>
    <t xml:space="preserve">Política de inclusión</t>
  </si>
  <si>
    <t xml:space="preserve">2.4.4</t>
  </si>
  <si>
    <t xml:space="preserve">Coherente con Decreto 1421/2017; verificar enlace.</t>
  </si>
  <si>
    <t xml:space="preserve">Gobernanza</t>
  </si>
  <si>
    <t xml:space="preserve">2.6</t>
  </si>
  <si>
    <t xml:space="preserve">Numeración desfasada (2.6 en lugar de 2.5).</t>
  </si>
  <si>
    <t xml:space="preserve">EICIT</t>
  </si>
  <si>
    <t xml:space="preserve">Objetivos y metas del PEI</t>
  </si>
  <si>
    <t xml:space="preserve">2.7</t>
  </si>
  <si>
    <t xml:space="preserve">Subnumeración «9.1, 9.2, 9.3» dentro de 2.7; corregir en la auditoría de numeración.</t>
  </si>
  <si>
    <t xml:space="preserve">Gestión Académica</t>
  </si>
  <si>
    <t xml:space="preserve">Lineamientos de la propuesta pedagógica y curricular</t>
  </si>
  <si>
    <t xml:space="preserve">3.1</t>
  </si>
  <si>
    <t xml:space="preserve">Dos apartados «3.1»; condensar (6 pp).</t>
  </si>
  <si>
    <t xml:space="preserve">Modelo y/o enfoque pedagógico</t>
  </si>
  <si>
    <t xml:space="preserve">3.2</t>
  </si>
  <si>
    <t xml:space="preserve">Se añadieron Nuevos Patios, dimensiones y eje vertical de innovación del modelo validado.</t>
  </si>
  <si>
    <t xml:space="preserve">Organización curricular del nivel preescolar</t>
  </si>
  <si>
    <t xml:space="preserve">3.3.1</t>
  </si>
  <si>
    <t xml:space="preserve">Tabla de dimensiones del desarrollo (35 sesiones).</t>
  </si>
  <si>
    <t xml:space="preserve">Plan de estudios de básica y media</t>
  </si>
  <si>
    <t xml:space="preserve">3.3.2 / 3.3.3</t>
  </si>
  <si>
    <t xml:space="preserve">Arquitectura 2027 completa (tiempo, malla por horas, verificación, media técnica, Saber 11, catálogo). Planes de estudio: enlace a Drive, en construcción.</t>
  </si>
  <si>
    <t xml:space="preserve">Programa de educación de jóvenes y adultos (EPJA)</t>
  </si>
  <si>
    <t xml:space="preserve">—</t>
  </si>
  <si>
    <t xml:space="preserve">No aplica</t>
  </si>
  <si>
    <t xml:space="preserve">Confirmar con el Colegio que no lo ofrece.</t>
  </si>
  <si>
    <t xml:space="preserve">Modelo de procesos básicos / aceleración</t>
  </si>
  <si>
    <t xml:space="preserve">Confirmar con el Colegio.</t>
  </si>
  <si>
    <t xml:space="preserve">Proyectos pedagógicos transversales y cátedras</t>
  </si>
  <si>
    <t xml:space="preserve">3.3.4</t>
  </si>
  <si>
    <t xml:space="preserve">Por ajustar</t>
  </si>
  <si>
    <t xml:space="preserve">Añadir Infancia Misionera y la Cátedra de Educación Emocional (Ley 2503/2025) a la tabla.</t>
  </si>
  <si>
    <t xml:space="preserve">Plan de Formación Integral (PTAFI)</t>
  </si>
  <si>
    <t xml:space="preserve">Falta</t>
  </si>
  <si>
    <t xml:space="preserve">La plantilla de la SEM lo lista; no aparece en el 0K. Verificar si aplica.</t>
  </si>
  <si>
    <t xml:space="preserve">SIEE</t>
  </si>
  <si>
    <t xml:space="preserve">3.5</t>
  </si>
  <si>
    <t xml:space="preserve">Versión del 26 de julio de 2026 anexada por enlace; falta la cláusula Ley 2394/2024.</t>
  </si>
  <si>
    <t xml:space="preserve">Gestión de la Comunidad</t>
  </si>
  <si>
    <t xml:space="preserve">Manual de convivencia</t>
  </si>
  <si>
    <t xml:space="preserve">4.1</t>
  </si>
  <si>
    <t xml:space="preserve">Párrafo Ley 2394 insertado con pendiente; el Manual no la contiene; retirar Capítulo 16 (residencias).</t>
  </si>
  <si>
    <t xml:space="preserve">Procesos de articulación</t>
  </si>
  <si>
    <t xml:space="preserve">4.2</t>
  </si>
  <si>
    <t xml:space="preserve">Se corrigió la nota que negaba convenios nuevos; EICIT y SENA integrados.</t>
  </si>
  <si>
    <t xml:space="preserve">Servicio social estudiantil obligatorio</t>
  </si>
  <si>
    <t xml:space="preserve">4.3</t>
  </si>
  <si>
    <t xml:space="preserve">80 horas; condensar (2 pp).</t>
  </si>
  <si>
    <t xml:space="preserve">Alianza familia-escuela</t>
  </si>
  <si>
    <t xml:space="preserve">4.4</t>
  </si>
  <si>
    <t xml:space="preserve">Alinear con Decreto 459/2024 y Circular 0074/2025.</t>
  </si>
  <si>
    <t xml:space="preserve">Acogida a estudiantes nuevos</t>
  </si>
  <si>
    <t xml:space="preserve">4.5</t>
  </si>
  <si>
    <t xml:space="preserve">Ya existe en el PEI (contrario a lo informado); revisar y condensar.</t>
  </si>
  <si>
    <t xml:space="preserve">Seguimiento a egresados</t>
  </si>
  <si>
    <t xml:space="preserve">4.6</t>
  </si>
  <si>
    <t xml:space="preserve">Proyecto institucional de egresadas; añadir seguimiento de la media técnica.</t>
  </si>
  <si>
    <t xml:space="preserve">Plan Escolar de Gestión del Riesgo</t>
  </si>
  <si>
    <t xml:space="preserve">4.7</t>
  </si>
  <si>
    <t xml:space="preserve">Verificar contra Resolución 006519/2025.</t>
  </si>
  <si>
    <t xml:space="preserve">Gestión Administrativa y Financiera</t>
  </si>
  <si>
    <t xml:space="preserve">Diseño organizacional</t>
  </si>
  <si>
    <t xml:space="preserve">5.1</t>
  </si>
  <si>
    <t xml:space="preserve">Condensar.</t>
  </si>
  <si>
    <t xml:space="preserve">Proceso de matrícula (y costos)</t>
  </si>
  <si>
    <t xml:space="preserve">5.2</t>
  </si>
  <si>
    <t xml:space="preserve">Costos 2027 (Acta n.º 06 del 30-sep-2026) añadidos con pendiente de adopción.</t>
  </si>
  <si>
    <t xml:space="preserve">Proceso de validación de grados</t>
  </si>
  <si>
    <t xml:space="preserve">5.2.1</t>
  </si>
  <si>
    <t xml:space="preserve">Nuevo</t>
  </si>
  <si>
    <t xml:space="preserve">El Colegio no lo tiene; texto marcado para decisión (Res. 0644/2026).</t>
  </si>
  <si>
    <t xml:space="preserve">Proceso de actualización y capacitación</t>
  </si>
  <si>
    <t xml:space="preserve">5.3 / 5.4</t>
  </si>
  <si>
    <t xml:space="preserve">Dos apartados «5.4»; incorporar el Diplomado en IA y la formación situada.</t>
  </si>
  <si>
    <t xml:space="preserve">Manual de funciones (EE privados)</t>
  </si>
  <si>
    <t xml:space="preserve">5.4</t>
  </si>
  <si>
    <t xml:space="preserve">Enlace disponible.</t>
  </si>
  <si>
    <t xml:space="preserve">Recursos físicos, tecnológicos, humanos y financieros</t>
  </si>
  <si>
    <t xml:space="preserve">5.5</t>
  </si>
  <si>
    <t xml:space="preserve">La planta (30 docentes, 2 psico-orientadoras, etc.) ya está en el 0K; contrastar el inventario TI del 24-ago-2026.</t>
  </si>
  <si>
    <t xml:space="preserve">Servicios adicionales o complementarios</t>
  </si>
  <si>
    <t xml:space="preserve">5.5.1</t>
  </si>
  <si>
    <t xml:space="preserve">EICIT en cooperación y comodato, sin cobro (pendiente fecha del convenio).</t>
  </si>
  <si>
    <t xml:space="preserve">Herramientas de gestión</t>
  </si>
  <si>
    <t xml:space="preserve">5.6</t>
  </si>
  <si>
    <t xml:space="preserve">Cierre</t>
  </si>
  <si>
    <t xml:space="preserve">Referencias bibliográficas y anexos</t>
  </si>
  <si>
    <t xml:space="preserve">Anexos A–C</t>
  </si>
  <si>
    <t xml:space="preserve">Anexo A (repositorio), B (referentes de la Circular 0064) y C (registro de adopción).</t>
  </si>
  <si>
    <t xml:space="preserve">Hallazgos de coherencia del PEI base (0K) y acciones en la v0.2</t>
  </si>
  <si>
    <t xml:space="preserve">Prioridad: Alta · Media · Baja. Estado: Resuelto en v0.2 · Pendiente EICIT · Pendiente CMA.</t>
  </si>
  <si>
    <t xml:space="preserve">ID</t>
  </si>
  <si>
    <t xml:space="preserve">Prioridad</t>
  </si>
  <si>
    <t xml:space="preserve">Ítem</t>
  </si>
  <si>
    <t xml:space="preserve">Hallazgo</t>
  </si>
  <si>
    <t xml:space="preserve">Evidencia</t>
  </si>
  <si>
    <t xml:space="preserve">Acción en v0.2</t>
  </si>
  <si>
    <t xml:space="preserve">H-01</t>
  </si>
  <si>
    <t xml:space="preserve">Alta</t>
  </si>
  <si>
    <t xml:space="preserve">Forma</t>
  </si>
  <si>
    <t xml:space="preserve">El 0K ocupa unas 93 páginas con interlineado actual y tipografía distinta; la plantilla pide máximo 50 páginas en oficio, fuente 11, interlineado 1.5 y márgenes reflejados, con 1–4 párrafos sugeridos por ítem.</t>
  </si>
  <si>
    <t xml:space="preserve">Plantilla SEM; render del 0K</t>
  </si>
  <si>
    <t xml:space="preserve">Se documenta el presupuesto de páginas (hoja Paginacion); la condensación y el ajuste de forma son el paso siguiente.</t>
  </si>
  <si>
    <t xml:space="preserve">Pendiente EICIT</t>
  </si>
  <si>
    <t xml:space="preserve">H-02</t>
  </si>
  <si>
    <t xml:space="preserve">1.1 Datos generales</t>
  </si>
  <si>
    <t xml:space="preserve">El 0K no traía licencia, DANE, NIT, naturaleza jurídica ni calendario en la tabla de datos.</t>
  </si>
  <si>
    <t xml:space="preserve">0K p. 4</t>
  </si>
  <si>
    <t xml:space="preserve">Se insertaron las filas con los datos entregados; licencia: Res. 001380 del 30-nov-1999 (falta autoridad expedidora).</t>
  </si>
  <si>
    <t xml:space="preserve">Resuelto en v0.2</t>
  </si>
  <si>
    <t xml:space="preserve">H-03</t>
  </si>
  <si>
    <t xml:space="preserve">Misión, visión, DOFA, fundamentos</t>
  </si>
  <si>
    <t xml:space="preserve">El 0K mantenía «programación de software» en 15 lugares frente a la denominación Programación para Analítica de Datos.</t>
  </si>
  <si>
    <t xml:space="preserve">PEICMASEM-0K</t>
  </si>
  <si>
    <t xml:space="preserve">Reemplazos con control de cambios; se conservan «Software Novasoft» y la pregunta de licencias de software del formulario.</t>
  </si>
  <si>
    <t xml:space="preserve">H-04</t>
  </si>
  <si>
    <t xml:space="preserve">Media</t>
  </si>
  <si>
    <t xml:space="preserve">1.1 Matrícula 2026</t>
  </si>
  <si>
    <t xml:space="preserve">La fila TOTAL decía 29 cursos y 528 estudiantes; las filas suman 20 cursos y 529 estudiantes.</t>
  </si>
  <si>
    <t xml:space="preserve">Tabla de oferta del 0K</t>
  </si>
  <si>
    <t xml:space="preserve">Corregido a 20 y 529; se añade la proyección 2027 (21 cursos, 576 estudiantes).</t>
  </si>
  <si>
    <t xml:space="preserve">H-05</t>
  </si>
  <si>
    <t xml:space="preserve">1.1 Representante legal</t>
  </si>
  <si>
    <t xml:space="preserve">El 0K indicaba a Sor Martha Ortiz con delegada; el dato entregado y el convenio señalan a Bertha Elvira Vivas Mejía.</t>
  </si>
  <si>
    <t xml:space="preserve">Convenio EICIT–CMA; mensaje del Coordinador</t>
  </si>
  <si>
    <t xml:space="preserve">Se reemplaza el nombre y se elimina la línea de delegada.</t>
  </si>
  <si>
    <t xml:space="preserve">H-06</t>
  </si>
  <si>
    <t xml:space="preserve">4.1 / 3.5 Ley 2394</t>
  </si>
  <si>
    <t xml:space="preserve">El Manual de Convivencia y el SIEE (26-jul-2026) no contienen «2394» ni «gestante»; no hay cláusula de permanencia y no discriminación.</t>
  </si>
  <si>
    <t xml:space="preserve">Búsqueda de texto en ambos PDF</t>
  </si>
  <si>
    <t xml:space="preserve">Párrafo propuesto en 4.1 con pendiente; EICIT redactará la cláusula para el Manual y el SIEE.</t>
  </si>
  <si>
    <t xml:space="preserve">Pendiente CMA</t>
  </si>
  <si>
    <t xml:space="preserve">H-07</t>
  </si>
  <si>
    <t xml:space="preserve">El Manual incluye el Capítulo 16 «Reglamento de Residencias Escolares», que no corresponde al Colegio.</t>
  </si>
  <si>
    <t xml:space="preserve">Índice del Manual</t>
  </si>
  <si>
    <t xml:space="preserve">Se solicita su retiro; no afecta el PEI.</t>
  </si>
  <si>
    <t xml:space="preserve">H-08</t>
  </si>
  <si>
    <t xml:space="preserve">2.1 / 3.3.3 Saber 11</t>
  </si>
  <si>
    <t xml:space="preserve">Con ICFES 2026 (29 evaluados) el global estimado baja a 298,1 (304,8 en 2025). Matemáticas concentra el 37 % de la caída 2023-2026, Ciencias Naturales el 22 %, Lectura Crítica el 17 %, Sociales y Ciudadanas el 17 % (mejora en 2026) e Inglés el 7 %.</t>
  </si>
  <si>
    <t xml:space="preserve">icfes.pptx; matriz 1.2.4</t>
  </si>
  <si>
    <t xml:space="preserve">Tabla 2023-2026 y texto en 3.3.3. La arquitectura se justificó con 2023-2025 (Sociales 2.º factor): el Consejo Académico debe revisar la prioridad.</t>
  </si>
  <si>
    <t xml:space="preserve">H-09</t>
  </si>
  <si>
    <t xml:space="preserve">3.3.3 Saber 11</t>
  </si>
  <si>
    <t xml:space="preserve">El reporte del Colegio da un promedio ponderado de 59,88 usando 1,5 para Inglés; la ponderación ICFES del global es 3-3-3-3-1.</t>
  </si>
  <si>
    <t xml:space="preserve">icfes.pptx (lámina «Resultados ICFES 2026»)</t>
  </si>
  <si>
    <t xml:space="preserve">Se muestra el cálculo con ponderación ICFES y se aclara la diferencia en nota al pie. Verificar con el informe oficial del ICFES.</t>
  </si>
  <si>
    <t xml:space="preserve">H-10</t>
  </si>
  <si>
    <t xml:space="preserve">Numeración e índice</t>
  </si>
  <si>
    <t xml:space="preserve">Numeración irregular: 2.6 por 2.5 y 2.7 con subtítulos 9.x; «3.1» repetido; falta 3.3.3 (ahora cubierto); «3. 5» del SIEE; dos «5.4»; el índice manual no coincide con el paginado.</t>
  </si>
  <si>
    <t xml:space="preserve">0K</t>
  </si>
  <si>
    <t xml:space="preserve">Se agregó 3.3.3, 5.2.1 y 5.5.1; la auditoría de numeración y el índice se rehacen al condensar.</t>
  </si>
  <si>
    <t xml:space="preserve">H-11</t>
  </si>
  <si>
    <t xml:space="preserve">Baja</t>
  </si>
  <si>
    <t xml:space="preserve">Nombre institucional</t>
  </si>
  <si>
    <t xml:space="preserve">Mezcla de «Escuela Normal (Superior)» (10 menciones fuera de la historia), «ENSMA» y «Colegio María Auxiliadora». Rector escrito Miryan, Myrian y Myriam según el documento.</t>
  </si>
  <si>
    <t xml:space="preserve">0K; convenio; acta n.º 06</t>
  </si>
  <si>
    <t xml:space="preserve">Unificar nomenclatura en la condensación; confirmar escritura correcta del nombre de la Rectora.</t>
  </si>
  <si>
    <t xml:space="preserve">H-12</t>
  </si>
  <si>
    <t xml:space="preserve">4.2 Articulación</t>
  </si>
  <si>
    <t xml:space="preserve">La nota decía que no se suscribieron convenios nuevos, lo que contradice la media técnica con el SENA y el convenio con EICIT.</t>
  </si>
  <si>
    <t xml:space="preserve">0K p. 4.2</t>
  </si>
  <si>
    <t xml:space="preserve">Reescrita; se añaden SENA y EICIT.</t>
  </si>
  <si>
    <t xml:space="preserve">H-13</t>
  </si>
  <si>
    <t xml:space="preserve">5.2 Costos</t>
  </si>
  <si>
    <t xml:space="preserve">El acta n.º 06 (30-sep-2026) registra la deliberación de costos 2027 (+11,07 %; referentes Res. SEM 2770/2025 y MEN 020309/2026); la decisión final no es legible en el escaneo.</t>
  </si>
  <si>
    <t xml:space="preserve">Acta n.º 06 (OCR)</t>
  </si>
  <si>
    <t xml:space="preserve">Párrafo con pendiente de confirmar la adopción y adjuntar la resolución rectoral.</t>
  </si>
  <si>
    <t xml:space="preserve">H-14</t>
  </si>
  <si>
    <t xml:space="preserve">3.3.3 Tiempo escolar</t>
  </si>
  <si>
    <t xml:space="preserve">La hoja de parámetros usa 38 semanas lectivas pero planea contenido en 37; la media queda en 1.406 h frente a 1.480 h (74 h).</t>
  </si>
  <si>
    <t xml:space="preserve">Arquitectura v3 (Parametros, D-15)</t>
  </si>
  <si>
    <t xml:space="preserve">Se declara 1.406 h con la gestión ante la SEM o la contingencia de 1.482 h; pendiente de decisión.</t>
  </si>
  <si>
    <t xml:space="preserve">H-15</t>
  </si>
  <si>
    <t xml:space="preserve">1.1 Jornada</t>
  </si>
  <si>
    <t xml:space="preserve">El 0K dice «Única» y la arquitectura «jornada completa» (7 sesiones diarias).</t>
  </si>
  <si>
    <t xml:space="preserve">0K; Arquitectura v3</t>
  </si>
  <si>
    <t xml:space="preserve">Se usa «Única», dato entregado.</t>
  </si>
  <si>
    <t xml:space="preserve">H-16</t>
  </si>
  <si>
    <t xml:space="preserve">3.3.2 Planes de estudio</t>
  </si>
  <si>
    <t xml:space="preserve">La carpeta «saberes» del insumo trae 7 documentos de área en elaboración; no se integran al PEI.</t>
  </si>
  <si>
    <t xml:space="preserve">Insumos_Sor_Myriam_05_Oct_26/saberes</t>
  </si>
  <si>
    <t xml:space="preserve">Se referencia la carpeta de mallas en Drive; los planes se cargan al avanzar los docentes.</t>
  </si>
  <si>
    <t xml:space="preserve">H-17</t>
  </si>
  <si>
    <t xml:space="preserve">El 0K usa hoja de 8,5 × 14 pulgadas y Bookman Old Style; la plantilla pide oficio, Times New Roman, Calibri o Arial 11.</t>
  </si>
  <si>
    <t xml:space="preserve">document.xml del 0K</t>
  </si>
  <si>
    <t xml:space="preserve">Se mantiene el formato del 0K en esta versión; el ajuste de forma va en el paso de condensación.</t>
  </si>
  <si>
    <t xml:space="preserve">Pendientes de datos y documentos para cerrar el PEI</t>
  </si>
  <si>
    <t xml:space="preserve">«Bloquea la radicación» = requerido antes de radicar en el SAC de la SEM.</t>
  </si>
  <si>
    <t xml:space="preserve">Dato o documento</t>
  </si>
  <si>
    <t xml:space="preserve">Quién lo aporta</t>
  </si>
  <si>
    <t xml:space="preserve">Bloqueo</t>
  </si>
  <si>
    <t xml:space="preserve">P-01</t>
  </si>
  <si>
    <t xml:space="preserve">Autoridad que expidió la Resolución 001380 del 30-nov-1999</t>
  </si>
  <si>
    <t xml:space="preserve">Rectoría</t>
  </si>
  <si>
    <t xml:space="preserve">No bloquea el borrador; sí la radicación</t>
  </si>
  <si>
    <t xml:space="preserve">Basta la referencia (número y fecha); el documento no es necesario para el PEI.</t>
  </si>
  <si>
    <t xml:space="preserve">P-02</t>
  </si>
  <si>
    <t xml:space="preserve">Acto administrativo del cambio de denominación y del cierre del Programa de Formación Complementaria</t>
  </si>
  <si>
    <t xml:space="preserve">No bloquea el borrador</t>
  </si>
  <si>
    <t xml:space="preserve">Citar número y fecha en la reseña.</t>
  </si>
  <si>
    <t xml:space="preserve">P-03</t>
  </si>
  <si>
    <t xml:space="preserve">Aval de la SEM a la modificación de licencia para media técnica; oficio del SENA que aprueba la denominación</t>
  </si>
  <si>
    <t xml:space="preserve">1.1; 3.3.3</t>
  </si>
  <si>
    <t xml:space="preserve">Rectoría / SEM</t>
  </si>
  <si>
    <t xml:space="preserve">El texto lo presenta como «en trámite».</t>
  </si>
  <si>
    <t xml:space="preserve">P-04</t>
  </si>
  <si>
    <t xml:space="preserve">Acta del Consejo Académico que valida el modelo pedagógico</t>
  </si>
  <si>
    <t xml:space="preserve">Coordinación Académica</t>
  </si>
  <si>
    <t xml:space="preserve">P-05</t>
  </si>
  <si>
    <t xml:space="preserve">Decisión del Consejo Directivo sobre costos 2027 y resolución rectoral</t>
  </si>
  <si>
    <t xml:space="preserve">Consejo Directivo</t>
  </si>
  <si>
    <t xml:space="preserve">Bloquea la radicación</t>
  </si>
  <si>
    <t xml:space="preserve">Acta n.º 06 legible solo en parte.</t>
  </si>
  <si>
    <t xml:space="preserve">P-06</t>
  </si>
  <si>
    <t xml:space="preserve">Decisión sobre validación de grados (Res. 0644/2026)</t>
  </si>
  <si>
    <t xml:space="preserve">EICIT redacta propuesta de texto y protocolo.</t>
  </si>
  <si>
    <t xml:space="preserve">P-07</t>
  </si>
  <si>
    <t xml:space="preserve">Cláusula Ley 2394/2024 en el Manual de Convivencia y el SIEE</t>
  </si>
  <si>
    <t xml:space="preserve">3.5; 4.1</t>
  </si>
  <si>
    <t xml:space="preserve">Coordinación de Convivencia y Académica</t>
  </si>
  <si>
    <t xml:space="preserve">EICIT redacta la cláusula.</t>
  </si>
  <si>
    <t xml:space="preserve">P-08</t>
  </si>
  <si>
    <t xml:space="preserve">Retiro del Capítulo 16 «Reglamento de Residencias Escolares» del Manual</t>
  </si>
  <si>
    <t xml:space="preserve">Coordinación de Convivencia</t>
  </si>
  <si>
    <t xml:space="preserve">No bloquea</t>
  </si>
  <si>
    <t xml:space="preserve">P-09</t>
  </si>
  <si>
    <t xml:space="preserve">Número y fecha del convenio EICIT–CMA; confirmar «sin cobro»</t>
  </si>
  <si>
    <t xml:space="preserve">Rectoría y EICIT</t>
  </si>
  <si>
    <t xml:space="preserve">P-10</t>
  </si>
  <si>
    <t xml:space="preserve">Día y franja de la jornada extendida de 10.° y 11.° (D-11)</t>
  </si>
  <si>
    <t xml:space="preserve">3.3.3</t>
  </si>
  <si>
    <t xml:space="preserve">P-11</t>
  </si>
  <si>
    <t xml:space="preserve">Tratamiento de la Eucaristía dentro de Educación Religiosa (D-09)</t>
  </si>
  <si>
    <t xml:space="preserve">Rectoría y Consejo Académico</t>
  </si>
  <si>
    <t xml:space="preserve">P-12</t>
  </si>
  <si>
    <t xml:space="preserve">Brecha de 74 h de la media técnica: gestión ante la SEM o contingencia (D-15)</t>
  </si>
  <si>
    <t xml:space="preserve">P-13</t>
  </si>
  <si>
    <t xml:space="preserve">Conciliar 38 y 37 semanas lectivas en el libro de trabajo</t>
  </si>
  <si>
    <t xml:space="preserve">EICIT y Coordinación Académica</t>
  </si>
  <si>
    <t xml:space="preserve">P-14</t>
  </si>
  <si>
    <t xml:space="preserve">Confirmar convenios vigentes con la Universidad Pedagógica, La Salle y la Universidad Salesiana</t>
  </si>
  <si>
    <t xml:space="preserve">P-15</t>
  </si>
  <si>
    <t xml:space="preserve">Planes de estudio de las áreas (146 por elaborar; 12 de Tecnología e Informática a cargo de EICIT)</t>
  </si>
  <si>
    <t xml:space="preserve">Docentes y EICIT</t>
  </si>
  <si>
    <t xml:space="preserve">No bloquea el PEI</t>
  </si>
  <si>
    <t xml:space="preserve">Se cargan al Drive a medida que avancen.</t>
  </si>
  <si>
    <t xml:space="preserve">P-16</t>
  </si>
  <si>
    <t xml:space="preserve">Registro de adopción: proceso con los estamentos, actas de Consejo Académico y Directivo, resolución rectoral y radicado SAC</t>
  </si>
  <si>
    <t xml:space="preserve">Anexo C</t>
  </si>
  <si>
    <t xml:space="preserve">P-17</t>
  </si>
  <si>
    <t xml:space="preserve">Confirmar que no ofrece EPJA ni modelos flexibles; verificar el Plan de Formación Integral (PTAFI)</t>
  </si>
  <si>
    <t xml:space="preserve">3.3</t>
  </si>
  <si>
    <t xml:space="preserve">P-18</t>
  </si>
  <si>
    <t xml:space="preserve">Escritura correcta del nombre de la Rectora (Miryan / Myrian / Myriam)</t>
  </si>
  <si>
    <t xml:space="preserve">P-19</t>
  </si>
  <si>
    <t xml:space="preserve">Confirmar asignatura de Infancia Misionera y Educación Emocional en la tabla de proyectos</t>
  </si>
  <si>
    <t xml:space="preserve">Presupuesto de páginas para cumplir la plantilla (máximo 50)</t>
  </si>
  <si>
    <t xml:space="preserve">Actual: páginas aproximadas de la v0.2 (render con tipografía sustituta). Objetivo: formato final (oficio, fuente 11, interlineado 1.5). El resto se reubica en el repositorio (Drive, modo lector).</t>
  </si>
  <si>
    <t xml:space="preserve">Sección</t>
  </si>
  <si>
    <t xml:space="preserve">Páginas actuales (v0.2)</t>
  </si>
  <si>
    <t xml:space="preserve">Páginas objetivo</t>
  </si>
  <si>
    <t xml:space="preserve">Diferencia</t>
  </si>
  <si>
    <t xml:space="preserve">Portada, presentación e índice</t>
  </si>
  <si>
    <t xml:space="preserve">1. Identidad institucional</t>
  </si>
  <si>
    <t xml:space="preserve">2.1 Caracterización</t>
  </si>
  <si>
    <t xml:space="preserve">2.2 Filosofía y fundamentos</t>
  </si>
  <si>
    <t xml:space="preserve">2.3 Horizonte</t>
  </si>
  <si>
    <t xml:space="preserve">Perfiles institucionales</t>
  </si>
  <si>
    <t xml:space="preserve">2.4 Políticas</t>
  </si>
  <si>
    <t xml:space="preserve">2.6–2.7 Gobernanza, objetivos y metas</t>
  </si>
  <si>
    <t xml:space="preserve">3.1 Lineamientos</t>
  </si>
  <si>
    <t xml:space="preserve">3.2 Modelo pedagógico</t>
  </si>
  <si>
    <t xml:space="preserve">3.3 Planes de estudio (arquitectura 2027)</t>
  </si>
  <si>
    <t xml:space="preserve">3.4–3.5 Proyectos y SIEE</t>
  </si>
  <si>
    <t xml:space="preserve">4. Gestión de la comunidad (4.1–4.7)</t>
  </si>
  <si>
    <t xml:space="preserve">5. Gestión administrativa y financiera (5.1–5.6)</t>
  </si>
  <si>
    <t xml:space="preserve">Referencias, anexos A–C</t>
  </si>
  <si>
    <t xml:space="preserve">TOTAL</t>
  </si>
  <si>
    <t xml:space="preserve">Límite de la plantilla SEM</t>
  </si>
  <si>
    <t xml:space="preserve">Margen frente al límite</t>
  </si>
  <si>
    <t xml:space="preserve">Supuesto: el objetivo por sección es una propuesta de EICIT para decisión del Colegio; se calculó para que el total quede por debajo de 50 páginas en el formato final.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</si>
</sst>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F9000"/>
        <bgColor rgb="FF808000"/>
      </patternFill>
    </fill>
    <fill>
      <patternFill patternType="solid">
        <fgColor rgb="FFD5E8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BF9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90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2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f aca="false">COUNTA(Mapa_plantilla!B5:B39)</f>
        <v>35</v>
      </c>
    </row>
    <row r="5" customFormat="false" ht="15" hidden="false" customHeight="true" outlineLevel="0" collapsed="false">
      <c r="A5" s="6" t="s">
        <v>3</v>
      </c>
      <c r="B5" s="5" t="n">
        <f aca="false">COUNTIF(Mapa_plantilla!D5:D39,"Ajustado")+COUNTIF(Mapa_plantilla!D5:D39,"Nuevo")</f>
        <v>12</v>
      </c>
    </row>
    <row r="6" customFormat="false" ht="15" hidden="false" customHeight="true" outlineLevel="0" collapsed="false">
      <c r="A6" s="6" t="s">
        <v>4</v>
      </c>
      <c r="B6" s="5" t="n">
        <f aca="false">COUNTIF(Mapa_plantilla!D5:D39,"Completo")</f>
        <v>1</v>
      </c>
    </row>
    <row r="7" customFormat="false" ht="15" hidden="false" customHeight="true" outlineLevel="0" collapsed="false">
      <c r="A7" s="6" t="s">
        <v>5</v>
      </c>
      <c r="B7" s="5" t="n">
        <f aca="false">COUNTIF(Mapa_plantilla!D5:D39,"Existe")+COUNTIF(Mapa_plantilla!D5:D39,"Por revisar")+COUNTIF(Mapa_plantilla!D5:D39,"Por ajustar")</f>
        <v>19</v>
      </c>
    </row>
    <row r="8" customFormat="false" ht="15" hidden="false" customHeight="true" outlineLevel="0" collapsed="false">
      <c r="A8" s="6" t="s">
        <v>6</v>
      </c>
      <c r="B8" s="5" t="n">
        <f aca="false">COUNTIF(Mapa_plantilla!D5:D39,"Falta")</f>
        <v>1</v>
      </c>
    </row>
    <row r="9" customFormat="false" ht="15" hidden="false" customHeight="true" outlineLevel="0" collapsed="false">
      <c r="A9" s="6" t="s">
        <v>7</v>
      </c>
      <c r="B9" s="5" t="n">
        <f aca="false">COUNTIF(Mapa_plantilla!D5:D39,"No aplica")</f>
        <v>2</v>
      </c>
    </row>
    <row r="10" customFormat="false" ht="15" hidden="false" customHeight="true" outlineLevel="0" collapsed="false">
      <c r="A10" s="4" t="s">
        <v>8</v>
      </c>
      <c r="B10" s="5" t="n">
        <f aca="false">COUNTA(Hallazgos!A5:A21)</f>
        <v>17</v>
      </c>
    </row>
    <row r="11" customFormat="false" ht="15" hidden="false" customHeight="true" outlineLevel="0" collapsed="false">
      <c r="A11" s="6" t="s">
        <v>9</v>
      </c>
      <c r="B11" s="5" t="n">
        <f aca="false">COUNTIF(Hallazgos!G5:G21,"Resuelto en v0.2")</f>
        <v>7</v>
      </c>
    </row>
    <row r="12" customFormat="false" ht="15" hidden="false" customHeight="true" outlineLevel="0" collapsed="false">
      <c r="A12" s="6" t="s">
        <v>10</v>
      </c>
      <c r="B12" s="5" t="n">
        <f aca="false">COUNTIF(Hallazgos!G5:G21,"Pendiente EICIT")</f>
        <v>4</v>
      </c>
    </row>
    <row r="13" customFormat="false" ht="15" hidden="false" customHeight="true" outlineLevel="0" collapsed="false">
      <c r="A13" s="6" t="s">
        <v>11</v>
      </c>
      <c r="B13" s="5" t="n">
        <f aca="false">COUNTIF(Hallazgos!G5:G21,"Pendiente CMA")</f>
        <v>6</v>
      </c>
    </row>
    <row r="14" customFormat="false" ht="15" hidden="false" customHeight="true" outlineLevel="0" collapsed="false">
      <c r="A14" s="4" t="s">
        <v>12</v>
      </c>
      <c r="B14" s="5" t="n">
        <f aca="false">COUNTA(Pendientes!A5:A23)</f>
        <v>19</v>
      </c>
    </row>
    <row r="15" customFormat="false" ht="15" hidden="false" customHeight="true" outlineLevel="0" collapsed="false">
      <c r="A15" s="6" t="s">
        <v>13</v>
      </c>
      <c r="B15" s="5" t="n">
        <f aca="false">COUNTIF(Pendientes!F5:F23,"Bloquea*")</f>
        <v>5</v>
      </c>
    </row>
    <row r="16" customFormat="false" ht="15" hidden="false" customHeight="true" outlineLevel="0" collapsed="false">
      <c r="A16" s="4" t="s">
        <v>14</v>
      </c>
      <c r="B16" s="5" t="str">
        <f aca="false">Paginacion!B20&amp;" / "&amp;Paginacion!C20&amp;" / "&amp;Paginacion!C21</f>
        <v>92 / 46 / 50</v>
      </c>
    </row>
    <row r="19" customFormat="false" ht="15" hidden="false" customHeight="tru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80"/>
    <col collapsed="false" customWidth="true" hidden="false" outlineLevel="0" max="6" min="6" style="1" width="10"/>
  </cols>
  <sheetData>
    <row r="1" customFormat="false" ht="17.25" hidden="false" customHeight="true" outlineLevel="0" collapsed="false">
      <c r="A1" s="2" t="s">
        <v>16</v>
      </c>
    </row>
    <row r="2" customFormat="false" ht="15" hidden="false" customHeight="true" outlineLevel="0" collapsed="false">
      <c r="A2" s="3" t="s">
        <v>17</v>
      </c>
    </row>
    <row r="4" customFormat="false" ht="23.25" hidden="false" customHeight="true" outlineLevel="0" collapsed="false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</row>
    <row r="5" customFormat="false" ht="34.5" hidden="false" customHeight="true" outlineLevel="0" collapsed="false">
      <c r="A5" s="8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9" t="s">
        <v>29</v>
      </c>
    </row>
    <row r="6" customFormat="false" ht="15" hidden="false" customHeight="true" outlineLevel="0" collapsed="false">
      <c r="A6" s="8" t="s">
        <v>24</v>
      </c>
      <c r="B6" s="8" t="s">
        <v>30</v>
      </c>
      <c r="C6" s="8" t="s">
        <v>31</v>
      </c>
      <c r="D6" s="8" t="s">
        <v>32</v>
      </c>
      <c r="E6" s="8" t="s">
        <v>33</v>
      </c>
      <c r="F6" s="9" t="s">
        <v>29</v>
      </c>
    </row>
    <row r="7" customFormat="false" ht="15" hidden="false" customHeight="true" outlineLevel="0" collapsed="false">
      <c r="A7" s="8" t="s">
        <v>24</v>
      </c>
      <c r="B7" s="8" t="s">
        <v>34</v>
      </c>
      <c r="C7" s="8" t="s">
        <v>35</v>
      </c>
      <c r="D7" s="8" t="s">
        <v>36</v>
      </c>
      <c r="E7" s="8" t="s">
        <v>37</v>
      </c>
      <c r="F7" s="9" t="s">
        <v>29</v>
      </c>
    </row>
    <row r="8" customFormat="false" ht="15" hidden="false" customHeight="true" outlineLevel="0" collapsed="false">
      <c r="A8" s="8" t="s">
        <v>38</v>
      </c>
      <c r="B8" s="8" t="s">
        <v>39</v>
      </c>
      <c r="C8" s="8" t="s">
        <v>40</v>
      </c>
      <c r="D8" s="8" t="s">
        <v>32</v>
      </c>
      <c r="E8" s="8" t="s">
        <v>41</v>
      </c>
      <c r="F8" s="10" t="s">
        <v>42</v>
      </c>
    </row>
    <row r="9" customFormat="false" ht="15" hidden="false" customHeight="true" outlineLevel="0" collapsed="false">
      <c r="A9" s="8" t="s">
        <v>38</v>
      </c>
      <c r="B9" s="8" t="s">
        <v>43</v>
      </c>
      <c r="C9" s="8" t="s">
        <v>44</v>
      </c>
      <c r="D9" s="8" t="s">
        <v>27</v>
      </c>
      <c r="E9" s="8" t="s">
        <v>45</v>
      </c>
      <c r="F9" s="10" t="s">
        <v>42</v>
      </c>
    </row>
    <row r="10" customFormat="false" ht="23.25" hidden="false" customHeight="true" outlineLevel="0" collapsed="false">
      <c r="A10" s="8" t="s">
        <v>38</v>
      </c>
      <c r="B10" s="8" t="s">
        <v>46</v>
      </c>
      <c r="C10" s="8" t="s">
        <v>47</v>
      </c>
      <c r="D10" s="8" t="s">
        <v>27</v>
      </c>
      <c r="E10" s="8" t="s">
        <v>48</v>
      </c>
      <c r="F10" s="9" t="s">
        <v>29</v>
      </c>
    </row>
    <row r="11" customFormat="false" ht="23.25" hidden="false" customHeight="true" outlineLevel="0" collapsed="false">
      <c r="A11" s="8" t="s">
        <v>38</v>
      </c>
      <c r="B11" s="8" t="s">
        <v>49</v>
      </c>
      <c r="C11" s="8" t="s">
        <v>50</v>
      </c>
      <c r="D11" s="8" t="s">
        <v>51</v>
      </c>
      <c r="E11" s="8" t="s">
        <v>52</v>
      </c>
      <c r="F11" s="10" t="s">
        <v>42</v>
      </c>
    </row>
    <row r="12" customFormat="false" ht="15" hidden="false" customHeight="true" outlineLevel="0" collapsed="false">
      <c r="A12" s="8" t="s">
        <v>38</v>
      </c>
      <c r="B12" s="8" t="s">
        <v>53</v>
      </c>
      <c r="C12" s="8" t="s">
        <v>54</v>
      </c>
      <c r="D12" s="8" t="s">
        <v>32</v>
      </c>
      <c r="E12" s="8" t="s">
        <v>55</v>
      </c>
      <c r="F12" s="9" t="s">
        <v>29</v>
      </c>
    </row>
    <row r="13" customFormat="false" ht="15" hidden="false" customHeight="true" outlineLevel="0" collapsed="false">
      <c r="A13" s="8" t="s">
        <v>38</v>
      </c>
      <c r="B13" s="8" t="s">
        <v>56</v>
      </c>
      <c r="C13" s="8" t="s">
        <v>57</v>
      </c>
      <c r="D13" s="8" t="s">
        <v>32</v>
      </c>
      <c r="E13" s="8" t="s">
        <v>58</v>
      </c>
      <c r="F13" s="11" t="s">
        <v>59</v>
      </c>
    </row>
    <row r="14" customFormat="false" ht="15" hidden="false" customHeight="true" outlineLevel="0" collapsed="false">
      <c r="A14" s="8" t="s">
        <v>38</v>
      </c>
      <c r="B14" s="8" t="s">
        <v>60</v>
      </c>
      <c r="C14" s="8" t="s">
        <v>61</v>
      </c>
      <c r="D14" s="8" t="s">
        <v>32</v>
      </c>
      <c r="E14" s="8" t="s">
        <v>62</v>
      </c>
      <c r="F14" s="11" t="s">
        <v>59</v>
      </c>
    </row>
    <row r="15" customFormat="false" ht="15" hidden="false" customHeight="true" outlineLevel="0" collapsed="false">
      <c r="A15" s="8" t="s">
        <v>63</v>
      </c>
      <c r="B15" s="8" t="s">
        <v>64</v>
      </c>
      <c r="C15" s="8" t="s">
        <v>65</v>
      </c>
      <c r="D15" s="8" t="s">
        <v>32</v>
      </c>
      <c r="E15" s="8" t="s">
        <v>66</v>
      </c>
      <c r="F15" s="11" t="s">
        <v>59</v>
      </c>
    </row>
    <row r="16" customFormat="false" ht="15" hidden="false" customHeight="true" outlineLevel="0" collapsed="false">
      <c r="A16" s="8" t="s">
        <v>63</v>
      </c>
      <c r="B16" s="8" t="s">
        <v>67</v>
      </c>
      <c r="C16" s="8" t="s">
        <v>68</v>
      </c>
      <c r="D16" s="8" t="s">
        <v>27</v>
      </c>
      <c r="E16" s="8" t="s">
        <v>69</v>
      </c>
      <c r="F16" s="10" t="s">
        <v>42</v>
      </c>
    </row>
    <row r="17" customFormat="false" ht="15" hidden="false" customHeight="true" outlineLevel="0" collapsed="false">
      <c r="A17" s="8" t="s">
        <v>63</v>
      </c>
      <c r="B17" s="8" t="s">
        <v>70</v>
      </c>
      <c r="C17" s="8" t="s">
        <v>71</v>
      </c>
      <c r="D17" s="8" t="s">
        <v>27</v>
      </c>
      <c r="E17" s="8" t="s">
        <v>72</v>
      </c>
      <c r="F17" s="11" t="s">
        <v>59</v>
      </c>
    </row>
    <row r="18" customFormat="false" ht="23.25" hidden="false" customHeight="true" outlineLevel="0" collapsed="false">
      <c r="A18" s="8" t="s">
        <v>63</v>
      </c>
      <c r="B18" s="8" t="s">
        <v>73</v>
      </c>
      <c r="C18" s="8" t="s">
        <v>74</v>
      </c>
      <c r="D18" s="8" t="s">
        <v>27</v>
      </c>
      <c r="E18" s="8" t="s">
        <v>75</v>
      </c>
      <c r="F18" s="10" t="s">
        <v>42</v>
      </c>
    </row>
    <row r="19" customFormat="false" ht="15" hidden="false" customHeight="true" outlineLevel="0" collapsed="false">
      <c r="A19" s="8" t="s">
        <v>63</v>
      </c>
      <c r="B19" s="8" t="s">
        <v>76</v>
      </c>
      <c r="C19" s="8" t="s">
        <v>77</v>
      </c>
      <c r="D19" s="8" t="s">
        <v>78</v>
      </c>
      <c r="E19" s="8" t="s">
        <v>79</v>
      </c>
      <c r="F19" s="9" t="s">
        <v>29</v>
      </c>
    </row>
    <row r="20" customFormat="false" ht="15" hidden="false" customHeight="true" outlineLevel="0" collapsed="false">
      <c r="A20" s="8" t="s">
        <v>63</v>
      </c>
      <c r="B20" s="8" t="s">
        <v>80</v>
      </c>
      <c r="C20" s="8" t="s">
        <v>77</v>
      </c>
      <c r="D20" s="8" t="s">
        <v>78</v>
      </c>
      <c r="E20" s="8" t="s">
        <v>81</v>
      </c>
      <c r="F20" s="9" t="s">
        <v>29</v>
      </c>
    </row>
    <row r="21" customFormat="false" ht="15" hidden="false" customHeight="true" outlineLevel="0" collapsed="false">
      <c r="A21" s="8" t="s">
        <v>63</v>
      </c>
      <c r="B21" s="8" t="s">
        <v>82</v>
      </c>
      <c r="C21" s="8" t="s">
        <v>83</v>
      </c>
      <c r="D21" s="8" t="s">
        <v>84</v>
      </c>
      <c r="E21" s="8" t="s">
        <v>85</v>
      </c>
      <c r="F21" s="11" t="s">
        <v>59</v>
      </c>
    </row>
    <row r="22" customFormat="false" ht="15" hidden="false" customHeight="true" outlineLevel="0" collapsed="false">
      <c r="A22" s="8" t="s">
        <v>63</v>
      </c>
      <c r="B22" s="8" t="s">
        <v>86</v>
      </c>
      <c r="C22" s="8" t="s">
        <v>77</v>
      </c>
      <c r="D22" s="8" t="s">
        <v>87</v>
      </c>
      <c r="E22" s="8" t="s">
        <v>88</v>
      </c>
      <c r="F22" s="10" t="s">
        <v>42</v>
      </c>
    </row>
    <row r="23" customFormat="false" ht="15" hidden="false" customHeight="true" outlineLevel="0" collapsed="false">
      <c r="A23" s="8" t="s">
        <v>63</v>
      </c>
      <c r="B23" s="8" t="s">
        <v>89</v>
      </c>
      <c r="C23" s="8" t="s">
        <v>90</v>
      </c>
      <c r="D23" s="8" t="s">
        <v>32</v>
      </c>
      <c r="E23" s="8" t="s">
        <v>91</v>
      </c>
      <c r="F23" s="9" t="s">
        <v>29</v>
      </c>
    </row>
    <row r="24" customFormat="false" ht="23.25" hidden="false" customHeight="true" outlineLevel="0" collapsed="false">
      <c r="A24" s="8" t="s">
        <v>92</v>
      </c>
      <c r="B24" s="8" t="s">
        <v>93</v>
      </c>
      <c r="C24" s="8" t="s">
        <v>94</v>
      </c>
      <c r="D24" s="8" t="s">
        <v>27</v>
      </c>
      <c r="E24" s="8" t="s">
        <v>95</v>
      </c>
      <c r="F24" s="9" t="s">
        <v>29</v>
      </c>
    </row>
    <row r="25" customFormat="false" ht="15" hidden="false" customHeight="true" outlineLevel="0" collapsed="false">
      <c r="A25" s="8" t="s">
        <v>92</v>
      </c>
      <c r="B25" s="8" t="s">
        <v>96</v>
      </c>
      <c r="C25" s="8" t="s">
        <v>97</v>
      </c>
      <c r="D25" s="8" t="s">
        <v>27</v>
      </c>
      <c r="E25" s="8" t="s">
        <v>98</v>
      </c>
      <c r="F25" s="10" t="s">
        <v>42</v>
      </c>
    </row>
    <row r="26" customFormat="false" ht="15" hidden="false" customHeight="true" outlineLevel="0" collapsed="false">
      <c r="A26" s="8" t="s">
        <v>92</v>
      </c>
      <c r="B26" s="8" t="s">
        <v>99</v>
      </c>
      <c r="C26" s="8" t="s">
        <v>100</v>
      </c>
      <c r="D26" s="8" t="s">
        <v>32</v>
      </c>
      <c r="E26" s="8" t="s">
        <v>101</v>
      </c>
      <c r="F26" s="9" t="s">
        <v>29</v>
      </c>
    </row>
    <row r="27" customFormat="false" ht="15" hidden="false" customHeight="true" outlineLevel="0" collapsed="false">
      <c r="A27" s="8" t="s">
        <v>92</v>
      </c>
      <c r="B27" s="8" t="s">
        <v>102</v>
      </c>
      <c r="C27" s="8" t="s">
        <v>103</v>
      </c>
      <c r="D27" s="8" t="s">
        <v>32</v>
      </c>
      <c r="E27" s="8" t="s">
        <v>104</v>
      </c>
      <c r="F27" s="10" t="s">
        <v>42</v>
      </c>
    </row>
    <row r="28" customFormat="false" ht="15" hidden="false" customHeight="true" outlineLevel="0" collapsed="false">
      <c r="A28" s="8" t="s">
        <v>92</v>
      </c>
      <c r="B28" s="8" t="s">
        <v>105</v>
      </c>
      <c r="C28" s="8" t="s">
        <v>106</v>
      </c>
      <c r="D28" s="8" t="s">
        <v>32</v>
      </c>
      <c r="E28" s="8" t="s">
        <v>107</v>
      </c>
      <c r="F28" s="9" t="s">
        <v>29</v>
      </c>
    </row>
    <row r="29" customFormat="false" ht="15" hidden="false" customHeight="true" outlineLevel="0" collapsed="false">
      <c r="A29" s="8" t="s">
        <v>92</v>
      </c>
      <c r="B29" s="8" t="s">
        <v>108</v>
      </c>
      <c r="C29" s="8" t="s">
        <v>109</v>
      </c>
      <c r="D29" s="8" t="s">
        <v>32</v>
      </c>
      <c r="E29" s="8" t="s">
        <v>110</v>
      </c>
      <c r="F29" s="9" t="s">
        <v>29</v>
      </c>
    </row>
    <row r="30" customFormat="false" ht="15" hidden="false" customHeight="true" outlineLevel="0" collapsed="false">
      <c r="A30" s="8" t="s">
        <v>92</v>
      </c>
      <c r="B30" s="8" t="s">
        <v>111</v>
      </c>
      <c r="C30" s="8" t="s">
        <v>112</v>
      </c>
      <c r="D30" s="8" t="s">
        <v>32</v>
      </c>
      <c r="E30" s="8" t="s">
        <v>113</v>
      </c>
      <c r="F30" s="9" t="s">
        <v>29</v>
      </c>
    </row>
    <row r="31" customFormat="false" ht="23.25" hidden="false" customHeight="true" outlineLevel="0" collapsed="false">
      <c r="A31" s="8" t="s">
        <v>114</v>
      </c>
      <c r="B31" s="8" t="s">
        <v>115</v>
      </c>
      <c r="C31" s="8" t="s">
        <v>116</v>
      </c>
      <c r="D31" s="8" t="s">
        <v>32</v>
      </c>
      <c r="E31" s="8" t="s">
        <v>117</v>
      </c>
      <c r="F31" s="9" t="s">
        <v>29</v>
      </c>
    </row>
    <row r="32" customFormat="false" ht="23.25" hidden="false" customHeight="true" outlineLevel="0" collapsed="false">
      <c r="A32" s="8" t="s">
        <v>114</v>
      </c>
      <c r="B32" s="8" t="s">
        <v>118</v>
      </c>
      <c r="C32" s="8" t="s">
        <v>119</v>
      </c>
      <c r="D32" s="8" t="s">
        <v>27</v>
      </c>
      <c r="E32" s="8" t="s">
        <v>120</v>
      </c>
      <c r="F32" s="9" t="s">
        <v>29</v>
      </c>
    </row>
    <row r="33" customFormat="false" ht="23.25" hidden="false" customHeight="true" outlineLevel="0" collapsed="false">
      <c r="A33" s="8" t="s">
        <v>114</v>
      </c>
      <c r="B33" s="8" t="s">
        <v>121</v>
      </c>
      <c r="C33" s="8" t="s">
        <v>122</v>
      </c>
      <c r="D33" s="8" t="s">
        <v>123</v>
      </c>
      <c r="E33" s="8" t="s">
        <v>124</v>
      </c>
      <c r="F33" s="10" t="s">
        <v>42</v>
      </c>
    </row>
    <row r="34" customFormat="false" ht="23.25" hidden="false" customHeight="true" outlineLevel="0" collapsed="false">
      <c r="A34" s="8" t="s">
        <v>114</v>
      </c>
      <c r="B34" s="8" t="s">
        <v>125</v>
      </c>
      <c r="C34" s="8" t="s">
        <v>126</v>
      </c>
      <c r="D34" s="8" t="s">
        <v>32</v>
      </c>
      <c r="E34" s="8" t="s">
        <v>127</v>
      </c>
      <c r="F34" s="10" t="s">
        <v>42</v>
      </c>
    </row>
    <row r="35" customFormat="false" ht="23.25" hidden="false" customHeight="true" outlineLevel="0" collapsed="false">
      <c r="A35" s="8" t="s">
        <v>114</v>
      </c>
      <c r="B35" s="8" t="s">
        <v>128</v>
      </c>
      <c r="C35" s="8" t="s">
        <v>129</v>
      </c>
      <c r="D35" s="8" t="s">
        <v>32</v>
      </c>
      <c r="E35" s="8" t="s">
        <v>130</v>
      </c>
      <c r="F35" s="9" t="s">
        <v>29</v>
      </c>
    </row>
    <row r="36" customFormat="false" ht="23.25" hidden="false" customHeight="true" outlineLevel="0" collapsed="false">
      <c r="A36" s="8" t="s">
        <v>114</v>
      </c>
      <c r="B36" s="8" t="s">
        <v>131</v>
      </c>
      <c r="C36" s="8" t="s">
        <v>132</v>
      </c>
      <c r="D36" s="8" t="s">
        <v>32</v>
      </c>
      <c r="E36" s="8" t="s">
        <v>133</v>
      </c>
      <c r="F36" s="10" t="s">
        <v>42</v>
      </c>
    </row>
    <row r="37" customFormat="false" ht="23.25" hidden="false" customHeight="true" outlineLevel="0" collapsed="false">
      <c r="A37" s="8" t="s">
        <v>114</v>
      </c>
      <c r="B37" s="8" t="s">
        <v>134</v>
      </c>
      <c r="C37" s="8" t="s">
        <v>135</v>
      </c>
      <c r="D37" s="8" t="s">
        <v>123</v>
      </c>
      <c r="E37" s="8" t="s">
        <v>136</v>
      </c>
      <c r="F37" s="10" t="s">
        <v>42</v>
      </c>
    </row>
    <row r="38" customFormat="false" ht="23.25" hidden="false" customHeight="true" outlineLevel="0" collapsed="false">
      <c r="A38" s="8" t="s">
        <v>114</v>
      </c>
      <c r="B38" s="8" t="s">
        <v>137</v>
      </c>
      <c r="C38" s="8" t="s">
        <v>138</v>
      </c>
      <c r="D38" s="8" t="s">
        <v>32</v>
      </c>
      <c r="E38" s="8" t="s">
        <v>117</v>
      </c>
      <c r="F38" s="9" t="s">
        <v>29</v>
      </c>
    </row>
    <row r="39" customFormat="false" ht="15" hidden="false" customHeight="true" outlineLevel="0" collapsed="false">
      <c r="A39" s="8" t="s">
        <v>139</v>
      </c>
      <c r="B39" s="8" t="s">
        <v>140</v>
      </c>
      <c r="C39" s="8" t="s">
        <v>141</v>
      </c>
      <c r="D39" s="8" t="s">
        <v>27</v>
      </c>
      <c r="E39" s="8" t="s">
        <v>142</v>
      </c>
      <c r="F39" s="11" t="s">
        <v>59</v>
      </c>
    </row>
  </sheetData>
  <autoFilter ref="A4:F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70"/>
    <col collapsed="false" customWidth="true" hidden="false" outlineLevel="0" max="5" min="5" style="1" width="28"/>
    <col collapsed="false" customWidth="true" hidden="false" outlineLevel="0" max="6" min="6" style="1" width="60"/>
    <col collapsed="false" customWidth="true" hidden="false" outlineLevel="0" max="7" min="7" style="1" width="16"/>
    <col collapsed="false" customWidth="true" hidden="false" outlineLevel="0" max="8" min="8" style="1" width="10"/>
  </cols>
  <sheetData>
    <row r="1" customFormat="false" ht="17.25" hidden="false" customHeight="true" outlineLevel="0" collapsed="false">
      <c r="A1" s="2" t="s">
        <v>143</v>
      </c>
    </row>
    <row r="2" customFormat="false" ht="15" hidden="false" customHeight="true" outlineLevel="0" collapsed="false">
      <c r="A2" s="3" t="s">
        <v>144</v>
      </c>
    </row>
    <row r="4" customFormat="false" ht="15" hidden="false" customHeight="true" outlineLevel="0" collapsed="false">
      <c r="A4" s="7" t="s">
        <v>145</v>
      </c>
      <c r="B4" s="7" t="s">
        <v>146</v>
      </c>
      <c r="C4" s="7" t="s">
        <v>147</v>
      </c>
      <c r="D4" s="7" t="s">
        <v>148</v>
      </c>
      <c r="E4" s="7" t="s">
        <v>149</v>
      </c>
      <c r="F4" s="7" t="s">
        <v>150</v>
      </c>
      <c r="G4" s="7" t="s">
        <v>21</v>
      </c>
      <c r="H4" s="7" t="s">
        <v>23</v>
      </c>
    </row>
    <row r="5" customFormat="false" ht="34.5" hidden="false" customHeight="true" outlineLevel="0" collapsed="false">
      <c r="A5" s="8" t="s">
        <v>151</v>
      </c>
      <c r="B5" s="8" t="s">
        <v>152</v>
      </c>
      <c r="C5" s="8" t="s">
        <v>153</v>
      </c>
      <c r="D5" s="8" t="s">
        <v>154</v>
      </c>
      <c r="E5" s="8" t="s">
        <v>155</v>
      </c>
      <c r="F5" s="8" t="s">
        <v>156</v>
      </c>
      <c r="G5" s="8" t="s">
        <v>157</v>
      </c>
      <c r="H5" s="11" t="s">
        <v>59</v>
      </c>
    </row>
    <row r="6" customFormat="false" ht="23.25" hidden="false" customHeight="true" outlineLevel="0" collapsed="false">
      <c r="A6" s="8" t="s">
        <v>158</v>
      </c>
      <c r="B6" s="8" t="s">
        <v>152</v>
      </c>
      <c r="C6" s="8" t="s">
        <v>159</v>
      </c>
      <c r="D6" s="8" t="s">
        <v>160</v>
      </c>
      <c r="E6" s="8" t="s">
        <v>161</v>
      </c>
      <c r="F6" s="8" t="s">
        <v>162</v>
      </c>
      <c r="G6" s="8" t="s">
        <v>163</v>
      </c>
      <c r="H6" s="10" t="s">
        <v>42</v>
      </c>
    </row>
    <row r="7" customFormat="false" ht="23.25" hidden="false" customHeight="true" outlineLevel="0" collapsed="false">
      <c r="A7" s="8" t="s">
        <v>164</v>
      </c>
      <c r="B7" s="8" t="s">
        <v>152</v>
      </c>
      <c r="C7" s="8" t="s">
        <v>165</v>
      </c>
      <c r="D7" s="8" t="s">
        <v>166</v>
      </c>
      <c r="E7" s="8" t="s">
        <v>167</v>
      </c>
      <c r="F7" s="8" t="s">
        <v>168</v>
      </c>
      <c r="G7" s="8" t="s">
        <v>163</v>
      </c>
      <c r="H7" s="11" t="s">
        <v>59</v>
      </c>
    </row>
    <row r="8" customFormat="false" ht="23.25" hidden="false" customHeight="true" outlineLevel="0" collapsed="false">
      <c r="A8" s="8" t="s">
        <v>169</v>
      </c>
      <c r="B8" s="8" t="s">
        <v>170</v>
      </c>
      <c r="C8" s="8" t="s">
        <v>171</v>
      </c>
      <c r="D8" s="8" t="s">
        <v>172</v>
      </c>
      <c r="E8" s="8" t="s">
        <v>173</v>
      </c>
      <c r="F8" s="8" t="s">
        <v>174</v>
      </c>
      <c r="G8" s="8" t="s">
        <v>163</v>
      </c>
      <c r="H8" s="11" t="s">
        <v>59</v>
      </c>
    </row>
    <row r="9" customFormat="false" ht="23.25" hidden="false" customHeight="true" outlineLevel="0" collapsed="false">
      <c r="A9" s="8" t="s">
        <v>175</v>
      </c>
      <c r="B9" s="8" t="s">
        <v>170</v>
      </c>
      <c r="C9" s="8" t="s">
        <v>176</v>
      </c>
      <c r="D9" s="8" t="s">
        <v>177</v>
      </c>
      <c r="E9" s="8" t="s">
        <v>178</v>
      </c>
      <c r="F9" s="8" t="s">
        <v>179</v>
      </c>
      <c r="G9" s="8" t="s">
        <v>163</v>
      </c>
      <c r="H9" s="10" t="s">
        <v>42</v>
      </c>
    </row>
    <row r="10" customFormat="false" ht="23.25" hidden="false" customHeight="true" outlineLevel="0" collapsed="false">
      <c r="A10" s="8" t="s">
        <v>180</v>
      </c>
      <c r="B10" s="8" t="s">
        <v>152</v>
      </c>
      <c r="C10" s="8" t="s">
        <v>181</v>
      </c>
      <c r="D10" s="8" t="s">
        <v>182</v>
      </c>
      <c r="E10" s="8" t="s">
        <v>183</v>
      </c>
      <c r="F10" s="8" t="s">
        <v>184</v>
      </c>
      <c r="G10" s="8" t="s">
        <v>185</v>
      </c>
      <c r="H10" s="9" t="s">
        <v>29</v>
      </c>
    </row>
    <row r="11" customFormat="false" ht="23.25" hidden="false" customHeight="true" outlineLevel="0" collapsed="false">
      <c r="A11" s="8" t="s">
        <v>186</v>
      </c>
      <c r="B11" s="8" t="s">
        <v>170</v>
      </c>
      <c r="C11" s="8" t="s">
        <v>93</v>
      </c>
      <c r="D11" s="8" t="s">
        <v>187</v>
      </c>
      <c r="E11" s="8" t="s">
        <v>188</v>
      </c>
      <c r="F11" s="8" t="s">
        <v>189</v>
      </c>
      <c r="G11" s="8" t="s">
        <v>185</v>
      </c>
      <c r="H11" s="9" t="s">
        <v>29</v>
      </c>
    </row>
    <row r="12" customFormat="false" ht="45.75" hidden="false" customHeight="true" outlineLevel="0" collapsed="false">
      <c r="A12" s="8" t="s">
        <v>190</v>
      </c>
      <c r="B12" s="8" t="s">
        <v>152</v>
      </c>
      <c r="C12" s="8" t="s">
        <v>191</v>
      </c>
      <c r="D12" s="8" t="s">
        <v>192</v>
      </c>
      <c r="E12" s="8" t="s">
        <v>193</v>
      </c>
      <c r="F12" s="8" t="s">
        <v>194</v>
      </c>
      <c r="G12" s="8" t="s">
        <v>185</v>
      </c>
      <c r="H12" s="10" t="s">
        <v>42</v>
      </c>
    </row>
    <row r="13" customFormat="false" ht="23.25" hidden="false" customHeight="true" outlineLevel="0" collapsed="false">
      <c r="A13" s="8" t="s">
        <v>195</v>
      </c>
      <c r="B13" s="8" t="s">
        <v>170</v>
      </c>
      <c r="C13" s="8" t="s">
        <v>196</v>
      </c>
      <c r="D13" s="8" t="s">
        <v>197</v>
      </c>
      <c r="E13" s="8" t="s">
        <v>198</v>
      </c>
      <c r="F13" s="8" t="s">
        <v>199</v>
      </c>
      <c r="G13" s="8" t="s">
        <v>157</v>
      </c>
      <c r="H13" s="11" t="s">
        <v>59</v>
      </c>
    </row>
    <row r="14" customFormat="false" ht="34.5" hidden="false" customHeight="true" outlineLevel="0" collapsed="false">
      <c r="A14" s="8" t="s">
        <v>200</v>
      </c>
      <c r="B14" s="8" t="s">
        <v>170</v>
      </c>
      <c r="C14" s="8" t="s">
        <v>201</v>
      </c>
      <c r="D14" s="8" t="s">
        <v>202</v>
      </c>
      <c r="E14" s="8" t="s">
        <v>203</v>
      </c>
      <c r="F14" s="8" t="s">
        <v>204</v>
      </c>
      <c r="G14" s="8" t="s">
        <v>157</v>
      </c>
      <c r="H14" s="11" t="s">
        <v>59</v>
      </c>
    </row>
    <row r="15" customFormat="false" ht="34.5" hidden="false" customHeight="true" outlineLevel="0" collapsed="false">
      <c r="A15" s="8" t="s">
        <v>205</v>
      </c>
      <c r="B15" s="8" t="s">
        <v>206</v>
      </c>
      <c r="C15" s="8" t="s">
        <v>207</v>
      </c>
      <c r="D15" s="8" t="s">
        <v>208</v>
      </c>
      <c r="E15" s="8" t="s">
        <v>209</v>
      </c>
      <c r="F15" s="8" t="s">
        <v>210</v>
      </c>
      <c r="G15" s="8" t="s">
        <v>185</v>
      </c>
      <c r="H15" s="10" t="s">
        <v>42</v>
      </c>
    </row>
    <row r="16" customFormat="false" ht="23.25" hidden="false" customHeight="true" outlineLevel="0" collapsed="false">
      <c r="A16" s="8" t="s">
        <v>211</v>
      </c>
      <c r="B16" s="8" t="s">
        <v>170</v>
      </c>
      <c r="C16" s="8" t="s">
        <v>212</v>
      </c>
      <c r="D16" s="8" t="s">
        <v>213</v>
      </c>
      <c r="E16" s="8" t="s">
        <v>214</v>
      </c>
      <c r="F16" s="8" t="s">
        <v>215</v>
      </c>
      <c r="G16" s="8" t="s">
        <v>163</v>
      </c>
      <c r="H16" s="10" t="s">
        <v>42</v>
      </c>
    </row>
    <row r="17" customFormat="false" ht="34.5" hidden="false" customHeight="true" outlineLevel="0" collapsed="false">
      <c r="A17" s="8" t="s">
        <v>216</v>
      </c>
      <c r="B17" s="8" t="s">
        <v>170</v>
      </c>
      <c r="C17" s="8" t="s">
        <v>217</v>
      </c>
      <c r="D17" s="8" t="s">
        <v>218</v>
      </c>
      <c r="E17" s="8" t="s">
        <v>219</v>
      </c>
      <c r="F17" s="8" t="s">
        <v>220</v>
      </c>
      <c r="G17" s="8" t="s">
        <v>185</v>
      </c>
      <c r="H17" s="9" t="s">
        <v>29</v>
      </c>
    </row>
    <row r="18" customFormat="false" ht="23.25" hidden="false" customHeight="true" outlineLevel="0" collapsed="false">
      <c r="A18" s="8" t="s">
        <v>221</v>
      </c>
      <c r="B18" s="8" t="s">
        <v>170</v>
      </c>
      <c r="C18" s="8" t="s">
        <v>222</v>
      </c>
      <c r="D18" s="8" t="s">
        <v>223</v>
      </c>
      <c r="E18" s="8" t="s">
        <v>224</v>
      </c>
      <c r="F18" s="8" t="s">
        <v>225</v>
      </c>
      <c r="G18" s="8" t="s">
        <v>185</v>
      </c>
      <c r="H18" s="9" t="s">
        <v>29</v>
      </c>
    </row>
    <row r="19" customFormat="false" ht="15" hidden="false" customHeight="true" outlineLevel="0" collapsed="false">
      <c r="A19" s="8" t="s">
        <v>226</v>
      </c>
      <c r="B19" s="8" t="s">
        <v>206</v>
      </c>
      <c r="C19" s="8" t="s">
        <v>227</v>
      </c>
      <c r="D19" s="8" t="s">
        <v>228</v>
      </c>
      <c r="E19" s="8" t="s">
        <v>229</v>
      </c>
      <c r="F19" s="8" t="s">
        <v>230</v>
      </c>
      <c r="G19" s="8" t="s">
        <v>163</v>
      </c>
      <c r="H19" s="9" t="s">
        <v>29</v>
      </c>
    </row>
    <row r="20" customFormat="false" ht="23.25" hidden="false" customHeight="true" outlineLevel="0" collapsed="false">
      <c r="A20" s="8" t="s">
        <v>231</v>
      </c>
      <c r="B20" s="8" t="s">
        <v>206</v>
      </c>
      <c r="C20" s="8" t="s">
        <v>232</v>
      </c>
      <c r="D20" s="8" t="s">
        <v>233</v>
      </c>
      <c r="E20" s="8" t="s">
        <v>234</v>
      </c>
      <c r="F20" s="8" t="s">
        <v>235</v>
      </c>
      <c r="G20" s="8" t="s">
        <v>163</v>
      </c>
      <c r="H20" s="10" t="s">
        <v>42</v>
      </c>
    </row>
    <row r="21" customFormat="false" ht="23.25" hidden="false" customHeight="true" outlineLevel="0" collapsed="false">
      <c r="A21" s="8" t="s">
        <v>236</v>
      </c>
      <c r="B21" s="8" t="s">
        <v>206</v>
      </c>
      <c r="C21" s="8" t="s">
        <v>153</v>
      </c>
      <c r="D21" s="8" t="s">
        <v>237</v>
      </c>
      <c r="E21" s="8" t="s">
        <v>238</v>
      </c>
      <c r="F21" s="8" t="s">
        <v>239</v>
      </c>
      <c r="G21" s="8" t="s">
        <v>157</v>
      </c>
      <c r="H21" s="11" t="s">
        <v>59</v>
      </c>
    </row>
  </sheetData>
  <autoFilter ref="A4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0"/>
    <col collapsed="false" customWidth="true" hidden="false" outlineLevel="0" max="3" min="3" style="1" width="14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34"/>
    <col collapsed="false" customWidth="true" hidden="false" outlineLevel="0" max="7" min="7" style="1" width="52"/>
  </cols>
  <sheetData>
    <row r="1" customFormat="false" ht="17.25" hidden="false" customHeight="true" outlineLevel="0" collapsed="false">
      <c r="A1" s="2" t="s">
        <v>240</v>
      </c>
    </row>
    <row r="2" customFormat="false" ht="15" hidden="false" customHeight="true" outlineLevel="0" collapsed="false">
      <c r="A2" s="3" t="s">
        <v>241</v>
      </c>
    </row>
    <row r="4" customFormat="false" ht="15" hidden="false" customHeight="true" outlineLevel="0" collapsed="false">
      <c r="A4" s="7" t="s">
        <v>145</v>
      </c>
      <c r="B4" s="7" t="s">
        <v>242</v>
      </c>
      <c r="C4" s="7" t="s">
        <v>147</v>
      </c>
      <c r="D4" s="7" t="s">
        <v>243</v>
      </c>
      <c r="E4" s="7" t="s">
        <v>23</v>
      </c>
      <c r="F4" s="7" t="s">
        <v>244</v>
      </c>
      <c r="G4" s="7" t="s">
        <v>22</v>
      </c>
    </row>
    <row r="5" customFormat="false" ht="23.25" hidden="false" customHeight="true" outlineLevel="0" collapsed="false">
      <c r="A5" s="8" t="s">
        <v>245</v>
      </c>
      <c r="B5" s="8" t="s">
        <v>246</v>
      </c>
      <c r="C5" s="8" t="s">
        <v>26</v>
      </c>
      <c r="D5" s="8" t="s">
        <v>247</v>
      </c>
      <c r="E5" s="9" t="s">
        <v>29</v>
      </c>
      <c r="F5" s="8" t="s">
        <v>248</v>
      </c>
      <c r="G5" s="8" t="s">
        <v>249</v>
      </c>
    </row>
    <row r="6" customFormat="false" ht="23.25" hidden="false" customHeight="true" outlineLevel="0" collapsed="false">
      <c r="A6" s="8" t="s">
        <v>250</v>
      </c>
      <c r="B6" s="8" t="s">
        <v>251</v>
      </c>
      <c r="C6" s="8" t="s">
        <v>31</v>
      </c>
      <c r="D6" s="8" t="s">
        <v>247</v>
      </c>
      <c r="E6" s="9" t="s">
        <v>29</v>
      </c>
      <c r="F6" s="8" t="s">
        <v>252</v>
      </c>
      <c r="G6" s="8" t="s">
        <v>253</v>
      </c>
    </row>
    <row r="7" customFormat="false" ht="23.25" hidden="false" customHeight="true" outlineLevel="0" collapsed="false">
      <c r="A7" s="8" t="s">
        <v>254</v>
      </c>
      <c r="B7" s="8" t="s">
        <v>255</v>
      </c>
      <c r="C7" s="8" t="s">
        <v>256</v>
      </c>
      <c r="D7" s="8" t="s">
        <v>257</v>
      </c>
      <c r="E7" s="10" t="s">
        <v>42</v>
      </c>
      <c r="F7" s="8" t="s">
        <v>252</v>
      </c>
      <c r="G7" s="8" t="s">
        <v>258</v>
      </c>
    </row>
    <row r="8" customFormat="false" ht="15" hidden="false" customHeight="true" outlineLevel="0" collapsed="false">
      <c r="A8" s="8" t="s">
        <v>259</v>
      </c>
      <c r="B8" s="8" t="s">
        <v>260</v>
      </c>
      <c r="C8" s="8" t="s">
        <v>68</v>
      </c>
      <c r="D8" s="8" t="s">
        <v>261</v>
      </c>
      <c r="E8" s="9" t="s">
        <v>29</v>
      </c>
      <c r="F8" s="8" t="s">
        <v>252</v>
      </c>
      <c r="G8" s="8"/>
    </row>
    <row r="9" customFormat="false" ht="15" hidden="false" customHeight="true" outlineLevel="0" collapsed="false">
      <c r="A9" s="8" t="s">
        <v>262</v>
      </c>
      <c r="B9" s="8" t="s">
        <v>263</v>
      </c>
      <c r="C9" s="8" t="s">
        <v>119</v>
      </c>
      <c r="D9" s="8" t="s">
        <v>264</v>
      </c>
      <c r="E9" s="9" t="s">
        <v>29</v>
      </c>
      <c r="F9" s="8" t="s">
        <v>265</v>
      </c>
      <c r="G9" s="8" t="s">
        <v>266</v>
      </c>
    </row>
    <row r="10" customFormat="false" ht="15" hidden="false" customHeight="true" outlineLevel="0" collapsed="false">
      <c r="A10" s="8" t="s">
        <v>267</v>
      </c>
      <c r="B10" s="8" t="s">
        <v>268</v>
      </c>
      <c r="C10" s="8" t="s">
        <v>122</v>
      </c>
      <c r="D10" s="8" t="s">
        <v>264</v>
      </c>
      <c r="E10" s="9" t="s">
        <v>29</v>
      </c>
      <c r="F10" s="8" t="s">
        <v>265</v>
      </c>
      <c r="G10" s="8" t="s">
        <v>269</v>
      </c>
    </row>
    <row r="11" customFormat="false" ht="23.25" hidden="false" customHeight="true" outlineLevel="0" collapsed="false">
      <c r="A11" s="8" t="s">
        <v>270</v>
      </c>
      <c r="B11" s="8" t="s">
        <v>271</v>
      </c>
      <c r="C11" s="8" t="s">
        <v>272</v>
      </c>
      <c r="D11" s="8" t="s">
        <v>273</v>
      </c>
      <c r="E11" s="9" t="s">
        <v>29</v>
      </c>
      <c r="F11" s="8" t="s">
        <v>265</v>
      </c>
      <c r="G11" s="8" t="s">
        <v>274</v>
      </c>
    </row>
    <row r="12" customFormat="false" ht="15" hidden="false" customHeight="true" outlineLevel="0" collapsed="false">
      <c r="A12" s="8" t="s">
        <v>275</v>
      </c>
      <c r="B12" s="8" t="s">
        <v>276</v>
      </c>
      <c r="C12" s="8" t="s">
        <v>94</v>
      </c>
      <c r="D12" s="8" t="s">
        <v>277</v>
      </c>
      <c r="E12" s="9" t="s">
        <v>29</v>
      </c>
      <c r="F12" s="8" t="s">
        <v>278</v>
      </c>
      <c r="G12" s="8"/>
    </row>
    <row r="13" customFormat="false" ht="15" hidden="false" customHeight="true" outlineLevel="0" collapsed="false">
      <c r="A13" s="8" t="s">
        <v>279</v>
      </c>
      <c r="B13" s="8" t="s">
        <v>280</v>
      </c>
      <c r="C13" s="8" t="s">
        <v>135</v>
      </c>
      <c r="D13" s="8" t="s">
        <v>281</v>
      </c>
      <c r="E13" s="10" t="s">
        <v>42</v>
      </c>
      <c r="F13" s="8" t="s">
        <v>252</v>
      </c>
      <c r="G13" s="8"/>
    </row>
    <row r="14" customFormat="false" ht="15" hidden="false" customHeight="true" outlineLevel="0" collapsed="false">
      <c r="A14" s="8" t="s">
        <v>282</v>
      </c>
      <c r="B14" s="8" t="s">
        <v>283</v>
      </c>
      <c r="C14" s="8" t="s">
        <v>284</v>
      </c>
      <c r="D14" s="8" t="s">
        <v>247</v>
      </c>
      <c r="E14" s="9" t="s">
        <v>29</v>
      </c>
      <c r="F14" s="8" t="s">
        <v>252</v>
      </c>
      <c r="G14" s="8"/>
    </row>
    <row r="15" customFormat="false" ht="15" hidden="false" customHeight="true" outlineLevel="0" collapsed="false">
      <c r="A15" s="8" t="s">
        <v>285</v>
      </c>
      <c r="B15" s="8" t="s">
        <v>286</v>
      </c>
      <c r="C15" s="8" t="s">
        <v>284</v>
      </c>
      <c r="D15" s="8" t="s">
        <v>287</v>
      </c>
      <c r="E15" s="9" t="s">
        <v>29</v>
      </c>
      <c r="F15" s="8" t="s">
        <v>252</v>
      </c>
      <c r="G15" s="8"/>
    </row>
    <row r="16" customFormat="false" ht="15" hidden="false" customHeight="true" outlineLevel="0" collapsed="false">
      <c r="A16" s="8" t="s">
        <v>288</v>
      </c>
      <c r="B16" s="8" t="s">
        <v>289</v>
      </c>
      <c r="C16" s="8" t="s">
        <v>284</v>
      </c>
      <c r="D16" s="8" t="s">
        <v>247</v>
      </c>
      <c r="E16" s="9" t="s">
        <v>29</v>
      </c>
      <c r="F16" s="8" t="s">
        <v>265</v>
      </c>
      <c r="G16" s="8"/>
    </row>
    <row r="17" customFormat="false" ht="15" hidden="false" customHeight="true" outlineLevel="0" collapsed="false">
      <c r="A17" s="8" t="s">
        <v>290</v>
      </c>
      <c r="B17" s="8" t="s">
        <v>291</v>
      </c>
      <c r="C17" s="8" t="s">
        <v>284</v>
      </c>
      <c r="D17" s="8" t="s">
        <v>292</v>
      </c>
      <c r="E17" s="10" t="s">
        <v>42</v>
      </c>
      <c r="F17" s="8" t="s">
        <v>252</v>
      </c>
      <c r="G17" s="8"/>
    </row>
    <row r="18" customFormat="false" ht="23.25" hidden="false" customHeight="true" outlineLevel="0" collapsed="false">
      <c r="A18" s="8" t="s">
        <v>293</v>
      </c>
      <c r="B18" s="8" t="s">
        <v>294</v>
      </c>
      <c r="C18" s="8" t="s">
        <v>97</v>
      </c>
      <c r="D18" s="8" t="s">
        <v>247</v>
      </c>
      <c r="E18" s="9" t="s">
        <v>29</v>
      </c>
      <c r="F18" s="8" t="s">
        <v>252</v>
      </c>
      <c r="G18" s="8"/>
    </row>
    <row r="19" customFormat="false" ht="23.25" hidden="false" customHeight="true" outlineLevel="0" collapsed="false">
      <c r="A19" s="8" t="s">
        <v>295</v>
      </c>
      <c r="B19" s="8" t="s">
        <v>296</v>
      </c>
      <c r="C19" s="8" t="s">
        <v>284</v>
      </c>
      <c r="D19" s="8" t="s">
        <v>297</v>
      </c>
      <c r="E19" s="10" t="s">
        <v>42</v>
      </c>
      <c r="F19" s="8" t="s">
        <v>298</v>
      </c>
      <c r="G19" s="8" t="s">
        <v>299</v>
      </c>
    </row>
    <row r="20" customFormat="false" ht="23.25" hidden="false" customHeight="true" outlineLevel="0" collapsed="false">
      <c r="A20" s="8" t="s">
        <v>300</v>
      </c>
      <c r="B20" s="8" t="s">
        <v>301</v>
      </c>
      <c r="C20" s="8" t="s">
        <v>302</v>
      </c>
      <c r="D20" s="8" t="s">
        <v>247</v>
      </c>
      <c r="E20" s="9" t="s">
        <v>29</v>
      </c>
      <c r="F20" s="8" t="s">
        <v>265</v>
      </c>
      <c r="G20" s="8"/>
    </row>
    <row r="21" customFormat="false" ht="23.25" hidden="false" customHeight="true" outlineLevel="0" collapsed="false">
      <c r="A21" s="8" t="s">
        <v>303</v>
      </c>
      <c r="B21" s="8" t="s">
        <v>304</v>
      </c>
      <c r="C21" s="8" t="s">
        <v>305</v>
      </c>
      <c r="D21" s="8" t="s">
        <v>261</v>
      </c>
      <c r="E21" s="10" t="s">
        <v>42</v>
      </c>
      <c r="F21" s="8" t="s">
        <v>252</v>
      </c>
      <c r="G21" s="8"/>
    </row>
    <row r="22" customFormat="false" ht="15" hidden="false" customHeight="true" outlineLevel="0" collapsed="false">
      <c r="A22" s="8" t="s">
        <v>306</v>
      </c>
      <c r="B22" s="8" t="s">
        <v>307</v>
      </c>
      <c r="C22" s="8" t="s">
        <v>26</v>
      </c>
      <c r="D22" s="8" t="s">
        <v>247</v>
      </c>
      <c r="E22" s="9" t="s">
        <v>29</v>
      </c>
      <c r="F22" s="8" t="s">
        <v>252</v>
      </c>
      <c r="G22" s="8"/>
    </row>
    <row r="23" customFormat="false" ht="23.25" hidden="false" customHeight="true" outlineLevel="0" collapsed="false">
      <c r="A23" s="8" t="s">
        <v>308</v>
      </c>
      <c r="B23" s="8" t="s">
        <v>309</v>
      </c>
      <c r="C23" s="8" t="s">
        <v>83</v>
      </c>
      <c r="D23" s="8" t="s">
        <v>59</v>
      </c>
      <c r="E23" s="11" t="s">
        <v>59</v>
      </c>
      <c r="F23" s="8" t="s">
        <v>252</v>
      </c>
      <c r="G23" s="8"/>
    </row>
  </sheetData>
  <autoFilter ref="A4:G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310</v>
      </c>
    </row>
    <row r="2" customFormat="false" ht="15" hidden="false" customHeight="true" outlineLevel="0" collapsed="false">
      <c r="A2" s="3" t="s">
        <v>311</v>
      </c>
    </row>
    <row r="4" customFormat="false" ht="23.25" hidden="false" customHeight="true" outlineLevel="0" collapsed="false">
      <c r="A4" s="7" t="s">
        <v>312</v>
      </c>
      <c r="B4" s="7" t="s">
        <v>313</v>
      </c>
      <c r="C4" s="7" t="s">
        <v>314</v>
      </c>
      <c r="D4" s="7" t="s">
        <v>315</v>
      </c>
    </row>
    <row r="5" customFormat="false" ht="15" hidden="false" customHeight="true" outlineLevel="0" collapsed="false">
      <c r="A5" s="8" t="s">
        <v>316</v>
      </c>
      <c r="B5" s="8" t="n">
        <v>3</v>
      </c>
      <c r="C5" s="8" t="n">
        <v>2</v>
      </c>
      <c r="D5" s="8" t="n">
        <f aca="false">C5-B5</f>
        <v>-1</v>
      </c>
    </row>
    <row r="6" customFormat="false" ht="15" hidden="false" customHeight="true" outlineLevel="0" collapsed="false">
      <c r="A6" s="8" t="s">
        <v>317</v>
      </c>
      <c r="B6" s="8" t="n">
        <v>5</v>
      </c>
      <c r="C6" s="8" t="n">
        <v>3</v>
      </c>
      <c r="D6" s="8" t="n">
        <f aca="false">C6-B6</f>
        <v>-2</v>
      </c>
    </row>
    <row r="7" customFormat="false" ht="15" hidden="false" customHeight="true" outlineLevel="0" collapsed="false">
      <c r="A7" s="8" t="s">
        <v>318</v>
      </c>
      <c r="B7" s="8" t="n">
        <v>8</v>
      </c>
      <c r="C7" s="8" t="n">
        <v>3</v>
      </c>
      <c r="D7" s="8" t="n">
        <f aca="false">C7-B7</f>
        <v>-5</v>
      </c>
    </row>
    <row r="8" customFormat="false" ht="15" hidden="false" customHeight="true" outlineLevel="0" collapsed="false">
      <c r="A8" s="8" t="s">
        <v>319</v>
      </c>
      <c r="B8" s="8" t="n">
        <v>8</v>
      </c>
      <c r="C8" s="8" t="n">
        <v>2</v>
      </c>
      <c r="D8" s="8" t="n">
        <f aca="false">C8-B8</f>
        <v>-6</v>
      </c>
    </row>
    <row r="9" customFormat="false" ht="15" hidden="false" customHeight="true" outlineLevel="0" collapsed="false">
      <c r="A9" s="8" t="s">
        <v>320</v>
      </c>
      <c r="B9" s="8" t="n">
        <v>1</v>
      </c>
      <c r="C9" s="8" t="n">
        <v>1</v>
      </c>
      <c r="D9" s="8" t="n">
        <f aca="false">C9-B9</f>
        <v>0</v>
      </c>
    </row>
    <row r="10" customFormat="false" ht="15" hidden="false" customHeight="true" outlineLevel="0" collapsed="false">
      <c r="A10" s="8" t="s">
        <v>321</v>
      </c>
      <c r="B10" s="8" t="n">
        <v>9</v>
      </c>
      <c r="C10" s="8" t="n">
        <v>2</v>
      </c>
      <c r="D10" s="8" t="n">
        <f aca="false">C10-B10</f>
        <v>-7</v>
      </c>
    </row>
    <row r="11" customFormat="false" ht="15" hidden="false" customHeight="true" outlineLevel="0" collapsed="false">
      <c r="A11" s="8" t="s">
        <v>322</v>
      </c>
      <c r="B11" s="8" t="n">
        <v>2</v>
      </c>
      <c r="C11" s="8" t="n">
        <v>1.5</v>
      </c>
      <c r="D11" s="8" t="n">
        <f aca="false">C11-B11</f>
        <v>-0.5</v>
      </c>
    </row>
    <row r="12" customFormat="false" ht="15" hidden="false" customHeight="true" outlineLevel="0" collapsed="false">
      <c r="A12" s="8" t="s">
        <v>323</v>
      </c>
      <c r="B12" s="8" t="n">
        <v>3</v>
      </c>
      <c r="C12" s="8" t="n">
        <v>2.5</v>
      </c>
      <c r="D12" s="8" t="n">
        <f aca="false">C12-B12</f>
        <v>-0.5</v>
      </c>
    </row>
    <row r="13" customFormat="false" ht="15" hidden="false" customHeight="true" outlineLevel="0" collapsed="false">
      <c r="A13" s="8" t="s">
        <v>324</v>
      </c>
      <c r="B13" s="8" t="n">
        <v>6</v>
      </c>
      <c r="C13" s="8" t="n">
        <v>1.5</v>
      </c>
      <c r="D13" s="8" t="n">
        <f aca="false">C13-B13</f>
        <v>-4.5</v>
      </c>
    </row>
    <row r="14" customFormat="false" ht="15" hidden="false" customHeight="true" outlineLevel="0" collapsed="false">
      <c r="A14" s="8" t="s">
        <v>325</v>
      </c>
      <c r="B14" s="8" t="n">
        <v>12</v>
      </c>
      <c r="C14" s="8" t="n">
        <v>3</v>
      </c>
      <c r="D14" s="8" t="n">
        <f aca="false">C14-B14</f>
        <v>-9</v>
      </c>
    </row>
    <row r="15" customFormat="false" ht="15" hidden="false" customHeight="true" outlineLevel="0" collapsed="false">
      <c r="A15" s="8" t="s">
        <v>326</v>
      </c>
      <c r="B15" s="8" t="n">
        <v>4</v>
      </c>
      <c r="C15" s="8" t="n">
        <v>5</v>
      </c>
      <c r="D15" s="8" t="n">
        <f aca="false">C15-B15</f>
        <v>1</v>
      </c>
    </row>
    <row r="16" customFormat="false" ht="15" hidden="false" customHeight="true" outlineLevel="0" collapsed="false">
      <c r="A16" s="8" t="s">
        <v>327</v>
      </c>
      <c r="B16" s="8" t="n">
        <v>3</v>
      </c>
      <c r="C16" s="8" t="n">
        <v>2.5</v>
      </c>
      <c r="D16" s="8" t="n">
        <f aca="false">C16-B16</f>
        <v>-0.5</v>
      </c>
    </row>
    <row r="17" customFormat="false" ht="15" hidden="false" customHeight="true" outlineLevel="0" collapsed="false">
      <c r="A17" s="8" t="s">
        <v>328</v>
      </c>
      <c r="B17" s="8" t="n">
        <v>8</v>
      </c>
      <c r="C17" s="8" t="n">
        <v>6</v>
      </c>
      <c r="D17" s="8" t="n">
        <f aca="false">C17-B17</f>
        <v>-2</v>
      </c>
    </row>
    <row r="18" customFormat="false" ht="15" hidden="false" customHeight="true" outlineLevel="0" collapsed="false">
      <c r="A18" s="8" t="s">
        <v>329</v>
      </c>
      <c r="B18" s="8" t="n">
        <v>16</v>
      </c>
      <c r="C18" s="8" t="n">
        <v>8</v>
      </c>
      <c r="D18" s="8" t="n">
        <f aca="false">C18-B18</f>
        <v>-8</v>
      </c>
    </row>
    <row r="19" customFormat="false" ht="15" hidden="false" customHeight="true" outlineLevel="0" collapsed="false">
      <c r="A19" s="8" t="s">
        <v>330</v>
      </c>
      <c r="B19" s="8" t="n">
        <v>4</v>
      </c>
      <c r="C19" s="8" t="n">
        <v>3</v>
      </c>
      <c r="D19" s="8" t="n">
        <f aca="false">C19-B19</f>
        <v>-1</v>
      </c>
    </row>
    <row r="20" customFormat="false" ht="15" hidden="false" customHeight="true" outlineLevel="0" collapsed="false">
      <c r="A20" s="4" t="s">
        <v>331</v>
      </c>
      <c r="B20" s="12" t="n">
        <f aca="false">SUM(B5:B19)</f>
        <v>92</v>
      </c>
      <c r="C20" s="12" t="n">
        <f aca="false">SUM(C5:C19)</f>
        <v>46</v>
      </c>
      <c r="D20" s="12" t="n">
        <f aca="false">SUM(D5:D19)</f>
        <v>-46</v>
      </c>
    </row>
    <row r="21" customFormat="false" ht="15" hidden="false" customHeight="true" outlineLevel="0" collapsed="false">
      <c r="A21" s="6" t="s">
        <v>332</v>
      </c>
      <c r="C21" s="6" t="n">
        <v>50</v>
      </c>
    </row>
    <row r="22" customFormat="false" ht="15" hidden="false" customHeight="true" outlineLevel="0" collapsed="false">
      <c r="A22" s="4" t="s">
        <v>333</v>
      </c>
      <c r="C22" s="4" t="n">
        <f aca="false">C21-C20</f>
        <v>4</v>
      </c>
    </row>
    <row r="24" customFormat="false" ht="15" hidden="false" customHeight="true" outlineLevel="0" collapsed="false">
      <c r="A24" s="3" t="s">
        <v>334</v>
      </c>
    </row>
  </sheetData>
  <autoFilter ref="A4:D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2026-10-05T19:43:37Z</dcterms:created>
  <dc:creator>openpyxl</dc:creator>
  <dc:description/>
  <dc:language>en-US</dc:language>
  <cp:lastModifiedBy/>
  <dcterms:modified xsi:type="dcterms:W3CDTF">2026-10-05T19:43:58Z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