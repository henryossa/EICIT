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Tablero" sheetId="2" state="visible" r:id="rId4"/>
    <sheet name="Dimensiones" sheetId="3" state="visible" r:id="rId5"/>
    <sheet name="Segmentos" sheetId="4" state="visible" r:id="rId6"/>
    <sheet name="IA_Detalle" sheetId="5" state="visible" r:id="rId7"/>
    <sheet name="Perfil_docente" sheetId="6" state="visible" r:id="rId8"/>
    <sheet name="Datos_items" sheetId="7" state="visible" r:id="rId9"/>
    <sheet name="Cruce_Nomina" sheetId="8" state="visible" r:id="rId10"/>
    <sheet name="Notas_metod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<sst xmlns="http://schemas.openxmlformats.org/spreadsheetml/2006/main" count="590" uniqueCount="298">
  <si>
    <t xml:space="preserve">EICIT · Escuela Iberoamericana de Ciencias Técnicas</t>
  </si>
  <si>
    <t xml:space="preserve">Diagnóstico de Competencias Digitales Docentes — Línea Base</t>
  </si>
  <si>
    <t xml:space="preserve">Escuela Normal Superior María Auxiliadora de Soacha (ENSMA)</t>
  </si>
  <si>
    <t xml:space="preserve">Análisis y conclusiones preliminares</t>
  </si>
  <si>
    <t xml:space="preserve">Tarea del cronograma</t>
  </si>
  <si>
    <t xml:space="preserve">1.2.5 / F1-T5 — Aplicación y análisis del instrumento</t>
  </si>
  <si>
    <t xml:space="preserve">Marco</t>
  </si>
  <si>
    <t xml:space="preserve">Circular 0064 de 2026 (SEM) · Actualización del PEI 2026–2027</t>
  </si>
  <si>
    <t xml:space="preserve">Instrumento</t>
  </si>
  <si>
    <t xml:space="preserve">62 ítems · 7 dimensiones · niveles MEN (Explorador/Integrador/Innovador)</t>
  </si>
  <si>
    <t xml:space="preserve">Referentes</t>
  </si>
  <si>
    <t xml:space="preserve">MEN · DigCompEdu · UNESCO IA 2024 · pedagogía preventiva salesiana</t>
  </si>
  <si>
    <t xml:space="preserve">Universo</t>
  </si>
  <si>
    <t xml:space="preserve">33 docentes (nómina 2026)</t>
  </si>
  <si>
    <t xml:space="preserve">Respuestas</t>
  </si>
  <si>
    <t xml:space="preserve">28 docentes · tasa de respuesta 84,8%</t>
  </si>
  <si>
    <t xml:space="preserve">Elaboró</t>
  </si>
  <si>
    <t xml:space="preserve">EICIT IA</t>
  </si>
  <si>
    <t xml:space="preserve">Fecha</t>
  </si>
  <si>
    <t xml:space="preserve">Agosto de 2026</t>
  </si>
  <si>
    <t xml:space="preserve">Uso</t>
  </si>
  <si>
    <t xml:space="preserve">Documento institucional para deliberación de la ENSMA · datos nominales (habeas data)</t>
  </si>
  <si>
    <t xml:space="preserve">Advertencia metodológica</t>
  </si>
  <si>
    <t xml:space="preserve">•  Resultados de AUTOPERCEPCIÓN (instrumento autoinformado y nominal): interpretar como percepción, no como desempeño verificado.</t>
  </si>
  <si>
    <t xml:space="preserve">•  Es un CENSO (N=28), no una muestra: todas las conclusiones son DESCRIPTIVAS. No aplican pruebas de inferencia ni márgenes de error.</t>
  </si>
  <si>
    <t xml:space="preserve">•  Los segmentos con pocos casos (p. ej. «Menos de 3 años» n=1; «Posgrado» n=3) se leen con cautela.</t>
  </si>
  <si>
    <t xml:space="preserve">•  Posible sesgo de no respuesta: los 5 docentes que no respondieron podrían diferir del grupo que sí lo hizo.</t>
  </si>
  <si>
    <t xml:space="preserve">•  La caracterización no incluye edad; el cruce con la nómina se hizo por nombre (sin llave de correo).</t>
  </si>
  <si>
    <t xml:space="preserve">Tablero de resultados — Línea base de competencias digitales</t>
  </si>
  <si>
    <t xml:space="preserve">Universo (nómina 2026)</t>
  </si>
  <si>
    <t xml:space="preserve">Respuestas válidas</t>
  </si>
  <si>
    <t xml:space="preserve">Tasa de respuesta</t>
  </si>
  <si>
    <t xml:space="preserve">Índice global medio (0–100)</t>
  </si>
  <si>
    <t xml:space="preserve">Mediana</t>
  </si>
  <si>
    <t xml:space="preserve">Mínimo – Máximo</t>
  </si>
  <si>
    <t xml:space="preserve">Clasificación MEN (índice global)</t>
  </si>
  <si>
    <t xml:space="preserve">Innovador</t>
  </si>
  <si>
    <t xml:space="preserve">Integrador</t>
  </si>
  <si>
    <t xml:space="preserve">Explorador</t>
  </si>
  <si>
    <t xml:space="preserve">Fuente: instrumento autoinformado (28 docentes). Resultados descriptivos.</t>
  </si>
  <si>
    <t xml:space="preserve">Perfil por dimensión (índice 0–100 y distribución MEN)</t>
  </si>
  <si>
    <t xml:space="preserve">Dimensión</t>
  </si>
  <si>
    <t xml:space="preserve">Índice medio</t>
  </si>
  <si>
    <t xml:space="preserve">Lectura</t>
  </si>
  <si>
    <t xml:space="preserve">D1 Actitud y disposición</t>
  </si>
  <si>
    <t xml:space="preserve">Muy alta disposición y mentalidad de innovación</t>
  </si>
  <si>
    <t xml:space="preserve">D2 Información y datos</t>
  </si>
  <si>
    <t xml:space="preserve">Búsqueda y gestión de información sólidas</t>
  </si>
  <si>
    <t xml:space="preserve">D3 Comunicación y creación</t>
  </si>
  <si>
    <t xml:space="preserve">Rezago en aula virtual y creación multimedia</t>
  </si>
  <si>
    <t xml:space="preserve">D4 Seguridad y ciudadanía</t>
  </si>
  <si>
    <t xml:space="preserve">Bienestar/ciudadanía por consolidar</t>
  </si>
  <si>
    <t xml:space="preserve">D5 Pedagogía digital</t>
  </si>
  <si>
    <t xml:space="preserve">La más baja: metodologías activas y creación con TIC</t>
  </si>
  <si>
    <t xml:space="preserve">D6 Inteligencia Artificial *</t>
  </si>
  <si>
    <t xml:space="preserve">Interés alto, destreza aplicada media (ver hoja IA)</t>
  </si>
  <si>
    <t xml:space="preserve">D7 Conocimiento aplicado</t>
  </si>
  <si>
    <t xml:space="preserve">Conocimiento base alto (efecto techo del cuestionario)</t>
  </si>
  <si>
    <t xml:space="preserve">* D6 (Inteligencia Artificial) pondera doble en el índice global.</t>
  </si>
  <si>
    <t xml:space="preserve">Índice global por segmentos (descriptivo)</t>
  </si>
  <si>
    <t xml:space="preserve">Años de experiencia</t>
  </si>
  <si>
    <t xml:space="preserve">Categoría</t>
  </si>
  <si>
    <t xml:space="preserve">n</t>
  </si>
  <si>
    <t xml:space="preserve">Menos de 3</t>
  </si>
  <si>
    <t xml:space="preserve">3 a 10</t>
  </si>
  <si>
    <t xml:space="preserve">11 a 20</t>
  </si>
  <si>
    <t xml:space="preserve">Más de 20</t>
  </si>
  <si>
    <t xml:space="preserve">Formación previa en tecnología</t>
  </si>
  <si>
    <t xml:space="preserve">Ninguna</t>
  </si>
  <si>
    <t xml:space="preserve">Informal o autodidacta</t>
  </si>
  <si>
    <t xml:space="preserve">Cursos cortos</t>
  </si>
  <si>
    <t xml:space="preserve">Posgrado o certificación formal</t>
  </si>
  <si>
    <t xml:space="preserve">Conectividad</t>
  </si>
  <si>
    <t xml:space="preserve">Limitada</t>
  </si>
  <si>
    <t xml:space="preserve">Intermitente</t>
  </si>
  <si>
    <t xml:space="preserve">Estable</t>
  </si>
  <si>
    <t xml:space="preserve">Dispositivo</t>
  </si>
  <si>
    <t xml:space="preserve">Sin dispositivo estable</t>
  </si>
  <si>
    <t xml:space="preserve">Computador institucional</t>
  </si>
  <si>
    <t xml:space="preserve">Computador propio</t>
  </si>
  <si>
    <t xml:space="preserve">Nivel en que enseña (un docente cuenta en cada nivel)</t>
  </si>
  <si>
    <t xml:space="preserve">Nivel</t>
  </si>
  <si>
    <t xml:space="preserve">Preescolar</t>
  </si>
  <si>
    <t xml:space="preserve">Primaria</t>
  </si>
  <si>
    <t xml:space="preserve">Secundaria</t>
  </si>
  <si>
    <t xml:space="preserve">Media</t>
  </si>
  <si>
    <t xml:space="preserve">Dimensión 6 · Inteligencia Artificial — detalle por ítem</t>
  </si>
  <si>
    <t xml:space="preserve">Ítem (D6)</t>
  </si>
  <si>
    <t xml:space="preserve">Comprende la IA generativa</t>
  </si>
  <si>
    <t xml:space="preserve">Base conceptual instalada</t>
  </si>
  <si>
    <t xml:space="preserve">Ha usado IA para clases/materiales</t>
  </si>
  <si>
    <t xml:space="preserve">Uso incipiente ya presente</t>
  </si>
  <si>
    <t xml:space="preserve">Formula prompts efectivos</t>
  </si>
  <si>
    <t xml:space="preserve">Margen de mejora</t>
  </si>
  <si>
    <t xml:space="preserve">Detecta errores/sesgos/alucinaciones</t>
  </si>
  <si>
    <t xml:space="preserve">Criterio crítico a reforzar</t>
  </si>
  <si>
    <t xml:space="preserve">Conoce criterios éticos de uso</t>
  </si>
  <si>
    <t xml:space="preserve">Ética a formalizar</t>
  </si>
  <si>
    <t xml:space="preserve">Diseña actividades con IA</t>
  </si>
  <si>
    <t xml:space="preserve">Diseño didáctico con IA: foco</t>
  </si>
  <si>
    <t xml:space="preserve">Se siente preparado para orientar a colegas</t>
  </si>
  <si>
    <t xml:space="preserve">Capacidad multiplicadora: la más baja</t>
  </si>
  <si>
    <t xml:space="preserve">Interés en formarse en IA</t>
  </si>
  <si>
    <t xml:space="preserve">Palanca: disposición altísima</t>
  </si>
  <si>
    <t xml:space="preserve">Brecha interés vs. destreza aplicada</t>
  </si>
  <si>
    <t xml:space="preserve">Interés en formarse (BC)</t>
  </si>
  <si>
    <t xml:space="preserve">Destreza aplicada media (prompts, alucinaciones, diseño, mentoría)</t>
  </si>
  <si>
    <t xml:space="preserve">Brecha (puntos)</t>
  </si>
  <si>
    <t xml:space="preserve">Temas de IA que los docentes quieren priorizar</t>
  </si>
  <si>
    <t xml:space="preserve">Tema</t>
  </si>
  <si>
    <t xml:space="preserve">Docentes</t>
  </si>
  <si>
    <t xml:space="preserve">% del total</t>
  </si>
  <si>
    <t xml:space="preserve">Creación de materiales</t>
  </si>
  <si>
    <t xml:space="preserve">Uso con estudiantes</t>
  </si>
  <si>
    <t xml:space="preserve">Herramientas específicas</t>
  </si>
  <si>
    <t xml:space="preserve">Evaluación y retroalimentación</t>
  </si>
  <si>
    <t xml:space="preserve">Ética e integridad</t>
  </si>
  <si>
    <t xml:space="preserve">Fundamentos</t>
  </si>
  <si>
    <t xml:space="preserve">Docente</t>
  </si>
  <si>
    <t xml:space="preserve">Nivel(es)</t>
  </si>
  <si>
    <t xml:space="preserve">Años exp.</t>
  </si>
  <si>
    <t xml:space="preserve">Form. previa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</si>
  <si>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</si>
  <si>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</si>
  <si>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</si>
  <si>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</si>
  <si>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</si>
  <si>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D6*</t>
  </si>
  <si>
    <t xml:space="preserve">D7</t>
  </si>
  <si>
    <t xml:space="preserve">ÍNDICE GLOBAL</t>
  </si>
  <si>
    <t xml:space="preserve">Nivel MEN</t>
  </si>
  <si>
    <t xml:space="preserve">Área/asignatura</t>
  </si>
  <si>
    <t xml:space="preserve">Quiz (0-9)</t>
  </si>
  <si>
    <t xml:space="preserve">Integrar tecnología en mi práctica mejora los aprendizajes de mis estudiantes</t>
  </si>
  <si>
    <t xml:space="preserve">Me siento capaz de aprender a usar nuevas herramientas digitales por mi cuenta</t>
  </si>
  <si>
    <t xml:space="preserve">Los cambios tecnológicos frecuentes me generan agobio o rechazo</t>
  </si>
  <si>
    <t xml:space="preserve">Estoy dispuesto/a a dedicar tiempo a formarme en innovación y tecnología educativa</t>
  </si>
  <si>
    <t xml:space="preserve">La tecnología debe estar al servicio del desarrollo integral de la persona, y no al revés</t>
  </si>
  <si>
    <t xml:space="preserve">Prefiero mis métodos habituales antes que incorporar nuevas herramientas digitales</t>
  </si>
  <si>
    <t xml:space="preserve">Veo la inteligencia artificial más como una oportunidad que como una amenaza para la educación</t>
  </si>
  <si>
    <t xml:space="preserve">Me siento cómodo/a experimentando con recursos digitales aunque no domine todo desde el inicio</t>
  </si>
  <si>
    <t xml:space="preserve">La innovación educativa es responsabilidad de toda la institución, no solo de algunas personas</t>
  </si>
  <si>
    <t xml:space="preserve">Busco información en internet con criterios y filtros avanzados (operadores, fuentes especializadas)</t>
  </si>
  <si>
    <t xml:space="preserve">Evalúo la fiabilidad y el posible sesgo de las fuentes digitales antes de usarlas o recomendarlas</t>
  </si>
  <si>
    <t xml:space="preserve">Organizo y almaceno mis recursos digitales de forma sistemática (carpetas, nube, nomenclatura)</t>
  </si>
  <si>
    <t xml:space="preserve">Uso hojas de cálculo para organizar o analizar datos de mis estudiantes</t>
  </si>
  <si>
    <t xml:space="preserve">Enseño a mis estudiantes a buscar y evaluar información digital de forma crítica</t>
  </si>
  <si>
    <t xml:space="preserve">¿Con qué frecuencia usa recursos digitales para preparar sus clases?</t>
  </si>
  <si>
    <t xml:space="preserve">Uso herramientas digitales para comunicarme con estudiantes y familias (correo, plataforma, mensajería institucional)</t>
  </si>
  <si>
    <t xml:space="preserve">Colaboro con colegas mediante documentos o espacios compartidos en línea</t>
  </si>
  <si>
    <t xml:space="preserve">Creo mis propios materiales digitales (presentaciones, documentos, infografías)</t>
  </si>
  <si>
    <t xml:space="preserve">Produzco o edito recursos multimedia (audio, video o imágenes) para mis clases</t>
  </si>
  <si>
    <t xml:space="preserve">Uso plataformas o aulas virtuales para gestionar actividades y entregas</t>
  </si>
  <si>
    <t xml:space="preserve">¿Con qué frecuencia utiliza un aula virtual o plataforma con sus estudiantes?</t>
  </si>
  <si>
    <t xml:space="preserve">Protejo mis cuentas con prácticas seguras (contraseñas robustas, verificación en dos pasos)</t>
  </si>
  <si>
    <t xml:space="preserve">Sé cómo proteger los datos personales de mis estudiantes conforme a la normativa de habeas data</t>
  </si>
  <si>
    <t xml:space="preserve">Reconozco situaciones de ciberacoso entre estudiantes y sé cómo actuar frente a ellas</t>
  </si>
  <si>
    <t xml:space="preserve">Oriento a mis estudiantes sobre su huella digital y su identidad en línea</t>
  </si>
  <si>
    <t xml:space="preserve">Promuevo un uso saludable y equilibrado de las pantallas (bienestar digital)</t>
  </si>
  <si>
    <t xml:space="preserve">Identifico correos, enlaces o mensajes potencialmente fraudulentos (phishing)</t>
  </si>
  <si>
    <t xml:space="preserve">Conozco las medidas institucionales de entornos seguros de aprendizaje digital</t>
  </si>
  <si>
    <t xml:space="preserve">Diseño actividades de aprendizaje que integran tecnología con un propósito pedagógico claro</t>
  </si>
  <si>
    <t xml:space="preserve">Uso tecnología para atender los distintos ritmos y necesidades de mis estudiantes</t>
  </si>
  <si>
    <t xml:space="preserve">Empleo herramientas digitales para evaluar y retroalimentar los aprendizajes</t>
  </si>
  <si>
    <t xml:space="preserve">Aplico metodologías activas apoyadas en tecnología (aprendizaje por proyectos, gamificación, aula invertida)</t>
  </si>
  <si>
    <t xml:space="preserve">Selecciono recursos digitales alineados con los objetivos y estándares de mi área</t>
  </si>
  <si>
    <t xml:space="preserve">Reflexiono sobre mi uso de la tecnología y lo ajusto según los resultados de aprendizaje</t>
  </si>
  <si>
    <t xml:space="preserve">Diseño experiencias en las que los estudiantes crean con tecnología y no solo la consumen</t>
  </si>
  <si>
    <t xml:space="preserve">Comprendo, a grandes rasgos, qué es la inteligencia artificial generativa y cómo funciona</t>
  </si>
  <si>
    <t xml:space="preserve">He usado herramientas de IA para preparar clases o materiales educativos</t>
  </si>
  <si>
    <t xml:space="preserve">Sé formular instrucciones (prompts) efectivas para obtener buenos resultados de una IA</t>
  </si>
  <si>
    <t xml:space="preserve">Puedo identificar errores, sesgos o invenciones («alucinaciones») en las respuestas de una IA</t>
  </si>
  <si>
    <t xml:space="preserve">Conozco criterios éticos para usar IA con estudiantes (integridad académica, privacidad, transparencia)</t>
  </si>
  <si>
    <t xml:space="preserve">Puedo diseñar actividades en las que los estudiantes usen IA de forma crítica y responsable</t>
  </si>
  <si>
    <t xml:space="preserve">Me siento preparado/a para orientar a colegas en el uso pedagógico de la IA</t>
  </si>
  <si>
    <t xml:space="preserve">Me interesa formarme en el uso pedagógico de la inteligencia artificial</t>
  </si>
  <si>
    <t xml:space="preserve">Karla Mariana Gallo Tehelen</t>
  </si>
  <si>
    <t xml:space="preserve">Primaria, Secundaria, Media</t>
  </si>
  <si>
    <t xml:space="preserve">Idioma Extranjero</t>
  </si>
  <si>
    <t xml:space="preserve">Laura Katherin Rodríguez Caucali</t>
  </si>
  <si>
    <t xml:space="preserve">Preescolar, Primaria</t>
  </si>
  <si>
    <t xml:space="preserve">Otra</t>
  </si>
  <si>
    <t xml:space="preserve">Jorge Iván Hernández Loaiza </t>
  </si>
  <si>
    <t xml:space="preserve">Secundaria, Media</t>
  </si>
  <si>
    <t xml:space="preserve">Matemáticas</t>
  </si>
  <si>
    <t xml:space="preserve">Carlos Augusto Gómez Gualteros </t>
  </si>
  <si>
    <t xml:space="preserve">Gabriel Andrés Moreno Angarita </t>
  </si>
  <si>
    <t xml:space="preserve">Educación Religiosa</t>
  </si>
  <si>
    <t xml:space="preserve">Laura Milena Casallas Velandia </t>
  </si>
  <si>
    <t xml:space="preserve">Educación Física</t>
  </si>
  <si>
    <t xml:space="preserve">Norma constanza ortiz cañon</t>
  </si>
  <si>
    <t xml:space="preserve">Angela Viviana Alarcón Alfonso </t>
  </si>
  <si>
    <t xml:space="preserve">Ciencias Sociales</t>
  </si>
  <si>
    <t xml:space="preserve">Gustavo Adolfo Toscano Gaitán </t>
  </si>
  <si>
    <t xml:space="preserve">Kelly Jalexy Díaz Olaya </t>
  </si>
  <si>
    <t xml:space="preserve">Ciencias Naturales</t>
  </si>
  <si>
    <t xml:space="preserve">Deisy Camila Flautero Arias </t>
  </si>
  <si>
    <t xml:space="preserve">Jaime Orlando Ramírez Vargas</t>
  </si>
  <si>
    <t xml:space="preserve">María Isabel Buitrago Moreno</t>
  </si>
  <si>
    <t xml:space="preserve">Humanidades / Lengua Castellana</t>
  </si>
  <si>
    <t xml:space="preserve">LEIDY KATHERINE GARCÍA URUEÑA </t>
  </si>
  <si>
    <t xml:space="preserve">Primaria, Secundaria</t>
  </si>
  <si>
    <t xml:space="preserve">Sonia Patricia Sarria Prada</t>
  </si>
  <si>
    <t xml:space="preserve">Natalie Alejandra Carrillo Jerez </t>
  </si>
  <si>
    <t xml:space="preserve">Juliana Inés Trujillo parrado </t>
  </si>
  <si>
    <t xml:space="preserve">Brintey Julieth Garzón Moreno </t>
  </si>
  <si>
    <t xml:space="preserve">Rafael Cadena</t>
  </si>
  <si>
    <t xml:space="preserve">Preescolar, Primaria, Secundaria</t>
  </si>
  <si>
    <t xml:space="preserve">Educación Artística</t>
  </si>
  <si>
    <t xml:space="preserve">Gina Maria Cortes Vasquez</t>
  </si>
  <si>
    <t xml:space="preserve">Sandra Pilar Fuentes Simbaqueba</t>
  </si>
  <si>
    <t xml:space="preserve">Karen Alexandra Valenzuela Pulido </t>
  </si>
  <si>
    <t xml:space="preserve">Sandy Bibiana Cifuentes López </t>
  </si>
  <si>
    <t xml:space="preserve">Tecnología e Informática</t>
  </si>
  <si>
    <t xml:space="preserve">Ana Angélica Devia Vega</t>
  </si>
  <si>
    <t xml:space="preserve">Magaly Antonia Montilva Mora </t>
  </si>
  <si>
    <t xml:space="preserve">Luis Fernando Fuentes P. </t>
  </si>
  <si>
    <t xml:space="preserve">Javier Gustavo Rodríguez Gutiérrez </t>
  </si>
  <si>
    <t xml:space="preserve">Mayuri Andrea Soche Vargas</t>
  </si>
  <si>
    <t xml:space="preserve">Cruce con la nómina 2026 — cobertura y no respondientes</t>
  </si>
  <si>
    <t xml:space="preserve">Docente (nómina)</t>
  </si>
  <si>
    <t xml:space="preserve">¿Respondió?</t>
  </si>
  <si>
    <t xml:space="preserve">Coincidencia en formulario</t>
  </si>
  <si>
    <t xml:space="preserve">Carga horaria*</t>
  </si>
  <si>
    <t xml:space="preserve">N.º de roles*</t>
  </si>
  <si>
    <t xml:space="preserve">Líder/coord.*</t>
  </si>
  <si>
    <t xml:space="preserve">Posgrado*</t>
  </si>
  <si>
    <t xml:space="preserve">LEIDY KATHERINE GARCIA</t>
  </si>
  <si>
    <t xml:space="preserve">Sí</t>
  </si>
  <si>
    <t xml:space="preserve">LEIDY KATHERINE GARCÍA URUEÑA</t>
  </si>
  <si>
    <t xml:space="preserve">—</t>
  </si>
  <si>
    <t xml:space="preserve">KELLY JALEXY DIAZ OLAYA</t>
  </si>
  <si>
    <t xml:space="preserve">Kelly Jalexy Díaz Olaya</t>
  </si>
  <si>
    <t xml:space="preserve">DEISY CAMILA FLAUTERO</t>
  </si>
  <si>
    <t xml:space="preserve">Deisy Camila Flautero Arias</t>
  </si>
  <si>
    <t xml:space="preserve">NATALIE ALEJANDRA CARRILLO J</t>
  </si>
  <si>
    <t xml:space="preserve">Natalie Alejandra Carrillo Jerez</t>
  </si>
  <si>
    <t xml:space="preserve">BRINTEY JULIETH GARZÓN MORENO</t>
  </si>
  <si>
    <t xml:space="preserve">Brintey Julieth Garzón Moreno</t>
  </si>
  <si>
    <t xml:space="preserve">JULIANA INÉS TRUJILLO PARRADO</t>
  </si>
  <si>
    <t xml:space="preserve">Juliana Inés Trujillo parrado</t>
  </si>
  <si>
    <t xml:space="preserve">ALEXANDRA VALENZUELA</t>
  </si>
  <si>
    <t xml:space="preserve">Karen Alexandra Valenzuela Pulido</t>
  </si>
  <si>
    <t xml:space="preserve">MARIA ISABEL BUITRAGO</t>
  </si>
  <si>
    <t xml:space="preserve">KARLA MARIANA GALLO TEHELEN</t>
  </si>
  <si>
    <t xml:space="preserve">GUSTAVO ADOLFO TOSCANO</t>
  </si>
  <si>
    <t xml:space="preserve">Gustavo Adolfo Toscano Gaitán</t>
  </si>
  <si>
    <t xml:space="preserve">NORMA ORTIZ</t>
  </si>
  <si>
    <t xml:space="preserve">GINA CORTÉS</t>
  </si>
  <si>
    <t xml:space="preserve">JAVIER GUSTAVO RODRÍGUEZ G.</t>
  </si>
  <si>
    <t xml:space="preserve">Javier Gustavo Rodríguez Gutiérrez</t>
  </si>
  <si>
    <t xml:space="preserve">SONIA PATRICIA SARRIA P.</t>
  </si>
  <si>
    <t xml:space="preserve">GABRIEL ANDRES MORENO ANGARITA</t>
  </si>
  <si>
    <t xml:space="preserve">Gabriel Andrés Moreno Angarita</t>
  </si>
  <si>
    <t xml:space="preserve">MAGALY ANTONIA MONTILVA MORA</t>
  </si>
  <si>
    <t xml:space="preserve">Magaly Antonia Montilva Mora</t>
  </si>
  <si>
    <t xml:space="preserve">LAURA CASALLAS</t>
  </si>
  <si>
    <t xml:space="preserve">Laura Milena Casallas Velandia</t>
  </si>
  <si>
    <t xml:space="preserve">RAFAEL ANTONIO CADENA A</t>
  </si>
  <si>
    <t xml:space="preserve">MARTHA CECILIA ASENCIO M.</t>
  </si>
  <si>
    <t xml:space="preserve">No</t>
  </si>
  <si>
    <t xml:space="preserve">HEIDY KATHERINE VARGAS AREVALO</t>
  </si>
  <si>
    <t xml:space="preserve">ANGELICA DEVIA V.</t>
  </si>
  <si>
    <t xml:space="preserve">CHIRLEY  PARADA YANQUEN</t>
  </si>
  <si>
    <t xml:space="preserve">JAIME ORLANDO RAMÍREZ V.</t>
  </si>
  <si>
    <t xml:space="preserve">ANGELA VIVIANA ALARCON</t>
  </si>
  <si>
    <t xml:space="preserve">Angela Viviana Alarcón Alfonso</t>
  </si>
  <si>
    <t xml:space="preserve">CARLOS GOMEZ</t>
  </si>
  <si>
    <t xml:space="preserve">Carlos Augusto Gómez Gualteros</t>
  </si>
  <si>
    <t xml:space="preserve">IRINA ISABEL GUACARY CASTRO.</t>
  </si>
  <si>
    <t xml:space="preserve">LUIS FERNANDO FUENTES P.</t>
  </si>
  <si>
    <t xml:space="preserve">Luis Fernando Fuentes P.</t>
  </si>
  <si>
    <t xml:space="preserve">JORGE IVÁN HERNANDEZ</t>
  </si>
  <si>
    <t xml:space="preserve">Jorge Iván Hernández Loaiza</t>
  </si>
  <si>
    <t xml:space="preserve">SANDY BIBIANA CIFUENTES L.</t>
  </si>
  <si>
    <t xml:space="preserve">Sandy Bibiana Cifuentes López</t>
  </si>
  <si>
    <t xml:space="preserve">ANDREA SOCHE VARGAS</t>
  </si>
  <si>
    <t xml:space="preserve">KATHERINE PARRA PEÑA</t>
  </si>
  <si>
    <t xml:space="preserve">SANDRA FUENTES</t>
  </si>
  <si>
    <t xml:space="preserve">LAURA RODRIGUEZ</t>
  </si>
  <si>
    <t xml:space="preserve">Universo: 33 docentes · Respondieron: 28 · No respondieron: 5</t>
  </si>
  <si>
    <t xml:space="preserve">* Carga horaria, roles, liderazgo y posgrado se extrajeron del roster institucional (formato apilado). Valores indicativos, sujetos a verificación.</t>
  </si>
  <si>
    <t xml:space="preserve">La caracterización no contiene edad ni llave de correo; el cruce se realizó por nombre.</t>
  </si>
  <si>
    <t xml:space="preserve">Notas metodológicas y de codificación</t>
  </si>
  <si>
    <t xml:space="preserve">Codificación de ítems (0–100)</t>
  </si>
  <si>
    <t xml:space="preserve">• Escala de acuerdo (1–5): índice = (valor − 1) / 4 × 100.</t>
  </si>
  <si>
    <t xml:space="preserve">• Ítems de redacción inversa (agobio ante cambios; preferir métodos habituales): índice = (5 − valor) / 4 × 100.</t>
  </si>
  <si>
    <t xml:space="preserve">• Ítems de frecuencia: Nunca=0 · Mensual=33,3 · Semanal=66,7 · Diario=100.</t>
  </si>
  <si>
    <t xml:space="preserve">• D7 (conocimiento aplicado): puntuación del cuestionario (0–9) / 9 × 100.</t>
  </si>
  <si>
    <t xml:space="preserve">Dimensiones y ponderación</t>
  </si>
  <si>
    <t xml:space="preserve">• Índice global = promedio ponderado de las 7 dimensiones, con D6 (IA) con peso doble; resto peso 1.</t>
  </si>
  <si>
    <t xml:space="preserve">• Umbrales MEN: Explorador &lt; 50 · Integrador 50–74 · Innovador ≥ 75.</t>
  </si>
  <si>
    <t xml:space="preserve">Alcance estadístico</t>
  </si>
  <si>
    <t xml:space="preserve">• Censo (N=28), no muestra: análisis descriptivo. Sin inferencia ni márgenes de error.</t>
  </si>
  <si>
    <t xml:space="preserve">• Segmentos con n pequeño se interpretan con cautela.</t>
  </si>
  <si>
    <t xml:space="preserve">• Instrumento autoinformado y nominal: mide autopercepción; conviene triangular con evidencia en fases posteriores.</t>
  </si>
  <si>
    <t xml:space="preserve">• Tasa de respuesta 84,8% (28 de 33): posible sesgo de no respuesta.</t>
  </si>
  <si>
    <t xml:space="preserve">Fuente  Diagnóstico_de_Competencias_Digitales_Docentes — ENSMA (Línea Base) · respuestas. Hojas: «Respuestas de formulario 1» y «caracterización».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</si>
</sst>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0.0"/>
    <numFmt numFmtId="168" formatCode="@"/>
    <numFmt numFmtId="169" formatCode="General"/>
    <numFmt numFmtId="170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Calibri"/>
      <family val="0"/>
      <charset val="1"/>
    </font>
    <font>
      <b val="true"/>
      <sz val="16"/>
      <color rgb="FF1F4E79"/>
      <name val="Calibri"/>
      <family val="0"/>
      <charset val="1"/>
    </font>
    <font>
      <sz val="12"/>
      <color rgb="FF2E75B6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4"/>
      <color rgb="FF1F4E79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1F4E7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0"/>
      <color rgb="FF1F4E79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5E8F0"/>
        <bgColor rgb="FFD9D9D9"/>
      </patternFill>
    </fill>
    <fill>
      <patternFill patternType="solid">
        <fgColor rgb="FFBF9000"/>
        <bgColor rgb="FF808000"/>
      </patternFill>
    </fill>
    <fill>
      <patternFill patternType="solid">
        <fgColor rgb="FF1F4E79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FFE08A"/>
        <bgColor rgb="FFFFFF99"/>
      </patternFill>
    </fill>
    <fill>
      <patternFill patternType="solid">
        <fgColor rgb="FFF4B7B7"/>
        <bgColor rgb="FFBFBFBF"/>
      </patternFill>
    </fill>
    <fill>
      <patternFill patternType="solid">
        <fgColor rgb="FF2E75B6"/>
        <bgColor rgb="FF4F81B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0B4"/>
        </patternFill>
      </fill>
    </dxf>
    <dxf>
      <fill>
        <patternFill>
          <bgColor rgb="FFFFE08A"/>
        </patternFill>
      </fill>
    </dxf>
    <dxf>
      <fill>
        <patternFill>
          <bgColor rgb="FFF4B7B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5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4B7B7"/>
      <rgbColor rgb="FFCC99FF"/>
      <rgbColor rgb="FFFFE08A"/>
      <rgbColor rgb="FF2E75B6"/>
      <rgbColor rgb="FF33CCCC"/>
      <rgbColor rgb="FF99CC00"/>
      <rgbColor rgb="FFFFCC00"/>
      <rgbColor rgb="FFBF90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Docentes por nivel MEN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Tablero!$B$12:$B$14</c:f>
              <c:strCache>
                <c:ptCount val="3"/>
                <c:pt idx="0">
                  <c:v>Innovador</c:v>
                </c:pt>
                <c:pt idx="1">
                  <c:v>Integrador</c:v>
                </c:pt>
                <c:pt idx="2">
                  <c:v>Explorador</c:v>
                </c:pt>
              </c:strCache>
            </c:strRef>
          </c:cat>
          <c:val>
            <c:numRef>
              <c:f>Tablero!$C$12:$C$14</c:f>
              <c:numCache>
                <c:formatCode>General</c:formatCode>
                <c:ptCount val="3"/>
                <c:pt idx="0">
                  <c:v>18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55319673"/>
        <c:axId val="85541864"/>
      </c:barChart>
      <c:catAx>
        <c:axId val="553196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41864"/>
        <c:crosses val="autoZero"/>
        <c:auto val="1"/>
        <c:lblAlgn val="ctr"/>
        <c:lblOffset val="100"/>
        <c:noMultiLvlLbl val="0"/>
      </c:catAx>
      <c:valAx>
        <c:axId val="855418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196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Índice medio por dimensión (0–100)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Dimensiones!B3</c:f>
              <c:strCache>
                <c:ptCount val="1"/>
                <c:pt idx="0">
                  <c:v>Índice medio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Dimensiones!$A$4:$A$10</c:f>
              <c:strCache>
                <c:ptCount val="7"/>
                <c:pt idx="0">
                  <c:v>D1 Actitud y disposición</c:v>
                </c:pt>
                <c:pt idx="1">
                  <c:v>D2 Información y datos</c:v>
                </c:pt>
                <c:pt idx="2">
                  <c:v>D3 Comunicación y creación</c:v>
                </c:pt>
                <c:pt idx="3">
                  <c:v>D4 Seguridad y ciudadanía</c:v>
                </c:pt>
                <c:pt idx="4">
                  <c:v>D5 Pedagogía digital</c:v>
                </c:pt>
                <c:pt idx="5">
                  <c:v>D6 Inteligencia Artificial *</c:v>
                </c:pt>
                <c:pt idx="6">
                  <c:v>D7 Conocimiento aplicado</c:v>
                </c:pt>
              </c:strCache>
            </c:strRef>
          </c:cat>
          <c:val>
            <c:numRef>
              <c:f>Dimensiones!$B$4:$B$10</c:f>
              <c:numCache>
                <c:formatCode>0.0</c:formatCode>
                <c:ptCount val="7"/>
                <c:pt idx="0">
                  <c:v>87.5992063492064</c:v>
                </c:pt>
                <c:pt idx="1">
                  <c:v>79.614880952381</c:v>
                </c:pt>
                <c:pt idx="2">
                  <c:v>73.9589285714286</c:v>
                </c:pt>
                <c:pt idx="3">
                  <c:v>76.2755102040816</c:v>
                </c:pt>
                <c:pt idx="4">
                  <c:v>70.1530612244898</c:v>
                </c:pt>
                <c:pt idx="5">
                  <c:v>76.4508928571429</c:v>
                </c:pt>
                <c:pt idx="6">
                  <c:v>94.8412698412699</c:v>
                </c:pt>
              </c:numCache>
            </c:numRef>
          </c:val>
        </c:ser>
        <c:gapWidth val="150"/>
        <c:overlap val="0"/>
        <c:axId val="13579532"/>
        <c:axId val="24718601"/>
      </c:barChart>
      <c:catAx>
        <c:axId val="135795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18601"/>
        <c:crosses val="autoZero"/>
        <c:auto val="1"/>
        <c:lblAlgn val="ctr"/>
        <c:lblOffset val="100"/>
        <c:noMultiLvlLbl val="0"/>
      </c:catAx>
      <c:valAx>
        <c:axId val="247186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795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Competencias de IA (0–100)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IA_Detalle!B3</c:f>
              <c:strCache>
                <c:ptCount val="1"/>
                <c:pt idx="0">
                  <c:v>Índice medio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IA_Detalle!$A$4:$A$11</c:f>
              <c:strCache>
                <c:ptCount val="8"/>
                <c:pt idx="0">
                  <c:v>Comprende la IA generativa</c:v>
                </c:pt>
                <c:pt idx="1">
                  <c:v>Ha usado IA para clases/materiales</c:v>
                </c:pt>
                <c:pt idx="2">
                  <c:v>Formula prompts efectivos</c:v>
                </c:pt>
                <c:pt idx="3">
                  <c:v>Detecta errores/sesgos/alucinaciones</c:v>
                </c:pt>
                <c:pt idx="4">
                  <c:v>Conoce criterios éticos de uso</c:v>
                </c:pt>
                <c:pt idx="5">
                  <c:v>Diseña actividades con IA</c:v>
                </c:pt>
                <c:pt idx="6">
                  <c:v>Se siente preparado para orientar a colegas</c:v>
                </c:pt>
                <c:pt idx="7">
                  <c:v>Interés en formarse en IA</c:v>
                </c:pt>
              </c:strCache>
            </c:strRef>
          </c:cat>
          <c:val>
            <c:numRef>
              <c:f>IA_Detalle!$B$4:$B$11</c:f>
              <c:numCache>
                <c:formatCode>0.0</c:formatCode>
                <c:ptCount val="8"/>
                <c:pt idx="0">
                  <c:v>80.3571428571429</c:v>
                </c:pt>
                <c:pt idx="1">
                  <c:v>85.7142857142857</c:v>
                </c:pt>
                <c:pt idx="2">
                  <c:v>76.7857142857143</c:v>
                </c:pt>
                <c:pt idx="3">
                  <c:v>75</c:v>
                </c:pt>
                <c:pt idx="4">
                  <c:v>78.5714285714286</c:v>
                </c:pt>
                <c:pt idx="5">
                  <c:v>71.4285714285714</c:v>
                </c:pt>
                <c:pt idx="6">
                  <c:v>51.7857142857143</c:v>
                </c:pt>
                <c:pt idx="7">
                  <c:v>91.9642857142857</c:v>
                </c:pt>
              </c:numCache>
            </c:numRef>
          </c:val>
        </c:ser>
        <c:gapWidth val="150"/>
        <c:overlap val="0"/>
        <c:axId val="40951560"/>
        <c:axId val="72605906"/>
      </c:barChart>
      <c:catAx>
        <c:axId val="40951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05906"/>
        <c:crosses val="autoZero"/>
        <c:auto val="1"/>
        <c:lblAlgn val="ctr"/>
        <c:lblOffset val="100"/>
        <c:noMultiLvlLbl val="0"/>
      </c:catAx>
      <c:valAx>
        <c:axId val="72605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515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10</xdr:col>
      <xdr:colOff>24120</xdr:colOff>
      <xdr:row>16</xdr:row>
      <xdr:rowOff>11880</xdr:rowOff>
    </xdr:to>
    <xdr:graphicFrame>
      <xdr:nvGraphicFramePr>
        <xdr:cNvPr id="0" name="Chart 1"/>
        <xdr:cNvGraphicFramePr/>
      </xdr:nvGraphicFramePr>
      <xdr:xfrm>
        <a:off x="5638680" y="570600"/>
        <a:ext cx="3598200" cy="25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176040</xdr:rowOff>
    </xdr:from>
    <xdr:to>
      <xdr:col>5</xdr:col>
      <xdr:colOff>980280</xdr:colOff>
      <xdr:row>27</xdr:row>
      <xdr:rowOff>6120</xdr:rowOff>
    </xdr:to>
    <xdr:graphicFrame>
      <xdr:nvGraphicFramePr>
        <xdr:cNvPr id="1" name="Chart 1"/>
        <xdr:cNvGraphicFramePr/>
      </xdr:nvGraphicFramePr>
      <xdr:xfrm>
        <a:off x="0" y="2280960"/>
        <a:ext cx="647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175680</xdr:rowOff>
    </xdr:from>
    <xdr:to>
      <xdr:col>13</xdr:col>
      <xdr:colOff>254520</xdr:colOff>
      <xdr:row>17</xdr:row>
      <xdr:rowOff>6120</xdr:rowOff>
    </xdr:to>
    <xdr:graphicFrame>
      <xdr:nvGraphicFramePr>
        <xdr:cNvPr id="2" name="Chart 1"/>
        <xdr:cNvGraphicFramePr/>
      </xdr:nvGraphicFramePr>
      <xdr:xfrm>
        <a:off x="6250320" y="375840"/>
        <a:ext cx="575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2"/>
    <col collapsed="false" customWidth="true" hidden="false" outlineLevel="0" max="4" min="3" style="1" width="22"/>
    <col collapsed="false" customWidth="true" hidden="false" outlineLevel="0" max="5" min="5" style="1" width="18"/>
  </cols>
  <sheetData>
    <row r="2" customFormat="false" ht="15" hidden="false" customHeight="true" outlineLevel="0" collapsed="false">
      <c r="B2" s="2" t="s">
        <v>0</v>
      </c>
      <c r="C2" s="2"/>
      <c r="D2" s="2"/>
      <c r="E2" s="2"/>
    </row>
    <row r="4" customFormat="false" ht="19.5" hidden="false" customHeight="true" outlineLevel="0" collapsed="false">
      <c r="B4" s="3" t="s">
        <v>1</v>
      </c>
      <c r="C4" s="3"/>
      <c r="D4" s="3"/>
      <c r="E4" s="3"/>
    </row>
    <row r="5" customFormat="false" ht="15" hidden="false" customHeight="true" outlineLevel="0" collapsed="false">
      <c r="B5" s="4" t="s">
        <v>2</v>
      </c>
      <c r="C5" s="4"/>
      <c r="D5" s="4"/>
      <c r="E5" s="4"/>
    </row>
    <row r="6" customFormat="false" ht="15" hidden="false" customHeight="true" outlineLevel="0" collapsed="false">
      <c r="B6" s="5" t="s">
        <v>3</v>
      </c>
      <c r="C6" s="5"/>
      <c r="D6" s="5"/>
      <c r="E6" s="5"/>
    </row>
    <row r="8" customFormat="false" ht="15" hidden="false" customHeight="true" outlineLevel="0" collapsed="false">
      <c r="B8" s="6" t="s">
        <v>4</v>
      </c>
      <c r="C8" s="7" t="s">
        <v>5</v>
      </c>
      <c r="D8" s="7"/>
      <c r="E8" s="7"/>
    </row>
    <row r="9" customFormat="false" ht="15" hidden="false" customHeight="true" outlineLevel="0" collapsed="false">
      <c r="B9" s="6" t="s">
        <v>6</v>
      </c>
      <c r="C9" s="7" t="s">
        <v>7</v>
      </c>
      <c r="D9" s="7"/>
      <c r="E9" s="7"/>
    </row>
    <row r="10" customFormat="false" ht="15" hidden="false" customHeight="true" outlineLevel="0" collapsed="false">
      <c r="B10" s="6" t="s">
        <v>8</v>
      </c>
      <c r="C10" s="7" t="s">
        <v>9</v>
      </c>
      <c r="D10" s="7"/>
      <c r="E10" s="7"/>
    </row>
    <row r="11" customFormat="false" ht="15" hidden="false" customHeight="true" outlineLevel="0" collapsed="false">
      <c r="B11" s="6" t="s">
        <v>10</v>
      </c>
      <c r="C11" s="7" t="s">
        <v>11</v>
      </c>
      <c r="D11" s="7"/>
      <c r="E11" s="7"/>
    </row>
    <row r="12" customFormat="false" ht="15" hidden="false" customHeight="true" outlineLevel="0" collapsed="false">
      <c r="B12" s="6" t="s">
        <v>12</v>
      </c>
      <c r="C12" s="7" t="s">
        <v>13</v>
      </c>
      <c r="D12" s="7"/>
      <c r="E12" s="7"/>
    </row>
    <row r="13" customFormat="false" ht="15" hidden="false" customHeight="true" outlineLevel="0" collapsed="false">
      <c r="B13" s="6" t="s">
        <v>14</v>
      </c>
      <c r="C13" s="7" t="s">
        <v>15</v>
      </c>
      <c r="D13" s="7"/>
      <c r="E13" s="7"/>
    </row>
    <row r="14" customFormat="false" ht="15" hidden="false" customHeight="true" outlineLevel="0" collapsed="false">
      <c r="B14" s="6" t="s">
        <v>16</v>
      </c>
      <c r="C14" s="7" t="s">
        <v>17</v>
      </c>
      <c r="D14" s="7"/>
      <c r="E14" s="7"/>
    </row>
    <row r="15" customFormat="false" ht="15" hidden="false" customHeight="true" outlineLevel="0" collapsed="false">
      <c r="B15" s="6" t="s">
        <v>18</v>
      </c>
      <c r="C15" s="7" t="s">
        <v>19</v>
      </c>
      <c r="D15" s="7"/>
      <c r="E15" s="7"/>
    </row>
    <row r="16" customFormat="false" ht="15" hidden="false" customHeight="true" outlineLevel="0" collapsed="false">
      <c r="B16" s="6" t="s">
        <v>20</v>
      </c>
      <c r="C16" s="7" t="s">
        <v>21</v>
      </c>
      <c r="D16" s="7"/>
      <c r="E16" s="7"/>
    </row>
    <row r="18" customFormat="false" ht="15" hidden="false" customHeight="true" outlineLevel="0" collapsed="false">
      <c r="B18" s="8" t="s">
        <v>22</v>
      </c>
      <c r="C18" s="8"/>
      <c r="D18" s="8"/>
      <c r="E18" s="8"/>
    </row>
    <row r="19" customFormat="false" ht="30" hidden="false" customHeight="true" outlineLevel="0" collapsed="false">
      <c r="B19" s="9" t="s">
        <v>23</v>
      </c>
      <c r="C19" s="9"/>
      <c r="D19" s="9"/>
      <c r="E19" s="9"/>
    </row>
    <row r="20" customFormat="false" ht="30" hidden="false" customHeight="true" outlineLevel="0" collapsed="false">
      <c r="B20" s="9" t="s">
        <v>24</v>
      </c>
      <c r="C20" s="9"/>
      <c r="D20" s="9"/>
      <c r="E20" s="9"/>
    </row>
    <row r="21" customFormat="false" ht="30" hidden="false" customHeight="true" outlineLevel="0" collapsed="false">
      <c r="B21" s="9" t="s">
        <v>25</v>
      </c>
      <c r="C21" s="9"/>
      <c r="D21" s="9"/>
      <c r="E21" s="9"/>
    </row>
    <row r="22" customFormat="false" ht="30" hidden="false" customHeight="true" outlineLevel="0" collapsed="false">
      <c r="B22" s="9" t="s">
        <v>26</v>
      </c>
      <c r="C22" s="9"/>
      <c r="D22" s="9"/>
      <c r="E22" s="9"/>
    </row>
    <row r="23" customFormat="false" ht="30" hidden="false" customHeight="true" outlineLevel="0" collapsed="false">
      <c r="B23" s="9" t="s">
        <v>27</v>
      </c>
      <c r="C23" s="9"/>
      <c r="D23" s="9"/>
      <c r="E23" s="9"/>
    </row>
  </sheetData>
  <mergeCells count="19">
    <mergeCell ref="B2:E2"/>
    <mergeCell ref="B4:E4"/>
    <mergeCell ref="B5:E5"/>
    <mergeCell ref="B6:E6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B18:E18"/>
    <mergeCell ref="B19:E19"/>
    <mergeCell ref="B20:E20"/>
    <mergeCell ref="B21:E21"/>
    <mergeCell ref="B22:E22"/>
    <mergeCell ref="B23:E2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6" min="3" style="1" width="16"/>
  </cols>
  <sheetData>
    <row r="2" customFormat="false" ht="17.25" hidden="false" customHeight="true" outlineLevel="0" collapsed="false">
      <c r="B2" s="10" t="s">
        <v>28</v>
      </c>
    </row>
    <row r="4" customFormat="false" ht="15" hidden="false" customHeight="true" outlineLevel="0" collapsed="false">
      <c r="B4" s="6" t="s">
        <v>29</v>
      </c>
      <c r="C4" s="11" t="n">
        <f aca="false">Cruce_Nomina!H2</f>
        <v>33</v>
      </c>
      <c r="D4" s="11"/>
    </row>
    <row r="5" customFormat="false" ht="15" hidden="false" customHeight="true" outlineLevel="0" collapsed="false">
      <c r="B5" s="6" t="s">
        <v>30</v>
      </c>
      <c r="C5" s="11" t="n">
        <f aca="false">COUNTA(Perfil_docente!A2:A29)</f>
        <v>28</v>
      </c>
      <c r="D5" s="11"/>
    </row>
    <row r="6" customFormat="false" ht="15" hidden="false" customHeight="true" outlineLevel="0" collapsed="false">
      <c r="B6" s="6" t="s">
        <v>31</v>
      </c>
      <c r="C6" s="12" t="n">
        <f aca="false">COUNTA(Perfil_docente!A2:A29)/Cruce_Nomina!H2</f>
        <v>0.848484848484849</v>
      </c>
      <c r="D6" s="12"/>
    </row>
    <row r="7" customFormat="false" ht="15" hidden="false" customHeight="true" outlineLevel="0" collapsed="false">
      <c r="B7" s="6" t="s">
        <v>32</v>
      </c>
      <c r="C7" s="13" t="n">
        <f aca="false">AVERAGE(Perfil_docente!N2:N29)</f>
        <v>79.4180803571429</v>
      </c>
      <c r="D7" s="13"/>
    </row>
    <row r="8" customFormat="false" ht="15" hidden="false" customHeight="true" outlineLevel="0" collapsed="false">
      <c r="B8" s="6" t="s">
        <v>33</v>
      </c>
      <c r="C8" s="13" t="n">
        <f aca="false">MEDIAN(Perfil_docente!N2:N29)</f>
        <v>81.4732142857143</v>
      </c>
      <c r="D8" s="13"/>
    </row>
    <row r="9" customFormat="false" ht="15" hidden="false" customHeight="true" outlineLevel="0" collapsed="false">
      <c r="B9" s="6" t="s">
        <v>34</v>
      </c>
      <c r="C9" s="14" t="str">
        <f aca="false">TEXT(MIN(Perfil_docente!N2:N29),"0.0")&amp;"  –  "&amp;TEXT(MAX(Perfil_docente!N2:N29),"0.0")</f>
        <v>57.4  –  96.5</v>
      </c>
      <c r="D9" s="14"/>
    </row>
    <row r="11" customFormat="false" ht="15" hidden="false" customHeight="true" outlineLevel="0" collapsed="false">
      <c r="B11" s="15" t="s">
        <v>35</v>
      </c>
      <c r="C11" s="15"/>
      <c r="D11" s="15"/>
    </row>
    <row r="12" customFormat="false" ht="15" hidden="false" customHeight="true" outlineLevel="0" collapsed="false">
      <c r="B12" s="16" t="s">
        <v>36</v>
      </c>
      <c r="C12" s="17" t="n">
        <f aca="false">COUNTIF(Perfil_docente!O2:O29,"Innovador")</f>
        <v>18</v>
      </c>
      <c r="D12" s="18" t="n">
        <f aca="false">COUNTIF(Perfil_docente!O2:O29,"Innovador")/COUNTA(Perfil_docente!A2:A29)</f>
        <v>0.642857142857143</v>
      </c>
    </row>
    <row r="13" customFormat="false" ht="15" hidden="false" customHeight="true" outlineLevel="0" collapsed="false">
      <c r="B13" s="19" t="s">
        <v>37</v>
      </c>
      <c r="C13" s="17" t="n">
        <f aca="false">COUNTIF(Perfil_docente!O2:O29,"Integrador")</f>
        <v>10</v>
      </c>
      <c r="D13" s="18" t="n">
        <f aca="false">COUNTIF(Perfil_docente!O2:O29,"Integrador")/COUNTA(Perfil_docente!A2:A29)</f>
        <v>0.357142857142857</v>
      </c>
    </row>
    <row r="14" customFormat="false" ht="15" hidden="false" customHeight="true" outlineLevel="0" collapsed="false">
      <c r="B14" s="20" t="s">
        <v>38</v>
      </c>
      <c r="C14" s="17" t="n">
        <f aca="false">COUNTIF(Perfil_docente!O2:O29,"Explorador")</f>
        <v>0</v>
      </c>
      <c r="D14" s="18" t="n">
        <f aca="false">COUNTIF(Perfil_docente!O2:O29,"Explorador")/COUNTA(Perfil_docente!A2:A29)</f>
        <v>0</v>
      </c>
    </row>
    <row r="16" customFormat="false" ht="15" hidden="false" customHeight="true" outlineLevel="0" collapsed="false">
      <c r="B16" s="21" t="s">
        <v>39</v>
      </c>
    </row>
  </sheetData>
  <mergeCells count="7">
    <mergeCell ref="C4:D4"/>
    <mergeCell ref="C5:D5"/>
    <mergeCell ref="C6:D6"/>
    <mergeCell ref="C7:D7"/>
    <mergeCell ref="C8:D8"/>
    <mergeCell ref="C9:D9"/>
    <mergeCell ref="B11:D1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2"/>
    <col collapsed="false" customWidth="true" hidden="false" outlineLevel="0" max="6" min="6" style="1" width="40"/>
  </cols>
  <sheetData>
    <row r="1" customFormat="false" ht="15.75" hidden="false" customHeight="true" outlineLevel="0" collapsed="false">
      <c r="A1" s="22" t="s">
        <v>40</v>
      </c>
    </row>
    <row r="3" customFormat="false" ht="15" hidden="false" customHeight="true" outlineLevel="0" collapsed="false">
      <c r="A3" s="23" t="s">
        <v>41</v>
      </c>
      <c r="B3" s="23" t="s">
        <v>42</v>
      </c>
      <c r="C3" s="23" t="s">
        <v>38</v>
      </c>
      <c r="D3" s="23" t="s">
        <v>37</v>
      </c>
      <c r="E3" s="23" t="s">
        <v>36</v>
      </c>
      <c r="F3" s="23" t="s">
        <v>43</v>
      </c>
    </row>
    <row r="4" customFormat="false" ht="15" hidden="false" customHeight="true" outlineLevel="0" collapsed="false">
      <c r="A4" s="24" t="s">
        <v>44</v>
      </c>
      <c r="B4" s="25" t="n">
        <f aca="false">AVERAGE(Perfil_docente!G2:G29)</f>
        <v>87.5992063492064</v>
      </c>
      <c r="C4" s="26" t="n">
        <f aca="false">COUNTIF(Perfil_docente!G2:G29,"&lt;50")</f>
        <v>0</v>
      </c>
      <c r="D4" s="26" t="n">
        <f aca="false">COUNTIFS(Perfil_docente!G2:G29,"&gt;=50",Perfil_docente!G2:G29,"&lt;75")</f>
        <v>2</v>
      </c>
      <c r="E4" s="26" t="n">
        <f aca="false">COUNTIF(Perfil_docente!G2:G29,"&gt;=75")</f>
        <v>26</v>
      </c>
      <c r="F4" s="27" t="s">
        <v>45</v>
      </c>
    </row>
    <row r="5" customFormat="false" ht="15" hidden="false" customHeight="true" outlineLevel="0" collapsed="false">
      <c r="A5" s="24" t="s">
        <v>46</v>
      </c>
      <c r="B5" s="25" t="n">
        <f aca="false">AVERAGE(Perfil_docente!H2:H29)</f>
        <v>79.614880952381</v>
      </c>
      <c r="C5" s="26" t="n">
        <f aca="false">COUNTIF(Perfil_docente!H2:H29,"&lt;50")</f>
        <v>0</v>
      </c>
      <c r="D5" s="26" t="n">
        <f aca="false">COUNTIFS(Perfil_docente!H2:H29,"&gt;=50",Perfil_docente!H2:H29,"&lt;75")</f>
        <v>9</v>
      </c>
      <c r="E5" s="26" t="n">
        <f aca="false">COUNTIF(Perfil_docente!H2:H29,"&gt;=75")</f>
        <v>19</v>
      </c>
      <c r="F5" s="27" t="s">
        <v>47</v>
      </c>
    </row>
    <row r="6" customFormat="false" ht="15" hidden="false" customHeight="true" outlineLevel="0" collapsed="false">
      <c r="A6" s="24" t="s">
        <v>48</v>
      </c>
      <c r="B6" s="25" t="n">
        <f aca="false">AVERAGE(Perfil_docente!I2:I29)</f>
        <v>73.9589285714286</v>
      </c>
      <c r="C6" s="26" t="n">
        <f aca="false">COUNTIF(Perfil_docente!I2:I29,"&lt;50")</f>
        <v>3</v>
      </c>
      <c r="D6" s="26" t="n">
        <f aca="false">COUNTIFS(Perfil_docente!I2:I29,"&gt;=50",Perfil_docente!I2:I29,"&lt;75")</f>
        <v>10</v>
      </c>
      <c r="E6" s="26" t="n">
        <f aca="false">COUNTIF(Perfil_docente!I2:I29,"&gt;=75")</f>
        <v>15</v>
      </c>
      <c r="F6" s="27" t="s">
        <v>49</v>
      </c>
    </row>
    <row r="7" customFormat="false" ht="15" hidden="false" customHeight="true" outlineLevel="0" collapsed="false">
      <c r="A7" s="24" t="s">
        <v>50</v>
      </c>
      <c r="B7" s="25" t="n">
        <f aca="false">AVERAGE(Perfil_docente!J2:J29)</f>
        <v>76.2755102040816</v>
      </c>
      <c r="C7" s="26" t="n">
        <f aca="false">COUNTIF(Perfil_docente!J2:J29,"&lt;50")</f>
        <v>2</v>
      </c>
      <c r="D7" s="26" t="n">
        <f aca="false">COUNTIFS(Perfil_docente!J2:J29,"&gt;=50",Perfil_docente!J2:J29,"&lt;75")</f>
        <v>9</v>
      </c>
      <c r="E7" s="26" t="n">
        <f aca="false">COUNTIF(Perfil_docente!J2:J29,"&gt;=75")</f>
        <v>17</v>
      </c>
      <c r="F7" s="27" t="s">
        <v>51</v>
      </c>
    </row>
    <row r="8" customFormat="false" ht="15" hidden="false" customHeight="true" outlineLevel="0" collapsed="false">
      <c r="A8" s="24" t="s">
        <v>52</v>
      </c>
      <c r="B8" s="25" t="n">
        <f aca="false">AVERAGE(Perfil_docente!K2:K29)</f>
        <v>70.1530612244898</v>
      </c>
      <c r="C8" s="26" t="n">
        <f aca="false">COUNTIF(Perfil_docente!K2:K29,"&lt;50")</f>
        <v>4</v>
      </c>
      <c r="D8" s="26" t="n">
        <f aca="false">COUNTIFS(Perfil_docente!K2:K29,"&gt;=50",Perfil_docente!K2:K29,"&lt;75")</f>
        <v>8</v>
      </c>
      <c r="E8" s="26" t="n">
        <f aca="false">COUNTIF(Perfil_docente!K2:K29,"&gt;=75")</f>
        <v>16</v>
      </c>
      <c r="F8" s="27" t="s">
        <v>53</v>
      </c>
    </row>
    <row r="9" customFormat="false" ht="15" hidden="false" customHeight="true" outlineLevel="0" collapsed="false">
      <c r="A9" s="28" t="s">
        <v>54</v>
      </c>
      <c r="B9" s="25" t="n">
        <f aca="false">AVERAGE(Perfil_docente!L2:L29)</f>
        <v>76.4508928571429</v>
      </c>
      <c r="C9" s="26" t="n">
        <f aca="false">COUNTIF(Perfil_docente!L2:L29,"&lt;50")</f>
        <v>0</v>
      </c>
      <c r="D9" s="26" t="n">
        <f aca="false">COUNTIFS(Perfil_docente!L2:L29,"&gt;=50",Perfil_docente!L2:L29,"&lt;75")</f>
        <v>9</v>
      </c>
      <c r="E9" s="26" t="n">
        <f aca="false">COUNTIF(Perfil_docente!L2:L29,"&gt;=75")</f>
        <v>19</v>
      </c>
      <c r="F9" s="27" t="s">
        <v>55</v>
      </c>
    </row>
    <row r="10" customFormat="false" ht="15" hidden="false" customHeight="true" outlineLevel="0" collapsed="false">
      <c r="A10" s="24" t="s">
        <v>56</v>
      </c>
      <c r="B10" s="25" t="n">
        <f aca="false">AVERAGE(Perfil_docente!M2:M29)</f>
        <v>94.8412698412699</v>
      </c>
      <c r="C10" s="26" t="n">
        <f aca="false">COUNTIF(Perfil_docente!M2:M29,"&lt;50")</f>
        <v>0</v>
      </c>
      <c r="D10" s="26" t="n">
        <f aca="false">COUNTIFS(Perfil_docente!M2:M29,"&gt;=50",Perfil_docente!M2:M29,"&lt;75")</f>
        <v>0</v>
      </c>
      <c r="E10" s="26" t="n">
        <f aca="false">COUNTIF(Perfil_docente!M2:M29,"&gt;=75")</f>
        <v>28</v>
      </c>
      <c r="F10" s="27" t="s">
        <v>57</v>
      </c>
    </row>
    <row r="31" customFormat="false" ht="15" hidden="false" customHeight="true" outlineLevel="0" collapsed="false">
      <c r="A31" s="21" t="s">
        <v>58</v>
      </c>
    </row>
  </sheetData>
  <conditionalFormatting sqref="B4:B10">
    <cfRule type="colorScale" priority="2">
      <colorScale>
        <cfvo type="num" val="50"/>
        <cfvo type="num" val="70"/>
        <cfvo type="num" val="95"/>
        <color rgb="FFF4B7B7"/>
        <color rgb="FFFFE08A"/>
        <color rgb="FFC6E0B4"/>
      </colorScale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16"/>
  </cols>
  <sheetData>
    <row r="1" customFormat="false" ht="15.75" hidden="false" customHeight="true" outlineLevel="0" collapsed="false">
      <c r="A1" s="22" t="s">
        <v>59</v>
      </c>
    </row>
    <row r="3" customFormat="false" ht="15" hidden="false" customHeight="true" outlineLevel="0" collapsed="false">
      <c r="A3" s="29" t="s">
        <v>60</v>
      </c>
      <c r="B3" s="29"/>
      <c r="C3" s="29"/>
    </row>
    <row r="4" customFormat="false" ht="15" hidden="false" customHeight="true" outlineLevel="0" collapsed="false">
      <c r="A4" s="15" t="s">
        <v>61</v>
      </c>
      <c r="B4" s="30" t="s">
        <v>62</v>
      </c>
      <c r="C4" s="30" t="s">
        <v>42</v>
      </c>
    </row>
    <row r="5" customFormat="false" ht="15" hidden="false" customHeight="true" outlineLevel="0" collapsed="false">
      <c r="A5" s="31" t="s">
        <v>63</v>
      </c>
      <c r="B5" s="26" t="n">
        <f aca="false">COUNTIF(Perfil_docente!C2:C29,"Menos de 3")</f>
        <v>1</v>
      </c>
      <c r="C5" s="32" t="n">
        <f aca="false">IFERROR(AVERAGEIF(Perfil_docente!C2:C29,"Menos de 3",Perfil_docente!N2:N29),"—")</f>
        <v>71.26875</v>
      </c>
    </row>
    <row r="6" customFormat="false" ht="15" hidden="false" customHeight="true" outlineLevel="0" collapsed="false">
      <c r="A6" s="31" t="s">
        <v>64</v>
      </c>
      <c r="B6" s="26" t="n">
        <f aca="false">COUNTIF(Perfil_docente!C2:C29,"3 a 10")</f>
        <v>12</v>
      </c>
      <c r="C6" s="32" t="n">
        <f aca="false">IFERROR(AVERAGEIF(Perfil_docente!C2:C29,"3 a 10",Perfil_docente!N2:N29),"—")</f>
        <v>82.0864252645503</v>
      </c>
    </row>
    <row r="7" customFormat="false" ht="15" hidden="false" customHeight="true" outlineLevel="0" collapsed="false">
      <c r="A7" s="31" t="s">
        <v>65</v>
      </c>
      <c r="B7" s="26" t="n">
        <f aca="false">COUNTIF(Perfil_docente!C2:C29,"11 a 20")</f>
        <v>9</v>
      </c>
      <c r="C7" s="32" t="n">
        <f aca="false">IFERROR(AVERAGEIF(Perfil_docente!C2:C29,"11 a 20",Perfil_docente!N2:N29),"—")</f>
        <v>74.0257716049383</v>
      </c>
    </row>
    <row r="8" customFormat="false" ht="15" hidden="false" customHeight="true" outlineLevel="0" collapsed="false">
      <c r="A8" s="31" t="s">
        <v>66</v>
      </c>
      <c r="B8" s="26" t="n">
        <f aca="false">COUNTIF(Perfil_docente!C2:C29,"Más de 20")</f>
        <v>6</v>
      </c>
      <c r="C8" s="32" t="n">
        <f aca="false">IFERROR(AVERAGEIF(Perfil_docente!C2:C29,"Más de 20",Perfil_docente!N2:N29),"—")</f>
        <v>83.5280753968254</v>
      </c>
    </row>
    <row r="10" customFormat="false" ht="15" hidden="false" customHeight="true" outlineLevel="0" collapsed="false">
      <c r="A10" s="29" t="s">
        <v>67</v>
      </c>
      <c r="B10" s="29"/>
      <c r="C10" s="29"/>
    </row>
    <row r="11" customFormat="false" ht="15" hidden="false" customHeight="true" outlineLevel="0" collapsed="false">
      <c r="A11" s="15" t="s">
        <v>61</v>
      </c>
      <c r="B11" s="30" t="s">
        <v>62</v>
      </c>
      <c r="C11" s="30" t="s">
        <v>42</v>
      </c>
    </row>
    <row r="12" customFormat="false" ht="15" hidden="false" customHeight="true" outlineLevel="0" collapsed="false">
      <c r="A12" s="31" t="s">
        <v>68</v>
      </c>
      <c r="B12" s="26" t="n">
        <f aca="false">COUNTIF(Perfil_docente!F2:F29,"Ninguna")</f>
        <v>5</v>
      </c>
      <c r="C12" s="32" t="n">
        <f aca="false">IFERROR(AVERAGEIF(Perfil_docente!F2:F29,"Ninguna",Perfil_docente!N2:N29),"—")</f>
        <v>73.286626984127</v>
      </c>
    </row>
    <row r="13" customFormat="false" ht="15" hidden="false" customHeight="true" outlineLevel="0" collapsed="false">
      <c r="A13" s="31" t="s">
        <v>69</v>
      </c>
      <c r="B13" s="26" t="n">
        <f aca="false">COUNTIF(Perfil_docente!F2:F29,"Informal o autodidacta")</f>
        <v>13</v>
      </c>
      <c r="C13" s="32" t="n">
        <f aca="false">IFERROR(AVERAGEIF(Perfil_docente!F2:F29,"Informal o autodidacta",Perfil_docente!N2:N29),"—")</f>
        <v>77.4451312576313</v>
      </c>
    </row>
    <row r="14" customFormat="false" ht="15" hidden="false" customHeight="true" outlineLevel="0" collapsed="false">
      <c r="A14" s="31" t="s">
        <v>70</v>
      </c>
      <c r="B14" s="26" t="n">
        <f aca="false">COUNTIF(Perfil_docente!F2:F29,"Cursos cortos")</f>
        <v>7</v>
      </c>
      <c r="C14" s="32" t="n">
        <f aca="false">IFERROR(AVERAGEIF(Perfil_docente!F2:F29,"Cursos cortos",Perfil_docente!N2:N29),"—")</f>
        <v>83.7801587301587</v>
      </c>
    </row>
    <row r="15" customFormat="false" ht="15" hidden="false" customHeight="true" outlineLevel="0" collapsed="false">
      <c r="A15" s="31" t="s">
        <v>71</v>
      </c>
      <c r="B15" s="26" t="n">
        <f aca="false">COUNTIF(Perfil_docente!F2:F29,"Posgrado o certificación formal")</f>
        <v>3</v>
      </c>
      <c r="C15" s="32" t="n">
        <f aca="false">IFERROR(AVERAGEIF(Perfil_docente!F2:F29,"Posgrado o certificación formal",Perfil_docente!N2:N29),"—")</f>
        <v>88.0084325396825</v>
      </c>
    </row>
    <row r="17" customFormat="false" ht="15" hidden="false" customHeight="true" outlineLevel="0" collapsed="false">
      <c r="A17" s="29" t="s">
        <v>72</v>
      </c>
      <c r="B17" s="29"/>
      <c r="C17" s="29"/>
    </row>
    <row r="18" customFormat="false" ht="15" hidden="false" customHeight="true" outlineLevel="0" collapsed="false">
      <c r="A18" s="15" t="s">
        <v>61</v>
      </c>
      <c r="B18" s="30" t="s">
        <v>62</v>
      </c>
      <c r="C18" s="30" t="s">
        <v>42</v>
      </c>
    </row>
    <row r="19" customFormat="false" ht="15" hidden="false" customHeight="true" outlineLevel="0" collapsed="false">
      <c r="A19" s="31" t="s">
        <v>73</v>
      </c>
      <c r="B19" s="26" t="n">
        <f aca="false">COUNTIF(Perfil_docente!E2:E29,"Limitada")</f>
        <v>4</v>
      </c>
      <c r="C19" s="32" t="n">
        <f aca="false">IFERROR(AVERAGEIF(Perfil_docente!E2:E29,"Limitada",Perfil_docente!N2:N29),"—")</f>
        <v>76.5376984126984</v>
      </c>
    </row>
    <row r="20" customFormat="false" ht="15" hidden="false" customHeight="true" outlineLevel="0" collapsed="false">
      <c r="A20" s="31" t="s">
        <v>74</v>
      </c>
      <c r="B20" s="26" t="n">
        <f aca="false">COUNTIF(Perfil_docente!E2:E29,"Intermitente")</f>
        <v>14</v>
      </c>
      <c r="C20" s="32" t="n">
        <f aca="false">IFERROR(AVERAGEIF(Perfil_docente!E2:E29,"Intermitente",Perfil_docente!N2:N29),"—")</f>
        <v>76.8631235827664</v>
      </c>
    </row>
    <row r="21" customFormat="false" ht="15" hidden="false" customHeight="true" outlineLevel="0" collapsed="false">
      <c r="A21" s="31" t="s">
        <v>75</v>
      </c>
      <c r="B21" s="26" t="n">
        <f aca="false">COUNTIF(Perfil_docente!E2:E29,"Estable")</f>
        <v>10</v>
      </c>
      <c r="C21" s="32" t="n">
        <f aca="false">IFERROR(AVERAGEIF(Perfil_docente!E2:E29,"Estable",Perfil_docente!N2:N29),"—")</f>
        <v>84.1471726190476</v>
      </c>
    </row>
    <row r="23" customFormat="false" ht="15" hidden="false" customHeight="true" outlineLevel="0" collapsed="false">
      <c r="A23" s="29" t="s">
        <v>76</v>
      </c>
      <c r="B23" s="29"/>
      <c r="C23" s="29"/>
    </row>
    <row r="24" customFormat="false" ht="15" hidden="false" customHeight="true" outlineLevel="0" collapsed="false">
      <c r="A24" s="15" t="s">
        <v>61</v>
      </c>
      <c r="B24" s="30" t="s">
        <v>62</v>
      </c>
      <c r="C24" s="30" t="s">
        <v>42</v>
      </c>
    </row>
    <row r="25" customFormat="false" ht="15" hidden="false" customHeight="true" outlineLevel="0" collapsed="false">
      <c r="A25" s="31" t="s">
        <v>77</v>
      </c>
      <c r="B25" s="26" t="n">
        <f aca="false">COUNTIF(Perfil_docente!D2:D29,"Sin dispositivo estable")</f>
        <v>1</v>
      </c>
      <c r="C25" s="32" t="n">
        <f aca="false">IFERROR(AVERAGEIF(Perfil_docente!D2:D29,"Sin dispositivo estable",Perfil_docente!N2:N29),"—")</f>
        <v>83.4084325396825</v>
      </c>
    </row>
    <row r="26" customFormat="false" ht="15" hidden="false" customHeight="true" outlineLevel="0" collapsed="false">
      <c r="A26" s="31" t="s">
        <v>78</v>
      </c>
      <c r="B26" s="26" t="n">
        <f aca="false">COUNTIF(Perfil_docente!D2:D29,"Computador institucional")</f>
        <v>7</v>
      </c>
      <c r="C26" s="32" t="n">
        <f aca="false">IFERROR(AVERAGEIF(Perfil_docente!D2:D29,"Computador institucional",Perfil_docente!N2:N29),"—")</f>
        <v>73.122264739229</v>
      </c>
    </row>
    <row r="27" customFormat="false" ht="15" hidden="false" customHeight="true" outlineLevel="0" collapsed="false">
      <c r="A27" s="31" t="s">
        <v>79</v>
      </c>
      <c r="B27" s="26" t="n">
        <f aca="false">COUNTIF(Perfil_docente!D2:D29,"Computador propio")</f>
        <v>20</v>
      </c>
      <c r="C27" s="32" t="n">
        <f aca="false">IFERROR(AVERAGEIF(Perfil_docente!D2:D29,"Computador propio",Perfil_docente!N2:N29),"—")</f>
        <v>81.4220982142857</v>
      </c>
    </row>
    <row r="29" customFormat="false" ht="15" hidden="false" customHeight="true" outlineLevel="0" collapsed="false">
      <c r="A29" s="29" t="s">
        <v>80</v>
      </c>
      <c r="B29" s="29"/>
      <c r="C29" s="29"/>
    </row>
    <row r="30" customFormat="false" ht="15" hidden="false" customHeight="true" outlineLevel="0" collapsed="false">
      <c r="A30" s="15" t="s">
        <v>81</v>
      </c>
      <c r="B30" s="30" t="s">
        <v>62</v>
      </c>
      <c r="C30" s="30" t="s">
        <v>42</v>
      </c>
    </row>
    <row r="31" customFormat="false" ht="15" hidden="false" customHeight="true" outlineLevel="0" collapsed="false">
      <c r="A31" s="31" t="s">
        <v>82</v>
      </c>
      <c r="B31" s="26" t="n">
        <f aca="false">SUMPRODUCT(--ISNUMBER(SEARCH("Preescolar",Perfil_docente!B2:B29)))</f>
        <v>5</v>
      </c>
      <c r="C31" s="32" t="n">
        <f aca="false">SUMPRODUCT(--ISNUMBER(SEARCH("Preescolar",Perfil_docente!B2:B29)),Perfil_docente!N2:N29)/SUMPRODUCT(--ISNUMBER(SEARCH("Preescolar",Perfil_docente!B2:B29)))</f>
        <v>84.4128968253968</v>
      </c>
    </row>
    <row r="32" customFormat="false" ht="15" hidden="false" customHeight="true" outlineLevel="0" collapsed="false">
      <c r="A32" s="31" t="s">
        <v>83</v>
      </c>
      <c r="B32" s="26" t="n">
        <f aca="false">SUMPRODUCT(--ISNUMBER(SEARCH("Primaria",Perfil_docente!B2:B29)))</f>
        <v>20</v>
      </c>
      <c r="C32" s="32" t="n">
        <f aca="false">SUMPRODUCT(--ISNUMBER(SEARCH("Primaria",Perfil_docente!B2:B29)),Perfil_docente!N2:N29)/SUMPRODUCT(--ISNUMBER(SEARCH("Primaria",Perfil_docente!B2:B29)))</f>
        <v>78.1656845238095</v>
      </c>
    </row>
    <row r="33" customFormat="false" ht="15" hidden="false" customHeight="true" outlineLevel="0" collapsed="false">
      <c r="A33" s="31" t="s">
        <v>84</v>
      </c>
      <c r="B33" s="26" t="n">
        <f aca="false">SUMPRODUCT(--ISNUMBER(SEARCH("Secundaria",Perfil_docente!B2:B29)))</f>
        <v>15</v>
      </c>
      <c r="C33" s="32" t="n">
        <f aca="false">SUMPRODUCT(--ISNUMBER(SEARCH("Secundaria",Perfil_docente!B2:B29)),Perfil_docente!N2:N29)/SUMPRODUCT(--ISNUMBER(SEARCH("Secundaria",Perfil_docente!B2:B29)))</f>
        <v>79.8587235449735</v>
      </c>
    </row>
    <row r="34" customFormat="false" ht="15" hidden="false" customHeight="true" outlineLevel="0" collapsed="false">
      <c r="A34" s="31" t="s">
        <v>85</v>
      </c>
      <c r="B34" s="26" t="n">
        <f aca="false">SUMPRODUCT(--ISNUMBER(SEARCH("Media",Perfil_docente!B2:B29)))</f>
        <v>10</v>
      </c>
      <c r="C34" s="32" t="n">
        <f aca="false">SUMPRODUCT(--ISNUMBER(SEARCH("Media",Perfil_docente!B2:B29)),Perfil_docente!N2:N29)/SUMPRODUCT(--ISNUMBER(SEARCH("Media",Perfil_docente!B2:B29)))</f>
        <v>80.2480158730159</v>
      </c>
    </row>
  </sheetData>
  <mergeCells count="5">
    <mergeCell ref="A3:C3"/>
    <mergeCell ref="A10:C10"/>
    <mergeCell ref="A17:C17"/>
    <mergeCell ref="A23:C23"/>
    <mergeCell ref="A29:C29"/>
  </mergeCells>
  <conditionalFormatting sqref="C4:C35">
    <cfRule type="colorScale" priority="2">
      <colorScale>
        <cfvo type="num" val="70"/>
        <cfvo type="num" val="80"/>
        <cfvo type="num" val="90"/>
        <color rgb="FFF4B7B7"/>
        <color rgb="FFFFE08A"/>
        <color rgb="FFC6E0B4"/>
      </colorScale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30"/>
  </cols>
  <sheetData>
    <row r="1" customFormat="false" ht="15.75" hidden="false" customHeight="true" outlineLevel="0" collapsed="false">
      <c r="A1" s="22" t="s">
        <v>86</v>
      </c>
    </row>
    <row r="3" customFormat="false" ht="15" hidden="false" customHeight="true" outlineLevel="0" collapsed="false">
      <c r="A3" s="15" t="s">
        <v>87</v>
      </c>
      <c r="B3" s="30" t="s">
        <v>42</v>
      </c>
      <c r="C3" s="15" t="s">
        <v>43</v>
      </c>
    </row>
    <row r="4" customFormat="false" ht="15" hidden="false" customHeight="true" outlineLevel="0" collapsed="false">
      <c r="A4" s="31" t="s">
        <v>88</v>
      </c>
      <c r="B4" s="25" t="n">
        <f aca="false">AVERAGE(Datos_items!AR2:AR29)</f>
        <v>80.3571428571429</v>
      </c>
      <c r="C4" s="33" t="s">
        <v>89</v>
      </c>
    </row>
    <row r="5" customFormat="false" ht="15" hidden="false" customHeight="true" outlineLevel="0" collapsed="false">
      <c r="A5" s="31" t="s">
        <v>90</v>
      </c>
      <c r="B5" s="25" t="n">
        <f aca="false">AVERAGE(Datos_items!AS2:AS29)</f>
        <v>85.7142857142857</v>
      </c>
      <c r="C5" s="33" t="s">
        <v>91</v>
      </c>
    </row>
    <row r="6" customFormat="false" ht="15" hidden="false" customHeight="true" outlineLevel="0" collapsed="false">
      <c r="A6" s="31" t="s">
        <v>92</v>
      </c>
      <c r="B6" s="25" t="n">
        <f aca="false">AVERAGE(Datos_items!AT2:AT29)</f>
        <v>76.7857142857143</v>
      </c>
      <c r="C6" s="33" t="s">
        <v>93</v>
      </c>
    </row>
    <row r="7" customFormat="false" ht="15" hidden="false" customHeight="true" outlineLevel="0" collapsed="false">
      <c r="A7" s="31" t="s">
        <v>94</v>
      </c>
      <c r="B7" s="25" t="n">
        <f aca="false">AVERAGE(Datos_items!AU2:AU29)</f>
        <v>75</v>
      </c>
      <c r="C7" s="33" t="s">
        <v>95</v>
      </c>
    </row>
    <row r="8" customFormat="false" ht="15" hidden="false" customHeight="true" outlineLevel="0" collapsed="false">
      <c r="A8" s="31" t="s">
        <v>96</v>
      </c>
      <c r="B8" s="25" t="n">
        <f aca="false">AVERAGE(Datos_items!AV2:AV29)</f>
        <v>78.5714285714286</v>
      </c>
      <c r="C8" s="33" t="s">
        <v>97</v>
      </c>
    </row>
    <row r="9" customFormat="false" ht="15" hidden="false" customHeight="true" outlineLevel="0" collapsed="false">
      <c r="A9" s="31" t="s">
        <v>98</v>
      </c>
      <c r="B9" s="25" t="n">
        <f aca="false">AVERAGE(Datos_items!AW2:AW29)</f>
        <v>71.4285714285714</v>
      </c>
      <c r="C9" s="33" t="s">
        <v>99</v>
      </c>
    </row>
    <row r="10" customFormat="false" ht="15" hidden="false" customHeight="true" outlineLevel="0" collapsed="false">
      <c r="A10" s="31" t="s">
        <v>100</v>
      </c>
      <c r="B10" s="25" t="n">
        <f aca="false">AVERAGE(Datos_items!AX2:AX29)</f>
        <v>51.7857142857143</v>
      </c>
      <c r="C10" s="33" t="s">
        <v>101</v>
      </c>
    </row>
    <row r="11" customFormat="false" ht="15" hidden="false" customHeight="true" outlineLevel="0" collapsed="false">
      <c r="A11" s="31" t="s">
        <v>102</v>
      </c>
      <c r="B11" s="25" t="n">
        <f aca="false">AVERAGE(Datos_items!AY2:AY29)</f>
        <v>91.9642857142857</v>
      </c>
      <c r="C11" s="33" t="s">
        <v>103</v>
      </c>
    </row>
    <row r="13" customFormat="false" ht="15" hidden="false" customHeight="true" outlineLevel="0" collapsed="false">
      <c r="A13" s="34" t="s">
        <v>104</v>
      </c>
      <c r="B13" s="34"/>
      <c r="C13" s="34"/>
    </row>
    <row r="14" customFormat="false" ht="15" hidden="false" customHeight="true" outlineLevel="0" collapsed="false">
      <c r="A14" s="35" t="s">
        <v>105</v>
      </c>
      <c r="B14" s="25" t="n">
        <f aca="false">AVERAGE(Datos_items!AY2:AY29)</f>
        <v>91.9642857142857</v>
      </c>
    </row>
    <row r="15" customFormat="false" ht="15" hidden="false" customHeight="true" outlineLevel="0" collapsed="false">
      <c r="A15" s="35" t="s">
        <v>106</v>
      </c>
      <c r="B15" s="25" t="n">
        <f aca="false">AVERAGE(Datos_items!AT2:AT29,Datos_items!AU2:AU29,Datos_items!AW2:AW29,Datos_items!AX2:AX29)</f>
        <v>68.75</v>
      </c>
    </row>
    <row r="16" customFormat="false" ht="15" hidden="false" customHeight="true" outlineLevel="0" collapsed="false">
      <c r="A16" s="36" t="s">
        <v>107</v>
      </c>
      <c r="B16" s="37" t="n">
        <f aca="false">B14-B15</f>
        <v>23.2142857142857</v>
      </c>
    </row>
    <row r="19" customFormat="false" ht="15" hidden="false" customHeight="true" outlineLevel="0" collapsed="false">
      <c r="A19" s="15" t="s">
        <v>108</v>
      </c>
      <c r="B19" s="15"/>
      <c r="C19" s="15"/>
    </row>
    <row r="20" customFormat="false" ht="15" hidden="false" customHeight="true" outlineLevel="0" collapsed="false">
      <c r="A20" s="15" t="s">
        <v>109</v>
      </c>
      <c r="B20" s="30" t="s">
        <v>110</v>
      </c>
      <c r="C20" s="30" t="s">
        <v>111</v>
      </c>
    </row>
    <row r="21" customFormat="false" ht="15" hidden="false" customHeight="true" outlineLevel="0" collapsed="false">
      <c r="A21" s="31" t="s">
        <v>112</v>
      </c>
      <c r="B21" s="26" t="n">
        <v>23</v>
      </c>
      <c r="C21" s="38" t="n">
        <v>0.821428571428571</v>
      </c>
    </row>
    <row r="22" customFormat="false" ht="15" hidden="false" customHeight="true" outlineLevel="0" collapsed="false">
      <c r="A22" s="31" t="s">
        <v>113</v>
      </c>
      <c r="B22" s="26" t="n">
        <v>20</v>
      </c>
      <c r="C22" s="38" t="n">
        <v>0.714285714285714</v>
      </c>
    </row>
    <row r="23" customFormat="false" ht="15" hidden="false" customHeight="true" outlineLevel="0" collapsed="false">
      <c r="A23" s="31" t="s">
        <v>114</v>
      </c>
      <c r="B23" s="26" t="n">
        <v>20</v>
      </c>
      <c r="C23" s="38" t="n">
        <v>0.714285714285714</v>
      </c>
    </row>
    <row r="24" customFormat="false" ht="15" hidden="false" customHeight="true" outlineLevel="0" collapsed="false">
      <c r="A24" s="31" t="s">
        <v>115</v>
      </c>
      <c r="B24" s="26" t="n">
        <v>17</v>
      </c>
      <c r="C24" s="38" t="n">
        <v>0.607142857142857</v>
      </c>
    </row>
    <row r="25" customFormat="false" ht="15" hidden="false" customHeight="true" outlineLevel="0" collapsed="false">
      <c r="A25" s="31" t="s">
        <v>116</v>
      </c>
      <c r="B25" s="26" t="n">
        <v>14</v>
      </c>
      <c r="C25" s="38" t="n">
        <v>0.5</v>
      </c>
    </row>
    <row r="26" customFormat="false" ht="15" hidden="false" customHeight="true" outlineLevel="0" collapsed="false">
      <c r="A26" s="31" t="s">
        <v>117</v>
      </c>
      <c r="B26" s="26" t="n">
        <v>10</v>
      </c>
      <c r="C26" s="38" t="n">
        <v>0.357142857142857</v>
      </c>
    </row>
  </sheetData>
  <mergeCells count="2">
    <mergeCell ref="A13:C13"/>
    <mergeCell ref="A19:C19"/>
  </mergeCells>
  <conditionalFormatting sqref="B4:B11">
    <cfRule type="colorScale" priority="2">
      <colorScale>
        <cfvo type="num" val="50"/>
        <cfvo type="num" val="70"/>
        <cfvo type="num" val="95"/>
        <color rgb="FFF4B7B7"/>
        <color rgb="FFFFE08A"/>
        <color rgb="FFC6E0B4"/>
      </colorScale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6" min="4" style="1" width="14"/>
    <col collapsed="false" customWidth="true" hidden="false" outlineLevel="0" max="13" min="7" style="1" width="6.51"/>
    <col collapsed="false" customWidth="true" hidden="false" outlineLevel="0" max="14" min="14" style="1" width="13"/>
    <col collapsed="false" customWidth="true" hidden="false" outlineLevel="0" max="15" min="15" style="1" width="12"/>
  </cols>
  <sheetData>
    <row r="1" customFormat="false" ht="15" hidden="false" customHeight="true" outlineLevel="0" collapsed="false">
      <c r="A1" s="39" t="s">
        <v>118</v>
      </c>
      <c r="B1" s="39" t="s">
        <v>119</v>
      </c>
      <c r="C1" s="39" t="s">
        <v>120</v>
      </c>
      <c r="D1" s="39" t="s">
        <v>76</v>
      </c>
      <c r="E1" s="39" t="s">
        <v>72</v>
      </c>
      <c r="F1" s="39" t="s">
        <v>121</v>
      </c>
      <c r="G1" s="39" t="s">
        <v>122</v>
      </c>
      <c r="H1" s="39" t="s">
        <v>123</v>
      </c>
      <c r="I1" s="39" t="s">
        <v>124</v>
      </c>
      <c r="J1" s="39" t="s">
        <v>125</v>
      </c>
      <c r="K1" s="39" t="s">
        <v>126</v>
      </c>
      <c r="L1" s="39" t="s">
        <v>127</v>
      </c>
      <c r="M1" s="39" t="s">
        <v>128</v>
      </c>
      <c r="N1" s="39" t="s">
        <v>129</v>
      </c>
      <c r="O1" s="39" t="s">
        <v>130</v>
      </c>
    </row>
    <row r="2" customFormat="false" ht="15" hidden="false" customHeight="true" outlineLevel="0" collapsed="false">
      <c r="A2" s="33" t="str">
        <f aca="false">Datos_items!A2</f>
        <v>Karla Mariana Gallo Tehelen</v>
      </c>
      <c r="B2" s="33" t="str">
        <f aca="false">Datos_items!B2</f>
        <v>Primaria, Secundaria, Media</v>
      </c>
      <c r="C2" s="40" t="str">
        <f aca="false">Datos_items!D2</f>
        <v>3 a 10</v>
      </c>
      <c r="D2" s="33" t="str">
        <f aca="false">Datos_items!E2</f>
        <v>Computador propio</v>
      </c>
      <c r="E2" s="33" t="str">
        <f aca="false">Datos_items!F2</f>
        <v>Estable</v>
      </c>
      <c r="F2" s="33" t="str">
        <f aca="false">Datos_items!G2</f>
        <v>Ninguna</v>
      </c>
      <c r="G2" s="41" t="n">
        <f aca="false">AVERAGE(Datos_items!I2:Q2)</f>
        <v>77.7777777777778</v>
      </c>
      <c r="H2" s="41" t="n">
        <f aca="false">AVERAGE(Datos_items!R2:W2)</f>
        <v>79.1666666666667</v>
      </c>
      <c r="I2" s="41" t="n">
        <f aca="false">AVERAGE(Datos_items!X2:AC2)</f>
        <v>83.3333333333333</v>
      </c>
      <c r="J2" s="41" t="n">
        <f aca="false">AVERAGE(Datos_items!AD2:AJ2)</f>
        <v>75</v>
      </c>
      <c r="K2" s="41" t="n">
        <f aca="false">AVERAGE(Datos_items!AK2:AQ2)</f>
        <v>75</v>
      </c>
      <c r="L2" s="41" t="n">
        <f aca="false">AVERAGE(Datos_items!AR2:AY2)</f>
        <v>84.375</v>
      </c>
      <c r="M2" s="41" t="n">
        <f aca="false">Datos_items!H2/9*100</f>
        <v>100</v>
      </c>
      <c r="N2" s="42" t="n">
        <f aca="false">(G2+H2+I2+J2+K2+2*L2+M2)/8</f>
        <v>82.3784722222222</v>
      </c>
      <c r="O2" s="40" t="str">
        <f aca="false">IF(N2&lt;50,"Explorador",IF(N2&lt;75,"Integrador","Innovador"))</f>
        <v>Innovador</v>
      </c>
    </row>
    <row r="3" customFormat="false" ht="15" hidden="false" customHeight="true" outlineLevel="0" collapsed="false">
      <c r="A3" s="33" t="str">
        <f aca="false">Datos_items!A3</f>
        <v>Laura Katherin Rodríguez Caucali</v>
      </c>
      <c r="B3" s="33" t="str">
        <f aca="false">Datos_items!B3</f>
        <v>Preescolar, Primaria</v>
      </c>
      <c r="C3" s="40" t="str">
        <f aca="false">Datos_items!D3</f>
        <v>3 a 10</v>
      </c>
      <c r="D3" s="33" t="str">
        <f aca="false">Datos_items!E3</f>
        <v>Computador institucional</v>
      </c>
      <c r="E3" s="33" t="str">
        <f aca="false">Datos_items!F3</f>
        <v>Estable</v>
      </c>
      <c r="F3" s="33" t="str">
        <f aca="false">Datos_items!G3</f>
        <v>Informal o autodidacta</v>
      </c>
      <c r="G3" s="41" t="n">
        <f aca="false">AVERAGE(Datos_items!I3:Q3)</f>
        <v>80.5555555555556</v>
      </c>
      <c r="H3" s="41" t="n">
        <f aca="false">AVERAGE(Datos_items!R3:W3)</f>
        <v>61.1166666666667</v>
      </c>
      <c r="I3" s="41" t="n">
        <f aca="false">AVERAGE(Datos_items!X3:AC3)</f>
        <v>83.3333333333333</v>
      </c>
      <c r="J3" s="41" t="n">
        <f aca="false">AVERAGE(Datos_items!AD3:AJ3)</f>
        <v>89.2857142857143</v>
      </c>
      <c r="K3" s="41" t="n">
        <f aca="false">AVERAGE(Datos_items!AK3:AQ3)</f>
        <v>75</v>
      </c>
      <c r="L3" s="41" t="n">
        <f aca="false">AVERAGE(Datos_items!AR3:AY3)</f>
        <v>87.5</v>
      </c>
      <c r="M3" s="41" t="n">
        <f aca="false">Datos_items!H3/9*100</f>
        <v>77.7777777777778</v>
      </c>
      <c r="N3" s="42" t="n">
        <f aca="false">(G3+H3+I3+J3+K3+2*L3+M3)/8</f>
        <v>80.258630952381</v>
      </c>
      <c r="O3" s="40" t="str">
        <f aca="false">IF(N3&lt;50,"Explorador",IF(N3&lt;75,"Integrador","Innovador"))</f>
        <v>Innovador</v>
      </c>
    </row>
    <row r="4" customFormat="false" ht="15" hidden="false" customHeight="true" outlineLevel="0" collapsed="false">
      <c r="A4" s="33" t="str">
        <f aca="false">Datos_items!A4</f>
        <v>Jorge Iván Hernández Loaiza </v>
      </c>
      <c r="B4" s="33" t="str">
        <f aca="false">Datos_items!B4</f>
        <v>Secundaria, Media</v>
      </c>
      <c r="C4" s="40" t="str">
        <f aca="false">Datos_items!D4</f>
        <v>3 a 10</v>
      </c>
      <c r="D4" s="33" t="str">
        <f aca="false">Datos_items!E4</f>
        <v>Computador propio</v>
      </c>
      <c r="E4" s="33" t="str">
        <f aca="false">Datos_items!F4</f>
        <v>Limitada</v>
      </c>
      <c r="F4" s="33" t="str">
        <f aca="false">Datos_items!G4</f>
        <v>Cursos cortos</v>
      </c>
      <c r="G4" s="41" t="n">
        <f aca="false">AVERAGE(Datos_items!I4:Q4)</f>
        <v>91.6666666666667</v>
      </c>
      <c r="H4" s="41" t="n">
        <f aca="false">AVERAGE(Datos_items!R4:W4)</f>
        <v>95.8333333333333</v>
      </c>
      <c r="I4" s="41" t="n">
        <f aca="false">AVERAGE(Datos_items!X4:AC4)</f>
        <v>90.2833333333334</v>
      </c>
      <c r="J4" s="41" t="n">
        <f aca="false">AVERAGE(Datos_items!AD4:AJ4)</f>
        <v>64.2857142857143</v>
      </c>
      <c r="K4" s="41" t="n">
        <f aca="false">AVERAGE(Datos_items!AK4:AQ4)</f>
        <v>71.4285714285714</v>
      </c>
      <c r="L4" s="41" t="n">
        <f aca="false">AVERAGE(Datos_items!AR4:AY4)</f>
        <v>75</v>
      </c>
      <c r="M4" s="41" t="n">
        <f aca="false">Datos_items!H4/9*100</f>
        <v>88.8888888888889</v>
      </c>
      <c r="N4" s="42" t="n">
        <f aca="false">(G4+H4+I4+J4+K4+2*L4+M4)/8</f>
        <v>81.5483134920635</v>
      </c>
      <c r="O4" s="40" t="str">
        <f aca="false">IF(N4&lt;50,"Explorador",IF(N4&lt;75,"Integrador","Innovador"))</f>
        <v>Innovador</v>
      </c>
    </row>
    <row r="5" customFormat="false" ht="15" hidden="false" customHeight="true" outlineLevel="0" collapsed="false">
      <c r="A5" s="33" t="str">
        <f aca="false">Datos_items!A5</f>
        <v>Carlos Augusto Gómez Gualteros </v>
      </c>
      <c r="B5" s="33" t="str">
        <f aca="false">Datos_items!B5</f>
        <v>Primaria</v>
      </c>
      <c r="C5" s="40" t="str">
        <f aca="false">Datos_items!D5</f>
        <v>3 a 10</v>
      </c>
      <c r="D5" s="33" t="str">
        <f aca="false">Datos_items!E5</f>
        <v>Computador propio</v>
      </c>
      <c r="E5" s="33" t="str">
        <f aca="false">Datos_items!F5</f>
        <v>Estable</v>
      </c>
      <c r="F5" s="33" t="str">
        <f aca="false">Datos_items!G5</f>
        <v>Informal o autodidacta</v>
      </c>
      <c r="G5" s="41" t="n">
        <f aca="false">AVERAGE(Datos_items!I5:Q5)</f>
        <v>72.2222222222222</v>
      </c>
      <c r="H5" s="41" t="n">
        <f aca="false">AVERAGE(Datos_items!R5:W5)</f>
        <v>81.95</v>
      </c>
      <c r="I5" s="41" t="n">
        <f aca="false">AVERAGE(Datos_items!X5:AC5)</f>
        <v>81.95</v>
      </c>
      <c r="J5" s="41" t="n">
        <f aca="false">AVERAGE(Datos_items!AD5:AJ5)</f>
        <v>89.2857142857143</v>
      </c>
      <c r="K5" s="41" t="n">
        <f aca="false">AVERAGE(Datos_items!AK5:AQ5)</f>
        <v>67.8571428571429</v>
      </c>
      <c r="L5" s="41" t="n">
        <f aca="false">AVERAGE(Datos_items!AR5:AY5)</f>
        <v>71.875</v>
      </c>
      <c r="M5" s="41" t="n">
        <f aca="false">Datos_items!H5/9*100</f>
        <v>100</v>
      </c>
      <c r="N5" s="42" t="n">
        <f aca="false">(G5+H5+I5+J5+K5+2*L5+M5)/8</f>
        <v>79.6268849206349</v>
      </c>
      <c r="O5" s="40" t="str">
        <f aca="false">IF(N5&lt;50,"Explorador",IF(N5&lt;75,"Integrador","Innovador"))</f>
        <v>Innovador</v>
      </c>
    </row>
    <row r="6" customFormat="false" ht="15" hidden="false" customHeight="true" outlineLevel="0" collapsed="false">
      <c r="A6" s="33" t="str">
        <f aca="false">Datos_items!A6</f>
        <v>Gabriel Andrés Moreno Angarita </v>
      </c>
      <c r="B6" s="33" t="str">
        <f aca="false">Datos_items!B6</f>
        <v>Secundaria, Media</v>
      </c>
      <c r="C6" s="40" t="str">
        <f aca="false">Datos_items!D6</f>
        <v>Más de 20</v>
      </c>
      <c r="D6" s="33" t="str">
        <f aca="false">Datos_items!E6</f>
        <v>Computador propio</v>
      </c>
      <c r="E6" s="33" t="str">
        <f aca="false">Datos_items!F6</f>
        <v>Estable</v>
      </c>
      <c r="F6" s="33" t="str">
        <f aca="false">Datos_items!G6</f>
        <v>Informal o autodidacta</v>
      </c>
      <c r="G6" s="41" t="n">
        <f aca="false">AVERAGE(Datos_items!I6:Q6)</f>
        <v>100</v>
      </c>
      <c r="H6" s="41" t="n">
        <f aca="false">AVERAGE(Datos_items!R6:W6)</f>
        <v>87.5</v>
      </c>
      <c r="I6" s="41" t="n">
        <f aca="false">AVERAGE(Datos_items!X6:AC6)</f>
        <v>45.8333333333333</v>
      </c>
      <c r="J6" s="41" t="n">
        <f aca="false">AVERAGE(Datos_items!AD6:AJ6)</f>
        <v>85.7142857142857</v>
      </c>
      <c r="K6" s="41" t="n">
        <f aca="false">AVERAGE(Datos_items!AK6:AQ6)</f>
        <v>75</v>
      </c>
      <c r="L6" s="41" t="n">
        <f aca="false">AVERAGE(Datos_items!AR6:AY6)</f>
        <v>96.875</v>
      </c>
      <c r="M6" s="41" t="n">
        <f aca="false">Datos_items!H6/9*100</f>
        <v>100</v>
      </c>
      <c r="N6" s="42" t="n">
        <f aca="false">(G6+H6+I6+J6+K6+2*L6+M6)/8</f>
        <v>85.9747023809524</v>
      </c>
      <c r="O6" s="40" t="str">
        <f aca="false">IF(N6&lt;50,"Explorador",IF(N6&lt;75,"Integrador","Innovador"))</f>
        <v>Innovador</v>
      </c>
    </row>
    <row r="7" customFormat="false" ht="15" hidden="false" customHeight="true" outlineLevel="0" collapsed="false">
      <c r="A7" s="33" t="str">
        <f aca="false">Datos_items!A7</f>
        <v>Laura Milena Casallas Velandia </v>
      </c>
      <c r="B7" s="33" t="str">
        <f aca="false">Datos_items!B7</f>
        <v>Secundaria, Media</v>
      </c>
      <c r="C7" s="40" t="str">
        <f aca="false">Datos_items!D7</f>
        <v>3 a 10</v>
      </c>
      <c r="D7" s="33" t="str">
        <f aca="false">Datos_items!E7</f>
        <v>Computador propio</v>
      </c>
      <c r="E7" s="33" t="str">
        <f aca="false">Datos_items!F7</f>
        <v>Intermitente</v>
      </c>
      <c r="F7" s="33" t="str">
        <f aca="false">Datos_items!G7</f>
        <v>Ninguna</v>
      </c>
      <c r="G7" s="41" t="n">
        <f aca="false">AVERAGE(Datos_items!I7:Q7)</f>
        <v>88.8888888888889</v>
      </c>
      <c r="H7" s="41" t="n">
        <f aca="false">AVERAGE(Datos_items!R7:W7)</f>
        <v>65.2833333333333</v>
      </c>
      <c r="I7" s="41" t="n">
        <f aca="false">AVERAGE(Datos_items!X7:AC7)</f>
        <v>58.3333333333333</v>
      </c>
      <c r="J7" s="41" t="n">
        <f aca="false">AVERAGE(Datos_items!AD7:AJ7)</f>
        <v>78.5714285714286</v>
      </c>
      <c r="K7" s="41" t="n">
        <f aca="false">AVERAGE(Datos_items!AK7:AQ7)</f>
        <v>42.8571428571429</v>
      </c>
      <c r="L7" s="41" t="n">
        <f aca="false">AVERAGE(Datos_items!AR7:AY7)</f>
        <v>75</v>
      </c>
      <c r="M7" s="41" t="n">
        <f aca="false">Datos_items!H7/9*100</f>
        <v>100</v>
      </c>
      <c r="N7" s="42" t="n">
        <f aca="false">(G7+H7+I7+J7+K7+2*L7+M7)/8</f>
        <v>72.9917658730159</v>
      </c>
      <c r="O7" s="40" t="str">
        <f aca="false">IF(N7&lt;50,"Explorador",IF(N7&lt;75,"Integrador","Innovador"))</f>
        <v>Integrador</v>
      </c>
    </row>
    <row r="8" customFormat="false" ht="15" hidden="false" customHeight="true" outlineLevel="0" collapsed="false">
      <c r="A8" s="33" t="str">
        <f aca="false">Datos_items!A8</f>
        <v>Norma constanza ortiz cañon</v>
      </c>
      <c r="B8" s="33" t="str">
        <f aca="false">Datos_items!B8</f>
        <v>Primaria</v>
      </c>
      <c r="C8" s="40" t="str">
        <f aca="false">Datos_items!D8</f>
        <v>11 a 20</v>
      </c>
      <c r="D8" s="33" t="str">
        <f aca="false">Datos_items!E8</f>
        <v>Computador propio</v>
      </c>
      <c r="E8" s="33" t="str">
        <f aca="false">Datos_items!F8</f>
        <v>Estable</v>
      </c>
      <c r="F8" s="33" t="str">
        <f aca="false">Datos_items!G8</f>
        <v>Informal o autodidacta</v>
      </c>
      <c r="G8" s="41" t="n">
        <f aca="false">AVERAGE(Datos_items!I8:Q8)</f>
        <v>83.3333333333333</v>
      </c>
      <c r="H8" s="41" t="n">
        <f aca="false">AVERAGE(Datos_items!R8:W8)</f>
        <v>62.5</v>
      </c>
      <c r="I8" s="41" t="n">
        <f aca="false">AVERAGE(Datos_items!X8:AC8)</f>
        <v>75</v>
      </c>
      <c r="J8" s="41" t="n">
        <f aca="false">AVERAGE(Datos_items!AD8:AJ8)</f>
        <v>39.2857142857143</v>
      </c>
      <c r="K8" s="41" t="n">
        <f aca="false">AVERAGE(Datos_items!AK8:AQ8)</f>
        <v>85.7142857142857</v>
      </c>
      <c r="L8" s="41" t="n">
        <f aca="false">AVERAGE(Datos_items!AR8:AY8)</f>
        <v>56.25</v>
      </c>
      <c r="M8" s="41" t="n">
        <f aca="false">Datos_items!H8/9*100</f>
        <v>100</v>
      </c>
      <c r="N8" s="42" t="n">
        <f aca="false">(G8+H8+I8+J8+K8+2*L8+M8)/8</f>
        <v>69.7916666666667</v>
      </c>
      <c r="O8" s="40" t="str">
        <f aca="false">IF(N8&lt;50,"Explorador",IF(N8&lt;75,"Integrador","Innovador"))</f>
        <v>Integrador</v>
      </c>
    </row>
    <row r="9" customFormat="false" ht="15" hidden="false" customHeight="true" outlineLevel="0" collapsed="false">
      <c r="A9" s="33" t="str">
        <f aca="false">Datos_items!A9</f>
        <v>Angela Viviana Alarcón Alfonso </v>
      </c>
      <c r="B9" s="33" t="str">
        <f aca="false">Datos_items!B9</f>
        <v>Primaria</v>
      </c>
      <c r="C9" s="40" t="str">
        <f aca="false">Datos_items!D9</f>
        <v>11 a 20</v>
      </c>
      <c r="D9" s="33" t="str">
        <f aca="false">Datos_items!E9</f>
        <v>Computador institucional</v>
      </c>
      <c r="E9" s="33" t="str">
        <f aca="false">Datos_items!F9</f>
        <v>Intermitente</v>
      </c>
      <c r="F9" s="33" t="str">
        <f aca="false">Datos_items!G9</f>
        <v>Informal o autodidacta</v>
      </c>
      <c r="G9" s="41" t="n">
        <f aca="false">AVERAGE(Datos_items!I9:Q9)</f>
        <v>94.4444444444444</v>
      </c>
      <c r="H9" s="41" t="n">
        <f aca="false">AVERAGE(Datos_items!R9:W9)</f>
        <v>65.2833333333333</v>
      </c>
      <c r="I9" s="41" t="n">
        <f aca="false">AVERAGE(Datos_items!X9:AC9)</f>
        <v>58.3333333333333</v>
      </c>
      <c r="J9" s="41" t="n">
        <f aca="false">AVERAGE(Datos_items!AD9:AJ9)</f>
        <v>57.1428571428571</v>
      </c>
      <c r="K9" s="41" t="n">
        <f aca="false">AVERAGE(Datos_items!AK9:AQ9)</f>
        <v>14.2857142857143</v>
      </c>
      <c r="L9" s="41" t="n">
        <f aca="false">AVERAGE(Datos_items!AR9:AY9)</f>
        <v>53.125</v>
      </c>
      <c r="M9" s="41" t="n">
        <f aca="false">Datos_items!H9/9*100</f>
        <v>100</v>
      </c>
      <c r="N9" s="42" t="n">
        <f aca="false">(G9+H9+I9+J9+K9+2*L9+M9)/8</f>
        <v>61.9674603174603</v>
      </c>
      <c r="O9" s="40" t="str">
        <f aca="false">IF(N9&lt;50,"Explorador",IF(N9&lt;75,"Integrador","Innovador"))</f>
        <v>Integrador</v>
      </c>
    </row>
    <row r="10" customFormat="false" ht="15" hidden="false" customHeight="true" outlineLevel="0" collapsed="false">
      <c r="A10" s="33" t="str">
        <f aca="false">Datos_items!A10</f>
        <v>Gustavo Adolfo Toscano Gaitán </v>
      </c>
      <c r="B10" s="33" t="str">
        <f aca="false">Datos_items!B10</f>
        <v>Secundaria</v>
      </c>
      <c r="C10" s="40" t="str">
        <f aca="false">Datos_items!D10</f>
        <v>11 a 20</v>
      </c>
      <c r="D10" s="33" t="str">
        <f aca="false">Datos_items!E10</f>
        <v>Computador propio</v>
      </c>
      <c r="E10" s="33" t="str">
        <f aca="false">Datos_items!F10</f>
        <v>Intermitente</v>
      </c>
      <c r="F10" s="33" t="str">
        <f aca="false">Datos_items!G10</f>
        <v>Posgrado o certificación formal</v>
      </c>
      <c r="G10" s="41" t="n">
        <f aca="false">AVERAGE(Datos_items!I10:Q10)</f>
        <v>88.8888888888889</v>
      </c>
      <c r="H10" s="41" t="n">
        <f aca="false">AVERAGE(Datos_items!R10:W10)</f>
        <v>94.45</v>
      </c>
      <c r="I10" s="41" t="n">
        <f aca="false">AVERAGE(Datos_items!X10:AC10)</f>
        <v>70.8333333333333</v>
      </c>
      <c r="J10" s="41" t="n">
        <f aca="false">AVERAGE(Datos_items!AD10:AJ10)</f>
        <v>82.1428571428571</v>
      </c>
      <c r="K10" s="41" t="n">
        <f aca="false">AVERAGE(Datos_items!AK10:AQ10)</f>
        <v>92.8571428571429</v>
      </c>
      <c r="L10" s="41" t="n">
        <f aca="false">AVERAGE(Datos_items!AR10:AY10)</f>
        <v>87.5</v>
      </c>
      <c r="M10" s="41" t="n">
        <f aca="false">Datos_items!H10/9*100</f>
        <v>100</v>
      </c>
      <c r="N10" s="42" t="n">
        <f aca="false">(G10+H10+I10+J10+K10+2*L10+M10)/8</f>
        <v>88.0215277777778</v>
      </c>
      <c r="O10" s="40" t="str">
        <f aca="false">IF(N10&lt;50,"Explorador",IF(N10&lt;75,"Integrador","Innovador"))</f>
        <v>Innovador</v>
      </c>
    </row>
    <row r="11" customFormat="false" ht="15" hidden="false" customHeight="true" outlineLevel="0" collapsed="false">
      <c r="A11" s="33" t="str">
        <f aca="false">Datos_items!A11</f>
        <v>Kelly Jalexy Díaz Olaya </v>
      </c>
      <c r="B11" s="33" t="str">
        <f aca="false">Datos_items!B11</f>
        <v>Secundaria, Media</v>
      </c>
      <c r="C11" s="40" t="str">
        <f aca="false">Datos_items!D11</f>
        <v>3 a 10</v>
      </c>
      <c r="D11" s="33" t="str">
        <f aca="false">Datos_items!E11</f>
        <v>Computador propio</v>
      </c>
      <c r="E11" s="33" t="str">
        <f aca="false">Datos_items!F11</f>
        <v>Intermitente</v>
      </c>
      <c r="F11" s="33" t="str">
        <f aca="false">Datos_items!G11</f>
        <v>Informal o autodidacta</v>
      </c>
      <c r="G11" s="41" t="n">
        <f aca="false">AVERAGE(Datos_items!I11:Q11)</f>
        <v>97.2222222222222</v>
      </c>
      <c r="H11" s="41" t="n">
        <f aca="false">AVERAGE(Datos_items!R11:W11)</f>
        <v>100</v>
      </c>
      <c r="I11" s="41" t="n">
        <f aca="false">AVERAGE(Datos_items!X11:AC11)</f>
        <v>83.3333333333333</v>
      </c>
      <c r="J11" s="41" t="n">
        <f aca="false">AVERAGE(Datos_items!AD11:AJ11)</f>
        <v>85.7142857142857</v>
      </c>
      <c r="K11" s="41" t="n">
        <f aca="false">AVERAGE(Datos_items!AK11:AQ11)</f>
        <v>89.2857142857143</v>
      </c>
      <c r="L11" s="41" t="n">
        <f aca="false">AVERAGE(Datos_items!AR11:AY11)</f>
        <v>90.625</v>
      </c>
      <c r="M11" s="41" t="n">
        <f aca="false">Datos_items!H11/9*100</f>
        <v>100</v>
      </c>
      <c r="N11" s="42" t="n">
        <f aca="false">(G11+H11+I11+J11+K11+2*L11+M11)/8</f>
        <v>92.1006944444444</v>
      </c>
      <c r="O11" s="40" t="str">
        <f aca="false">IF(N11&lt;50,"Explorador",IF(N11&lt;75,"Integrador","Innovador"))</f>
        <v>Innovador</v>
      </c>
    </row>
    <row r="12" customFormat="false" ht="15" hidden="false" customHeight="true" outlineLevel="0" collapsed="false">
      <c r="A12" s="33" t="str">
        <f aca="false">Datos_items!A12</f>
        <v>Deisy Camila Flautero Arias </v>
      </c>
      <c r="B12" s="33" t="str">
        <f aca="false">Datos_items!B12</f>
        <v>Primaria</v>
      </c>
      <c r="C12" s="40" t="str">
        <f aca="false">Datos_items!D12</f>
        <v>3 a 10</v>
      </c>
      <c r="D12" s="33" t="str">
        <f aca="false">Datos_items!E12</f>
        <v>Computador propio</v>
      </c>
      <c r="E12" s="33" t="str">
        <f aca="false">Datos_items!F12</f>
        <v>Estable</v>
      </c>
      <c r="F12" s="33" t="str">
        <f aca="false">Datos_items!G12</f>
        <v>Cursos cortos</v>
      </c>
      <c r="G12" s="41" t="n">
        <f aca="false">AVERAGE(Datos_items!I12:Q12)</f>
        <v>88.8888888888889</v>
      </c>
      <c r="H12" s="41" t="n">
        <f aca="false">AVERAGE(Datos_items!R12:W12)</f>
        <v>87.5</v>
      </c>
      <c r="I12" s="41" t="n">
        <f aca="false">AVERAGE(Datos_items!X12:AC12)</f>
        <v>90.2833333333334</v>
      </c>
      <c r="J12" s="41" t="n">
        <f aca="false">AVERAGE(Datos_items!AD12:AJ12)</f>
        <v>100</v>
      </c>
      <c r="K12" s="41" t="n">
        <f aca="false">AVERAGE(Datos_items!AK12:AQ12)</f>
        <v>92.8571428571429</v>
      </c>
      <c r="L12" s="41" t="n">
        <f aca="false">AVERAGE(Datos_items!AR12:AY12)</f>
        <v>87.5</v>
      </c>
      <c r="M12" s="41" t="n">
        <f aca="false">Datos_items!H12/9*100</f>
        <v>100</v>
      </c>
      <c r="N12" s="42" t="n">
        <f aca="false">(G12+H12+I12+J12+K12+2*L12+M12)/8</f>
        <v>91.8161706349206</v>
      </c>
      <c r="O12" s="40" t="str">
        <f aca="false">IF(N12&lt;50,"Explorador",IF(N12&lt;75,"Integrador","Innovador"))</f>
        <v>Innovador</v>
      </c>
    </row>
    <row r="13" customFormat="false" ht="15" hidden="false" customHeight="true" outlineLevel="0" collapsed="false">
      <c r="A13" s="33" t="str">
        <f aca="false">Datos_items!A13</f>
        <v>Jaime Orlando Ramírez Vargas</v>
      </c>
      <c r="B13" s="33" t="str">
        <f aca="false">Datos_items!B13</f>
        <v>Secundaria, Media</v>
      </c>
      <c r="C13" s="40" t="str">
        <f aca="false">Datos_items!D13</f>
        <v>11 a 20</v>
      </c>
      <c r="D13" s="33" t="str">
        <f aca="false">Datos_items!E13</f>
        <v>Computador institucional</v>
      </c>
      <c r="E13" s="33" t="str">
        <f aca="false">Datos_items!F13</f>
        <v>Limitada</v>
      </c>
      <c r="F13" s="33" t="str">
        <f aca="false">Datos_items!G13</f>
        <v>Informal o autodidacta</v>
      </c>
      <c r="G13" s="41" t="n">
        <f aca="false">AVERAGE(Datos_items!I13:Q13)</f>
        <v>88.8888888888889</v>
      </c>
      <c r="H13" s="41" t="n">
        <f aca="false">AVERAGE(Datos_items!R13:W13)</f>
        <v>76.3833333333333</v>
      </c>
      <c r="I13" s="41" t="n">
        <f aca="false">AVERAGE(Datos_items!X13:AC13)</f>
        <v>47.2166666666667</v>
      </c>
      <c r="J13" s="41" t="n">
        <f aca="false">AVERAGE(Datos_items!AD13:AJ13)</f>
        <v>60.7142857142857</v>
      </c>
      <c r="K13" s="41" t="n">
        <f aca="false">AVERAGE(Datos_items!AK13:AQ13)</f>
        <v>53.5714285714286</v>
      </c>
      <c r="L13" s="41" t="n">
        <f aca="false">AVERAGE(Datos_items!AR13:AY13)</f>
        <v>75</v>
      </c>
      <c r="M13" s="41" t="n">
        <f aca="false">Datos_items!H13/9*100</f>
        <v>88.8888888888889</v>
      </c>
      <c r="N13" s="42" t="n">
        <f aca="false">(G13+H13+I13+J13+K13+2*L13+M13)/8</f>
        <v>70.7079365079365</v>
      </c>
      <c r="O13" s="40" t="str">
        <f aca="false">IF(N13&lt;50,"Explorador",IF(N13&lt;75,"Integrador","Innovador"))</f>
        <v>Integrador</v>
      </c>
    </row>
    <row r="14" customFormat="false" ht="15" hidden="false" customHeight="true" outlineLevel="0" collapsed="false">
      <c r="A14" s="33" t="str">
        <f aca="false">Datos_items!A14</f>
        <v>María Isabel Buitrago Moreno</v>
      </c>
      <c r="B14" s="33" t="str">
        <f aca="false">Datos_items!B14</f>
        <v>Primaria</v>
      </c>
      <c r="C14" s="40" t="str">
        <f aca="false">Datos_items!D14</f>
        <v>3 a 10</v>
      </c>
      <c r="D14" s="33" t="str">
        <f aca="false">Datos_items!E14</f>
        <v>Computador propio</v>
      </c>
      <c r="E14" s="33" t="str">
        <f aca="false">Datos_items!F14</f>
        <v>Estable</v>
      </c>
      <c r="F14" s="33" t="str">
        <f aca="false">Datos_items!G14</f>
        <v>Informal o autodidacta</v>
      </c>
      <c r="G14" s="41" t="n">
        <f aca="false">AVERAGE(Datos_items!I14:Q14)</f>
        <v>91.6666666666667</v>
      </c>
      <c r="H14" s="41" t="n">
        <f aca="false">AVERAGE(Datos_items!R14:W14)</f>
        <v>90.2833333333334</v>
      </c>
      <c r="I14" s="41" t="n">
        <f aca="false">AVERAGE(Datos_items!X14:AC14)</f>
        <v>83.3333333333333</v>
      </c>
      <c r="J14" s="41" t="n">
        <f aca="false">AVERAGE(Datos_items!AD14:AJ14)</f>
        <v>89.2857142857143</v>
      </c>
      <c r="K14" s="41" t="n">
        <f aca="false">AVERAGE(Datos_items!AK14:AQ14)</f>
        <v>82.1428571428571</v>
      </c>
      <c r="L14" s="41" t="n">
        <f aca="false">AVERAGE(Datos_items!AR14:AY14)</f>
        <v>81.25</v>
      </c>
      <c r="M14" s="41" t="n">
        <f aca="false">Datos_items!H14/9*100</f>
        <v>100</v>
      </c>
      <c r="N14" s="42" t="n">
        <f aca="false">(G14+H14+I14+J14+K14+2*L14+M14)/8</f>
        <v>87.4014880952381</v>
      </c>
      <c r="O14" s="40" t="str">
        <f aca="false">IF(N14&lt;50,"Explorador",IF(N14&lt;75,"Integrador","Innovador"))</f>
        <v>Innovador</v>
      </c>
    </row>
    <row r="15" customFormat="false" ht="15" hidden="false" customHeight="true" outlineLevel="0" collapsed="false">
      <c r="A15" s="33" t="str">
        <f aca="false">Datos_items!A15</f>
        <v>LEIDY KATHERINE GARCÍA URUEÑA </v>
      </c>
      <c r="B15" s="33" t="str">
        <f aca="false">Datos_items!B15</f>
        <v>Primaria, Secundaria</v>
      </c>
      <c r="C15" s="40" t="str">
        <f aca="false">Datos_items!D15</f>
        <v>11 a 20</v>
      </c>
      <c r="D15" s="33" t="str">
        <f aca="false">Datos_items!E15</f>
        <v>Computador propio</v>
      </c>
      <c r="E15" s="33" t="str">
        <f aca="false">Datos_items!F15</f>
        <v>Intermitente</v>
      </c>
      <c r="F15" s="33" t="str">
        <f aca="false">Datos_items!G15</f>
        <v>Informal o autodidacta</v>
      </c>
      <c r="G15" s="41" t="n">
        <f aca="false">AVERAGE(Datos_items!I15:Q15)</f>
        <v>97.2222222222222</v>
      </c>
      <c r="H15" s="41" t="n">
        <f aca="false">AVERAGE(Datos_items!R15:W15)</f>
        <v>58.3333333333333</v>
      </c>
      <c r="I15" s="41" t="n">
        <f aca="false">AVERAGE(Datos_items!X15:AC15)</f>
        <v>76.3833333333333</v>
      </c>
      <c r="J15" s="41" t="n">
        <f aca="false">AVERAGE(Datos_items!AD15:AJ15)</f>
        <v>64.2857142857143</v>
      </c>
      <c r="K15" s="41" t="n">
        <f aca="false">AVERAGE(Datos_items!AK15:AQ15)</f>
        <v>50</v>
      </c>
      <c r="L15" s="41" t="n">
        <f aca="false">AVERAGE(Datos_items!AR15:AY15)</f>
        <v>75</v>
      </c>
      <c r="M15" s="41" t="n">
        <f aca="false">Datos_items!H15/9*100</f>
        <v>88.8888888888889</v>
      </c>
      <c r="N15" s="42" t="n">
        <f aca="false">(G15+H15+I15+J15+K15+2*L15+M15)/8</f>
        <v>73.1391865079365</v>
      </c>
      <c r="O15" s="40" t="str">
        <f aca="false">IF(N15&lt;50,"Explorador",IF(N15&lt;75,"Integrador","Innovador"))</f>
        <v>Integrador</v>
      </c>
    </row>
    <row r="16" customFormat="false" ht="15" hidden="false" customHeight="true" outlineLevel="0" collapsed="false">
      <c r="A16" s="33" t="str">
        <f aca="false">Datos_items!A16</f>
        <v>Sonia Patricia Sarria Prada</v>
      </c>
      <c r="B16" s="33" t="str">
        <f aca="false">Datos_items!B16</f>
        <v>Preescolar, Primaria</v>
      </c>
      <c r="C16" s="40" t="str">
        <f aca="false">Datos_items!D16</f>
        <v>11 a 20</v>
      </c>
      <c r="D16" s="33" t="str">
        <f aca="false">Datos_items!E16</f>
        <v>Computador propio</v>
      </c>
      <c r="E16" s="33" t="str">
        <f aca="false">Datos_items!F16</f>
        <v>Intermitente</v>
      </c>
      <c r="F16" s="33" t="str">
        <f aca="false">Datos_items!G16</f>
        <v>Informal o autodidacta</v>
      </c>
      <c r="G16" s="41" t="n">
        <f aca="false">AVERAGE(Datos_items!I16:Q16)</f>
        <v>91.6666666666667</v>
      </c>
      <c r="H16" s="41" t="n">
        <f aca="false">AVERAGE(Datos_items!R16:W16)</f>
        <v>73.6166666666667</v>
      </c>
      <c r="I16" s="41" t="n">
        <f aca="false">AVERAGE(Datos_items!X16:AC16)</f>
        <v>62.5</v>
      </c>
      <c r="J16" s="41" t="n">
        <f aca="false">AVERAGE(Datos_items!AD16:AJ16)</f>
        <v>67.8571428571429</v>
      </c>
      <c r="K16" s="41" t="n">
        <f aca="false">AVERAGE(Datos_items!AK16:AQ16)</f>
        <v>46.4285714285714</v>
      </c>
      <c r="L16" s="41" t="n">
        <f aca="false">AVERAGE(Datos_items!AR16:AY16)</f>
        <v>56.25</v>
      </c>
      <c r="M16" s="41" t="n">
        <f aca="false">Datos_items!H16/9*100</f>
        <v>100</v>
      </c>
      <c r="N16" s="42" t="n">
        <f aca="false">(G16+H16+I16+J16+K16+2*L16+M16)/8</f>
        <v>69.321130952381</v>
      </c>
      <c r="O16" s="40" t="str">
        <f aca="false">IF(N16&lt;50,"Explorador",IF(N16&lt;75,"Integrador","Innovador"))</f>
        <v>Integrador</v>
      </c>
    </row>
    <row r="17" customFormat="false" ht="15" hidden="false" customHeight="true" outlineLevel="0" collapsed="false">
      <c r="A17" s="33" t="str">
        <f aca="false">Datos_items!A17</f>
        <v>Natalie Alejandra Carrillo Jerez </v>
      </c>
      <c r="B17" s="33" t="str">
        <f aca="false">Datos_items!B17</f>
        <v>Preescolar</v>
      </c>
      <c r="C17" s="40" t="str">
        <f aca="false">Datos_items!D17</f>
        <v>3 a 10</v>
      </c>
      <c r="D17" s="33" t="str">
        <f aca="false">Datos_items!E17</f>
        <v>Computador propio</v>
      </c>
      <c r="E17" s="33" t="str">
        <f aca="false">Datos_items!F17</f>
        <v>Intermitente</v>
      </c>
      <c r="F17" s="33" t="str">
        <f aca="false">Datos_items!G17</f>
        <v>Ninguna</v>
      </c>
      <c r="G17" s="41" t="n">
        <f aca="false">AVERAGE(Datos_items!I17:Q17)</f>
        <v>91.6666666666667</v>
      </c>
      <c r="H17" s="41" t="n">
        <f aca="false">AVERAGE(Datos_items!R17:W17)</f>
        <v>83.3333333333333</v>
      </c>
      <c r="I17" s="41" t="n">
        <f aca="false">AVERAGE(Datos_items!X17:AC17)</f>
        <v>94.45</v>
      </c>
      <c r="J17" s="41" t="n">
        <f aca="false">AVERAGE(Datos_items!AD17:AJ17)</f>
        <v>89.2857142857143</v>
      </c>
      <c r="K17" s="41" t="n">
        <f aca="false">AVERAGE(Datos_items!AK17:AQ17)</f>
        <v>78.5714285714286</v>
      </c>
      <c r="L17" s="41" t="n">
        <f aca="false">AVERAGE(Datos_items!AR17:AY17)</f>
        <v>87.5</v>
      </c>
      <c r="M17" s="41" t="n">
        <f aca="false">Datos_items!H17/9*100</f>
        <v>88.8888888888889</v>
      </c>
      <c r="N17" s="42" t="n">
        <f aca="false">(G17+H17+I17+J17+K17+2*L17+M17)/8</f>
        <v>87.649503968254</v>
      </c>
      <c r="O17" s="40" t="str">
        <f aca="false">IF(N17&lt;50,"Explorador",IF(N17&lt;75,"Integrador","Innovador"))</f>
        <v>Innovador</v>
      </c>
    </row>
    <row r="18" customFormat="false" ht="15" hidden="false" customHeight="true" outlineLevel="0" collapsed="false">
      <c r="A18" s="33" t="str">
        <f aca="false">Datos_items!A18</f>
        <v>Juliana Inés Trujillo parrado </v>
      </c>
      <c r="B18" s="33" t="str">
        <f aca="false">Datos_items!B18</f>
        <v>Primaria</v>
      </c>
      <c r="C18" s="40" t="str">
        <f aca="false">Datos_items!D18</f>
        <v>Menos de 3</v>
      </c>
      <c r="D18" s="33" t="str">
        <f aca="false">Datos_items!E18</f>
        <v>Computador propio</v>
      </c>
      <c r="E18" s="33" t="str">
        <f aca="false">Datos_items!F18</f>
        <v>Intermitente</v>
      </c>
      <c r="F18" s="33" t="str">
        <f aca="false">Datos_items!G18</f>
        <v>Informal o autodidacta</v>
      </c>
      <c r="G18" s="41" t="n">
        <f aca="false">AVERAGE(Datos_items!I18:Q18)</f>
        <v>86.1111111111111</v>
      </c>
      <c r="H18" s="41" t="n">
        <f aca="false">AVERAGE(Datos_items!R18:W18)</f>
        <v>69.45</v>
      </c>
      <c r="I18" s="41" t="n">
        <f aca="false">AVERAGE(Datos_items!X18:AC18)</f>
        <v>81.95</v>
      </c>
      <c r="J18" s="41" t="n">
        <f aca="false">AVERAGE(Datos_items!AD18:AJ18)</f>
        <v>64.2857142857143</v>
      </c>
      <c r="K18" s="41" t="n">
        <f aca="false">AVERAGE(Datos_items!AK18:AQ18)</f>
        <v>60.7142857142857</v>
      </c>
      <c r="L18" s="41" t="n">
        <f aca="false">AVERAGE(Datos_items!AR18:AY18)</f>
        <v>59.375</v>
      </c>
      <c r="M18" s="41" t="n">
        <f aca="false">Datos_items!H18/9*100</f>
        <v>88.8888888888889</v>
      </c>
      <c r="N18" s="42" t="n">
        <f aca="false">(G18+H18+I18+J18+K18+2*L18+M18)/8</f>
        <v>71.26875</v>
      </c>
      <c r="O18" s="40" t="str">
        <f aca="false">IF(N18&lt;50,"Explorador",IF(N18&lt;75,"Integrador","Innovador"))</f>
        <v>Integrador</v>
      </c>
    </row>
    <row r="19" customFormat="false" ht="15" hidden="false" customHeight="true" outlineLevel="0" collapsed="false">
      <c r="A19" s="33" t="str">
        <f aca="false">Datos_items!A19</f>
        <v>Brintey Julieth Garzón Moreno </v>
      </c>
      <c r="B19" s="33" t="str">
        <f aca="false">Datos_items!B19</f>
        <v>Secundaria, Media</v>
      </c>
      <c r="C19" s="40" t="str">
        <f aca="false">Datos_items!D19</f>
        <v>3 a 10</v>
      </c>
      <c r="D19" s="33" t="str">
        <f aca="false">Datos_items!E19</f>
        <v>Computador propio</v>
      </c>
      <c r="E19" s="33" t="str">
        <f aca="false">Datos_items!F19</f>
        <v>Intermitente</v>
      </c>
      <c r="F19" s="33" t="str">
        <f aca="false">Datos_items!G19</f>
        <v>Posgrado o certificación formal</v>
      </c>
      <c r="G19" s="41" t="n">
        <f aca="false">AVERAGE(Datos_items!I19:Q19)</f>
        <v>94.4444444444444</v>
      </c>
      <c r="H19" s="41" t="n">
        <f aca="false">AVERAGE(Datos_items!R19:W19)</f>
        <v>95.8333333333333</v>
      </c>
      <c r="I19" s="41" t="n">
        <f aca="false">AVERAGE(Datos_items!X19:AC19)</f>
        <v>68.05</v>
      </c>
      <c r="J19" s="41" t="n">
        <f aca="false">AVERAGE(Datos_items!AD19:AJ19)</f>
        <v>53.5714285714286</v>
      </c>
      <c r="K19" s="41" t="n">
        <f aca="false">AVERAGE(Datos_items!AK19:AQ19)</f>
        <v>64.2857142857143</v>
      </c>
      <c r="L19" s="41" t="n">
        <f aca="false">AVERAGE(Datos_items!AR19:AY19)</f>
        <v>87.5</v>
      </c>
      <c r="M19" s="41" t="n">
        <f aca="false">Datos_items!H19/9*100</f>
        <v>100</v>
      </c>
      <c r="N19" s="42" t="n">
        <f aca="false">(G19+H19+I19+J19+K19+2*L19+M19)/8</f>
        <v>81.3981150793651</v>
      </c>
      <c r="O19" s="40" t="str">
        <f aca="false">IF(N19&lt;50,"Explorador",IF(N19&lt;75,"Integrador","Innovador"))</f>
        <v>Innovador</v>
      </c>
    </row>
    <row r="20" customFormat="false" ht="15" hidden="false" customHeight="true" outlineLevel="0" collapsed="false">
      <c r="A20" s="33" t="str">
        <f aca="false">Datos_items!A20</f>
        <v>Rafael Cadena</v>
      </c>
      <c r="B20" s="33" t="str">
        <f aca="false">Datos_items!B20</f>
        <v>Preescolar, Primaria, Secundaria</v>
      </c>
      <c r="C20" s="40" t="str">
        <f aca="false">Datos_items!D20</f>
        <v>Más de 20</v>
      </c>
      <c r="D20" s="33" t="str">
        <f aca="false">Datos_items!E20</f>
        <v>Computador propio</v>
      </c>
      <c r="E20" s="33" t="str">
        <f aca="false">Datos_items!F20</f>
        <v>Estable</v>
      </c>
      <c r="F20" s="33" t="str">
        <f aca="false">Datos_items!G20</f>
        <v>Cursos cortos</v>
      </c>
      <c r="G20" s="41" t="n">
        <f aca="false">AVERAGE(Datos_items!I20:Q20)</f>
        <v>86.1111111111111</v>
      </c>
      <c r="H20" s="41" t="n">
        <f aca="false">AVERAGE(Datos_items!R20:W20)</f>
        <v>81.95</v>
      </c>
      <c r="I20" s="41" t="n">
        <f aca="false">AVERAGE(Datos_items!X20:AC20)</f>
        <v>87.5</v>
      </c>
      <c r="J20" s="41" t="n">
        <f aca="false">AVERAGE(Datos_items!AD20:AJ20)</f>
        <v>96.4285714285714</v>
      </c>
      <c r="K20" s="41" t="n">
        <f aca="false">AVERAGE(Datos_items!AK20:AQ20)</f>
        <v>85.7142857142857</v>
      </c>
      <c r="L20" s="41" t="n">
        <f aca="false">AVERAGE(Datos_items!AR20:AY20)</f>
        <v>84.375</v>
      </c>
      <c r="M20" s="41" t="n">
        <f aca="false">Datos_items!H20/9*100</f>
        <v>100</v>
      </c>
      <c r="N20" s="42" t="n">
        <f aca="false">(G20+H20+I20+J20+K20+2*L20+M20)/8</f>
        <v>88.306746031746</v>
      </c>
      <c r="O20" s="40" t="str">
        <f aca="false">IF(N20&lt;50,"Explorador",IF(N20&lt;75,"Integrador","Innovador"))</f>
        <v>Innovador</v>
      </c>
    </row>
    <row r="21" customFormat="false" ht="15" hidden="false" customHeight="true" outlineLevel="0" collapsed="false">
      <c r="A21" s="33" t="str">
        <f aca="false">Datos_items!A21</f>
        <v>Gina Maria Cortes Vasquez</v>
      </c>
      <c r="B21" s="33" t="str">
        <f aca="false">Datos_items!B21</f>
        <v>Primaria</v>
      </c>
      <c r="C21" s="40" t="str">
        <f aca="false">Datos_items!D21</f>
        <v>3 a 10</v>
      </c>
      <c r="D21" s="33" t="str">
        <f aca="false">Datos_items!E21</f>
        <v>Computador propio</v>
      </c>
      <c r="E21" s="33" t="str">
        <f aca="false">Datos_items!F21</f>
        <v>Intermitente</v>
      </c>
      <c r="F21" s="33" t="str">
        <f aca="false">Datos_items!G21</f>
        <v>Informal o autodidacta</v>
      </c>
      <c r="G21" s="41" t="n">
        <f aca="false">AVERAGE(Datos_items!I21:Q21)</f>
        <v>80.5555555555556</v>
      </c>
      <c r="H21" s="41" t="n">
        <f aca="false">AVERAGE(Datos_items!R21:W21)</f>
        <v>76.3833333333333</v>
      </c>
      <c r="I21" s="41" t="n">
        <f aca="false">AVERAGE(Datos_items!X21:AC21)</f>
        <v>70.8333333333333</v>
      </c>
      <c r="J21" s="41" t="n">
        <f aca="false">AVERAGE(Datos_items!AD21:AJ21)</f>
        <v>78.5714285714286</v>
      </c>
      <c r="K21" s="41" t="n">
        <f aca="false">AVERAGE(Datos_items!AK21:AQ21)</f>
        <v>85.7142857142857</v>
      </c>
      <c r="L21" s="41" t="n">
        <f aca="false">AVERAGE(Datos_items!AR21:AY21)</f>
        <v>81.25</v>
      </c>
      <c r="M21" s="41" t="n">
        <f aca="false">Datos_items!H21/9*100</f>
        <v>100</v>
      </c>
      <c r="N21" s="42" t="n">
        <f aca="false">(G21+H21+I21+J21+K21+2*L21+M21)/8</f>
        <v>81.8197420634921</v>
      </c>
      <c r="O21" s="40" t="str">
        <f aca="false">IF(N21&lt;50,"Explorador",IF(N21&lt;75,"Integrador","Innovador"))</f>
        <v>Innovador</v>
      </c>
    </row>
    <row r="22" customFormat="false" ht="15" hidden="false" customHeight="true" outlineLevel="0" collapsed="false">
      <c r="A22" s="33" t="str">
        <f aca="false">Datos_items!A22</f>
        <v>Sandra Pilar Fuentes Simbaqueba</v>
      </c>
      <c r="B22" s="33" t="str">
        <f aca="false">Datos_items!B22</f>
        <v>Primaria, Secundaria, Media</v>
      </c>
      <c r="C22" s="40" t="str">
        <f aca="false">Datos_items!D22</f>
        <v>Más de 20</v>
      </c>
      <c r="D22" s="33" t="str">
        <f aca="false">Datos_items!E22</f>
        <v>Sin dispositivo estable</v>
      </c>
      <c r="E22" s="33" t="str">
        <f aca="false">Datos_items!F22</f>
        <v>Intermitente</v>
      </c>
      <c r="F22" s="33" t="str">
        <f aca="false">Datos_items!G22</f>
        <v>Informal o autodidacta</v>
      </c>
      <c r="G22" s="41" t="n">
        <f aca="false">AVERAGE(Datos_items!I22:Q22)</f>
        <v>88.8888888888889</v>
      </c>
      <c r="H22" s="41" t="n">
        <f aca="false">AVERAGE(Datos_items!R22:W22)</f>
        <v>77.7833333333333</v>
      </c>
      <c r="I22" s="41" t="n">
        <f aca="false">AVERAGE(Datos_items!X22:AC22)</f>
        <v>66.6666666666667</v>
      </c>
      <c r="J22" s="41" t="n">
        <f aca="false">AVERAGE(Datos_items!AD22:AJ22)</f>
        <v>96.4285714285714</v>
      </c>
      <c r="K22" s="41" t="n">
        <f aca="false">AVERAGE(Datos_items!AK22:AQ22)</f>
        <v>75</v>
      </c>
      <c r="L22" s="41" t="n">
        <f aca="false">AVERAGE(Datos_items!AR22:AY22)</f>
        <v>81.25</v>
      </c>
      <c r="M22" s="41" t="n">
        <f aca="false">Datos_items!H22/9*100</f>
        <v>100</v>
      </c>
      <c r="N22" s="42" t="n">
        <f aca="false">(G22+H22+I22+J22+K22+2*L22+M22)/8</f>
        <v>83.4084325396825</v>
      </c>
      <c r="O22" s="40" t="str">
        <f aca="false">IF(N22&lt;50,"Explorador",IF(N22&lt;75,"Integrador","Innovador"))</f>
        <v>Innovador</v>
      </c>
    </row>
    <row r="23" customFormat="false" ht="15" hidden="false" customHeight="true" outlineLevel="0" collapsed="false">
      <c r="A23" s="33" t="str">
        <f aca="false">Datos_items!A23</f>
        <v>Karen Alexandra Valenzuela Pulido </v>
      </c>
      <c r="B23" s="33" t="str">
        <f aca="false">Datos_items!B23</f>
        <v>Primaria</v>
      </c>
      <c r="C23" s="40" t="str">
        <f aca="false">Datos_items!D23</f>
        <v>3 a 10</v>
      </c>
      <c r="D23" s="33" t="str">
        <f aca="false">Datos_items!E23</f>
        <v>Computador propio</v>
      </c>
      <c r="E23" s="33" t="str">
        <f aca="false">Datos_items!F23</f>
        <v>Intermitente</v>
      </c>
      <c r="F23" s="33" t="str">
        <f aca="false">Datos_items!G23</f>
        <v>Ninguna</v>
      </c>
      <c r="G23" s="41" t="n">
        <f aca="false">AVERAGE(Datos_items!I23:Q23)</f>
        <v>80.5555555555556</v>
      </c>
      <c r="H23" s="41" t="n">
        <f aca="false">AVERAGE(Datos_items!R23:W23)</f>
        <v>75</v>
      </c>
      <c r="I23" s="41" t="n">
        <f aca="false">AVERAGE(Datos_items!X23:AC23)</f>
        <v>61.1166666666667</v>
      </c>
      <c r="J23" s="41" t="n">
        <f aca="false">AVERAGE(Datos_items!AD23:AJ23)</f>
        <v>60.7142857142857</v>
      </c>
      <c r="K23" s="41" t="n">
        <f aca="false">AVERAGE(Datos_items!AK23:AQ23)</f>
        <v>60.7142857142857</v>
      </c>
      <c r="L23" s="41" t="n">
        <f aca="false">AVERAGE(Datos_items!AR23:AY23)</f>
        <v>56.25</v>
      </c>
      <c r="M23" s="41" t="n">
        <f aca="false">Datos_items!H23/9*100</f>
        <v>77.7777777777778</v>
      </c>
      <c r="N23" s="42" t="n">
        <f aca="false">(G23+H23+I23+J23+K23+2*L23+M23)/8</f>
        <v>66.0473214285714</v>
      </c>
      <c r="O23" s="40" t="str">
        <f aca="false">IF(N23&lt;50,"Explorador",IF(N23&lt;75,"Integrador","Innovador"))</f>
        <v>Integrador</v>
      </c>
    </row>
    <row r="24" customFormat="false" ht="15" hidden="false" customHeight="true" outlineLevel="0" collapsed="false">
      <c r="A24" s="33" t="str">
        <f aca="false">Datos_items!A24</f>
        <v>Sandy Bibiana Cifuentes López </v>
      </c>
      <c r="B24" s="33" t="str">
        <f aca="false">Datos_items!B24</f>
        <v>Preescolar, Primaria</v>
      </c>
      <c r="C24" s="40" t="str">
        <f aca="false">Datos_items!D24</f>
        <v>Más de 20</v>
      </c>
      <c r="D24" s="33" t="str">
        <f aca="false">Datos_items!E24</f>
        <v>Computador propio</v>
      </c>
      <c r="E24" s="33" t="str">
        <f aca="false">Datos_items!F24</f>
        <v>Limitada</v>
      </c>
      <c r="F24" s="33" t="str">
        <f aca="false">Datos_items!G24</f>
        <v>Cursos cortos</v>
      </c>
      <c r="G24" s="41" t="n">
        <f aca="false">AVERAGE(Datos_items!I24:Q24)</f>
        <v>100</v>
      </c>
      <c r="H24" s="41" t="n">
        <f aca="false">AVERAGE(Datos_items!R24:W24)</f>
        <v>100</v>
      </c>
      <c r="I24" s="41" t="n">
        <f aca="false">AVERAGE(Datos_items!X24:AC24)</f>
        <v>94.45</v>
      </c>
      <c r="J24" s="41" t="n">
        <f aca="false">AVERAGE(Datos_items!AD24:AJ24)</f>
        <v>100</v>
      </c>
      <c r="K24" s="41" t="n">
        <f aca="false">AVERAGE(Datos_items!AK24:AQ24)</f>
        <v>100</v>
      </c>
      <c r="L24" s="41" t="n">
        <f aca="false">AVERAGE(Datos_items!AR24:AY24)</f>
        <v>100</v>
      </c>
      <c r="M24" s="41" t="n">
        <f aca="false">Datos_items!H24/9*100</f>
        <v>77.7777777777778</v>
      </c>
      <c r="N24" s="42" t="n">
        <f aca="false">(G24+H24+I24+J24+K24+2*L24+M24)/8</f>
        <v>96.5284722222222</v>
      </c>
      <c r="O24" s="40" t="str">
        <f aca="false">IF(N24&lt;50,"Explorador",IF(N24&lt;75,"Integrador","Innovador"))</f>
        <v>Innovador</v>
      </c>
    </row>
    <row r="25" customFormat="false" ht="15" hidden="false" customHeight="true" outlineLevel="0" collapsed="false">
      <c r="A25" s="33" t="str">
        <f aca="false">Datos_items!A25</f>
        <v>Ana Angélica Devia Vega</v>
      </c>
      <c r="B25" s="33" t="str">
        <f aca="false">Datos_items!B25</f>
        <v>Primaria</v>
      </c>
      <c r="C25" s="40" t="str">
        <f aca="false">Datos_items!D25</f>
        <v>Más de 20</v>
      </c>
      <c r="D25" s="33" t="str">
        <f aca="false">Datos_items!E25</f>
        <v>Computador institucional</v>
      </c>
      <c r="E25" s="33" t="str">
        <f aca="false">Datos_items!F25</f>
        <v>Intermitente</v>
      </c>
      <c r="F25" s="33" t="str">
        <f aca="false">Datos_items!G25</f>
        <v>Cursos cortos</v>
      </c>
      <c r="G25" s="41" t="n">
        <f aca="false">AVERAGE(Datos_items!I25:Q25)</f>
        <v>77.7777777777778</v>
      </c>
      <c r="H25" s="41" t="n">
        <f aca="false">AVERAGE(Datos_items!R25:W25)</f>
        <v>91.6666666666667</v>
      </c>
      <c r="I25" s="41" t="n">
        <f aca="false">AVERAGE(Datos_items!X25:AC25)</f>
        <v>84.7166666666667</v>
      </c>
      <c r="J25" s="41" t="n">
        <f aca="false">AVERAGE(Datos_items!AD25:AJ25)</f>
        <v>82.1428571428571</v>
      </c>
      <c r="K25" s="41" t="n">
        <f aca="false">AVERAGE(Datos_items!AK25:AQ25)</f>
        <v>78.5714285714286</v>
      </c>
      <c r="L25" s="41" t="n">
        <f aca="false">AVERAGE(Datos_items!AR25:AY25)</f>
        <v>71.875</v>
      </c>
      <c r="M25" s="41" t="n">
        <f aca="false">Datos_items!H25/9*100</f>
        <v>100</v>
      </c>
      <c r="N25" s="42" t="n">
        <f aca="false">(G25+H25+I25+J25+K25+2*L25+M25)/8</f>
        <v>82.3281746031746</v>
      </c>
      <c r="O25" s="40" t="str">
        <f aca="false">IF(N25&lt;50,"Explorador",IF(N25&lt;75,"Integrador","Innovador"))</f>
        <v>Innovador</v>
      </c>
    </row>
    <row r="26" customFormat="false" ht="15" hidden="false" customHeight="true" outlineLevel="0" collapsed="false">
      <c r="A26" s="33" t="str">
        <f aca="false">Datos_items!A26</f>
        <v>Magaly Antonia Montilva Mora </v>
      </c>
      <c r="B26" s="33" t="str">
        <f aca="false">Datos_items!B26</f>
        <v>Primaria, Secundaria</v>
      </c>
      <c r="C26" s="40" t="str">
        <f aca="false">Datos_items!D26</f>
        <v>Más de 20</v>
      </c>
      <c r="D26" s="33" t="str">
        <f aca="false">Datos_items!E26</f>
        <v>Computador institucional</v>
      </c>
      <c r="E26" s="33" t="str">
        <f aca="false">Datos_items!F26</f>
        <v>Intermitente</v>
      </c>
      <c r="F26" s="33" t="str">
        <f aca="false">Datos_items!G26</f>
        <v>Cursos cortos</v>
      </c>
      <c r="G26" s="41" t="n">
        <f aca="false">AVERAGE(Datos_items!I26:Q26)</f>
        <v>91.6666666666667</v>
      </c>
      <c r="H26" s="41" t="n">
        <f aca="false">AVERAGE(Datos_items!R26:W26)</f>
        <v>56.95</v>
      </c>
      <c r="I26" s="41" t="n">
        <f aca="false">AVERAGE(Datos_items!X26:AC26)</f>
        <v>73.6166666666667</v>
      </c>
      <c r="J26" s="41" t="n">
        <f aca="false">AVERAGE(Datos_items!AD26:AJ26)</f>
        <v>35.7142857142857</v>
      </c>
      <c r="K26" s="41" t="n">
        <f aca="false">AVERAGE(Datos_items!AK26:AQ26)</f>
        <v>50</v>
      </c>
      <c r="L26" s="41" t="n">
        <f aca="false">AVERAGE(Datos_items!AR26:AY26)</f>
        <v>65.625</v>
      </c>
      <c r="M26" s="41" t="n">
        <f aca="false">Datos_items!H26/9*100</f>
        <v>77.7777777777778</v>
      </c>
      <c r="N26" s="42" t="n">
        <f aca="false">(G26+H26+I26+J26+K26+2*L26+M26)/8</f>
        <v>64.6219246031746</v>
      </c>
      <c r="O26" s="40" t="str">
        <f aca="false">IF(N26&lt;50,"Explorador",IF(N26&lt;75,"Integrador","Innovador"))</f>
        <v>Integrador</v>
      </c>
    </row>
    <row r="27" customFormat="false" ht="15" hidden="false" customHeight="true" outlineLevel="0" collapsed="false">
      <c r="A27" s="33" t="str">
        <f aca="false">Datos_items!A27</f>
        <v>Luis Fernando Fuentes P. </v>
      </c>
      <c r="B27" s="33" t="str">
        <f aca="false">Datos_items!B27</f>
        <v>Primaria, Secundaria, Media</v>
      </c>
      <c r="C27" s="40" t="str">
        <f aca="false">Datos_items!D27</f>
        <v>11 a 20</v>
      </c>
      <c r="D27" s="33" t="str">
        <f aca="false">Datos_items!E27</f>
        <v>Computador institucional</v>
      </c>
      <c r="E27" s="33" t="str">
        <f aca="false">Datos_items!F27</f>
        <v>Estable</v>
      </c>
      <c r="F27" s="33" t="str">
        <f aca="false">Datos_items!G27</f>
        <v>Posgrado o certificación formal</v>
      </c>
      <c r="G27" s="41" t="n">
        <f aca="false">AVERAGE(Datos_items!I27:Q27)</f>
        <v>100</v>
      </c>
      <c r="H27" s="41" t="n">
        <f aca="false">AVERAGE(Datos_items!R27:W27)</f>
        <v>95.8333333333333</v>
      </c>
      <c r="I27" s="41" t="n">
        <f aca="false">AVERAGE(Datos_items!X27:AC27)</f>
        <v>95.8333333333333</v>
      </c>
      <c r="J27" s="41" t="n">
        <f aca="false">AVERAGE(Datos_items!AD27:AJ27)</f>
        <v>96.4285714285714</v>
      </c>
      <c r="K27" s="41" t="n">
        <f aca="false">AVERAGE(Datos_items!AK27:AQ27)</f>
        <v>100</v>
      </c>
      <c r="L27" s="41" t="n">
        <f aca="false">AVERAGE(Datos_items!AR27:AY27)</f>
        <v>84.375</v>
      </c>
      <c r="M27" s="41" t="n">
        <f aca="false">Datos_items!H27/9*100</f>
        <v>100</v>
      </c>
      <c r="N27" s="42" t="n">
        <f aca="false">(G27+H27+I27+J27+K27+2*L27+M27)/8</f>
        <v>94.6056547619048</v>
      </c>
      <c r="O27" s="40" t="str">
        <f aca="false">IF(N27&lt;50,"Explorador",IF(N27&lt;75,"Integrador","Innovador"))</f>
        <v>Innovador</v>
      </c>
    </row>
    <row r="28" customFormat="false" ht="15" hidden="false" customHeight="true" outlineLevel="0" collapsed="false">
      <c r="A28" s="33" t="str">
        <f aca="false">Datos_items!A28</f>
        <v>Javier Gustavo Rodríguez Gutiérrez </v>
      </c>
      <c r="B28" s="33" t="str">
        <f aca="false">Datos_items!B28</f>
        <v>Primaria, Secundaria, Media</v>
      </c>
      <c r="C28" s="40" t="str">
        <f aca="false">Datos_items!D28</f>
        <v>11 a 20</v>
      </c>
      <c r="D28" s="33" t="str">
        <f aca="false">Datos_items!E28</f>
        <v>Computador institucional</v>
      </c>
      <c r="E28" s="33" t="str">
        <f aca="false">Datos_items!F28</f>
        <v>Limitada</v>
      </c>
      <c r="F28" s="33" t="str">
        <f aca="false">Datos_items!G28</f>
        <v>Ninguna</v>
      </c>
      <c r="G28" s="41" t="n">
        <f aca="false">AVERAGE(Datos_items!I28:Q28)</f>
        <v>66.6666666666667</v>
      </c>
      <c r="H28" s="41" t="n">
        <f aca="false">AVERAGE(Datos_items!R28:W28)</f>
        <v>62.5</v>
      </c>
      <c r="I28" s="41" t="n">
        <f aca="false">AVERAGE(Datos_items!X28:AC28)</f>
        <v>33.3333333333333</v>
      </c>
      <c r="J28" s="41" t="n">
        <f aca="false">AVERAGE(Datos_items!AD28:AJ28)</f>
        <v>60.7142857142857</v>
      </c>
      <c r="K28" s="41" t="n">
        <f aca="false">AVERAGE(Datos_items!AK28:AQ28)</f>
        <v>35.7142857142857</v>
      </c>
      <c r="L28" s="41" t="n">
        <f aca="false">AVERAGE(Datos_items!AR28:AY28)</f>
        <v>50</v>
      </c>
      <c r="M28" s="41" t="n">
        <f aca="false">Datos_items!H28/9*100</f>
        <v>100</v>
      </c>
      <c r="N28" s="42" t="n">
        <f aca="false">(G28+H28+I28+J28+K28+2*L28+M28)/8</f>
        <v>57.3660714285714</v>
      </c>
      <c r="O28" s="40" t="str">
        <f aca="false">IF(N28&lt;50,"Explorador",IF(N28&lt;75,"Integrador","Innovador"))</f>
        <v>Integrador</v>
      </c>
    </row>
    <row r="29" customFormat="false" ht="15" hidden="false" customHeight="true" outlineLevel="0" collapsed="false">
      <c r="A29" s="33" t="str">
        <f aca="false">Datos_items!A29</f>
        <v>Mayuri Andrea Soche Vargas</v>
      </c>
      <c r="B29" s="33" t="str">
        <f aca="false">Datos_items!B29</f>
        <v>Primaria, Secundaria</v>
      </c>
      <c r="C29" s="40" t="str">
        <f aca="false">Datos_items!D29</f>
        <v>11 a 20</v>
      </c>
      <c r="D29" s="33" t="str">
        <f aca="false">Datos_items!E29</f>
        <v>Computador propio</v>
      </c>
      <c r="E29" s="33" t="str">
        <f aca="false">Datos_items!F29</f>
        <v>Estable</v>
      </c>
      <c r="F29" s="33" t="str">
        <f aca="false">Datos_items!G29</f>
        <v>Cursos cortos</v>
      </c>
      <c r="G29" s="41" t="n">
        <f aca="false">AVERAGE(Datos_items!I29:Q29)</f>
        <v>75</v>
      </c>
      <c r="H29" s="41" t="n">
        <f aca="false">AVERAGE(Datos_items!R29:W29)</f>
        <v>83.3333333333333</v>
      </c>
      <c r="I29" s="41" t="n">
        <f aca="false">AVERAGE(Datos_items!X29:AC29)</f>
        <v>68.05</v>
      </c>
      <c r="J29" s="41" t="n">
        <f aca="false">AVERAGE(Datos_items!AD29:AJ29)</f>
        <v>92.8571428571429</v>
      </c>
      <c r="K29" s="41" t="n">
        <f aca="false">AVERAGE(Datos_items!AK29:AQ29)</f>
        <v>75</v>
      </c>
      <c r="L29" s="41" t="n">
        <f aca="false">AVERAGE(Datos_items!AR29:AY29)</f>
        <v>78.125</v>
      </c>
      <c r="M29" s="41" t="n">
        <f aca="false">Datos_items!H29/9*100</f>
        <v>100</v>
      </c>
      <c r="N29" s="42" t="n">
        <f aca="false">(G29+H29+I29+J29+K29+2*L29+M29)/8</f>
        <v>81.3113095238095</v>
      </c>
      <c r="O29" s="40" t="str">
        <f aca="false">IF(N29&lt;50,"Explorador",IF(N29&lt;75,"Integrador","Innovador"))</f>
        <v>Innovador</v>
      </c>
    </row>
  </sheetData>
  <conditionalFormatting sqref="G2:M29">
    <cfRule type="colorScale" priority="2">
      <colorScale>
        <cfvo type="num" val="0"/>
        <cfvo type="num" val="50"/>
        <cfvo type="num" val="100"/>
        <color rgb="FFF4B7B7"/>
        <color rgb="FFFFE08A"/>
        <color rgb="FFC6E0B4"/>
      </colorScale>
    </cfRule>
  </conditionalFormatting>
  <conditionalFormatting sqref="N2:N29">
    <cfRule type="colorScale" priority="3">
      <colorScale>
        <cfvo type="num" val="0"/>
        <cfvo type="num" val="50"/>
        <cfvo type="num" val="100"/>
        <color rgb="FFF4B7B7"/>
        <color rgb="FFFFE08A"/>
        <color rgb="FFC6E0B4"/>
      </colorScale>
    </cfRule>
  </conditionalFormatting>
  <conditionalFormatting sqref="O2:O29">
    <cfRule type="cellIs" priority="4" operator="equal" aboveAverage="0" equalAverage="0" bottom="0" percent="0" rank="0" text="" dxfId="0">
      <formula>"Innovador"</formula>
    </cfRule>
    <cfRule type="cellIs" priority="5" operator="equal" aboveAverage="0" equalAverage="0" bottom="0" percent="0" rank="0" text="" dxfId="1">
      <formula>"Integrador"</formula>
    </cfRule>
    <cfRule type="cellIs" priority="6" operator="equal" aboveAverage="0" equalAverage="0" bottom="0" percent="0" rank="0" text="" dxfId="2">
      <formula>"Explorador"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Y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7" min="5" style="1" width="15"/>
    <col collapsed="false" customWidth="true" hidden="false" outlineLevel="0" max="51" min="9" style="1" width="6.51"/>
  </cols>
  <sheetData>
    <row r="1" customFormat="false" ht="165.75" hidden="false" customHeight="true" outlineLevel="0" collapsed="false">
      <c r="A1" s="39" t="s">
        <v>118</v>
      </c>
      <c r="B1" s="39" t="s">
        <v>119</v>
      </c>
      <c r="C1" s="39" t="s">
        <v>131</v>
      </c>
      <c r="D1" s="39" t="s">
        <v>120</v>
      </c>
      <c r="E1" s="39" t="s">
        <v>76</v>
      </c>
      <c r="F1" s="39" t="s">
        <v>72</v>
      </c>
      <c r="G1" s="39" t="s">
        <v>121</v>
      </c>
      <c r="H1" s="39" t="s">
        <v>132</v>
      </c>
      <c r="I1" s="43" t="s">
        <v>133</v>
      </c>
      <c r="J1" s="43" t="s">
        <v>134</v>
      </c>
      <c r="K1" s="43" t="s">
        <v>135</v>
      </c>
      <c r="L1" s="43" t="s">
        <v>136</v>
      </c>
      <c r="M1" s="43" t="s">
        <v>137</v>
      </c>
      <c r="N1" s="43" t="s">
        <v>138</v>
      </c>
      <c r="O1" s="43" t="s">
        <v>139</v>
      </c>
      <c r="P1" s="43" t="s">
        <v>140</v>
      </c>
      <c r="Q1" s="43" t="s">
        <v>141</v>
      </c>
      <c r="R1" s="43" t="s">
        <v>142</v>
      </c>
      <c r="S1" s="43" t="s">
        <v>143</v>
      </c>
      <c r="T1" s="43" t="s">
        <v>144</v>
      </c>
      <c r="U1" s="43" t="s">
        <v>145</v>
      </c>
      <c r="V1" s="43" t="s">
        <v>146</v>
      </c>
      <c r="W1" s="43" t="s">
        <v>147</v>
      </c>
      <c r="X1" s="43" t="s">
        <v>148</v>
      </c>
      <c r="Y1" s="43" t="s">
        <v>149</v>
      </c>
      <c r="Z1" s="43" t="s">
        <v>150</v>
      </c>
      <c r="AA1" s="43" t="s">
        <v>151</v>
      </c>
      <c r="AB1" s="43" t="s">
        <v>152</v>
      </c>
      <c r="AC1" s="43" t="s">
        <v>153</v>
      </c>
      <c r="AD1" s="43" t="s">
        <v>154</v>
      </c>
      <c r="AE1" s="43" t="s">
        <v>155</v>
      </c>
      <c r="AF1" s="43" t="s">
        <v>156</v>
      </c>
      <c r="AG1" s="43" t="s">
        <v>157</v>
      </c>
      <c r="AH1" s="43" t="s">
        <v>158</v>
      </c>
      <c r="AI1" s="43" t="s">
        <v>159</v>
      </c>
      <c r="AJ1" s="43" t="s">
        <v>160</v>
      </c>
      <c r="AK1" s="43" t="s">
        <v>161</v>
      </c>
      <c r="AL1" s="43" t="s">
        <v>162</v>
      </c>
      <c r="AM1" s="43" t="s">
        <v>163</v>
      </c>
      <c r="AN1" s="43" t="s">
        <v>164</v>
      </c>
      <c r="AO1" s="43" t="s">
        <v>165</v>
      </c>
      <c r="AP1" s="43" t="s">
        <v>166</v>
      </c>
      <c r="AQ1" s="43" t="s">
        <v>167</v>
      </c>
      <c r="AR1" s="44" t="s">
        <v>168</v>
      </c>
      <c r="AS1" s="44" t="s">
        <v>169</v>
      </c>
      <c r="AT1" s="44" t="s">
        <v>170</v>
      </c>
      <c r="AU1" s="44" t="s">
        <v>171</v>
      </c>
      <c r="AV1" s="44" t="s">
        <v>172</v>
      </c>
      <c r="AW1" s="44" t="s">
        <v>173</v>
      </c>
      <c r="AX1" s="44" t="s">
        <v>174</v>
      </c>
      <c r="AY1" s="44" t="s">
        <v>175</v>
      </c>
    </row>
    <row r="2" customFormat="false" ht="15" hidden="false" customHeight="true" outlineLevel="0" collapsed="false">
      <c r="A2" s="33" t="s">
        <v>176</v>
      </c>
      <c r="B2" s="33" t="s">
        <v>177</v>
      </c>
      <c r="C2" s="33" t="s">
        <v>178</v>
      </c>
      <c r="D2" s="40" t="s">
        <v>64</v>
      </c>
      <c r="E2" s="33" t="s">
        <v>79</v>
      </c>
      <c r="F2" s="33" t="s">
        <v>75</v>
      </c>
      <c r="G2" s="33" t="s">
        <v>68</v>
      </c>
      <c r="H2" s="40" t="n">
        <v>9</v>
      </c>
      <c r="I2" s="41" t="n">
        <v>100</v>
      </c>
      <c r="J2" s="41" t="n">
        <v>100</v>
      </c>
      <c r="K2" s="41" t="n">
        <v>0</v>
      </c>
      <c r="L2" s="41" t="n">
        <v>100</v>
      </c>
      <c r="M2" s="41" t="n">
        <v>100</v>
      </c>
      <c r="N2" s="41" t="n">
        <v>0</v>
      </c>
      <c r="O2" s="41" t="n">
        <v>100</v>
      </c>
      <c r="P2" s="41" t="n">
        <v>100</v>
      </c>
      <c r="Q2" s="41" t="n">
        <v>100</v>
      </c>
      <c r="R2" s="41" t="n">
        <v>75</v>
      </c>
      <c r="S2" s="41" t="n">
        <v>100</v>
      </c>
      <c r="T2" s="41" t="n">
        <v>75</v>
      </c>
      <c r="U2" s="41" t="n">
        <v>50</v>
      </c>
      <c r="V2" s="41" t="n">
        <v>75</v>
      </c>
      <c r="W2" s="41" t="n">
        <v>100</v>
      </c>
      <c r="X2" s="41" t="n">
        <v>100</v>
      </c>
      <c r="Y2" s="41" t="n">
        <v>100</v>
      </c>
      <c r="Z2" s="41" t="n">
        <v>100</v>
      </c>
      <c r="AA2" s="41" t="n">
        <v>100</v>
      </c>
      <c r="AB2" s="41" t="n">
        <v>100</v>
      </c>
      <c r="AC2" s="41" t="n">
        <v>0</v>
      </c>
      <c r="AD2" s="41" t="n">
        <v>100</v>
      </c>
      <c r="AE2" s="41" t="n">
        <v>50</v>
      </c>
      <c r="AF2" s="41" t="n">
        <v>50</v>
      </c>
      <c r="AG2" s="41" t="n">
        <v>75</v>
      </c>
      <c r="AH2" s="41" t="n">
        <v>75</v>
      </c>
      <c r="AI2" s="41" t="n">
        <v>100</v>
      </c>
      <c r="AJ2" s="41" t="n">
        <v>75</v>
      </c>
      <c r="AK2" s="41" t="n">
        <v>75</v>
      </c>
      <c r="AL2" s="41" t="n">
        <v>75</v>
      </c>
      <c r="AM2" s="41" t="n">
        <v>75</v>
      </c>
      <c r="AN2" s="41" t="n">
        <v>75</v>
      </c>
      <c r="AO2" s="41" t="n">
        <v>75</v>
      </c>
      <c r="AP2" s="41" t="n">
        <v>75</v>
      </c>
      <c r="AQ2" s="41" t="n">
        <v>75</v>
      </c>
      <c r="AR2" s="41" t="n">
        <v>100</v>
      </c>
      <c r="AS2" s="41" t="n">
        <v>100</v>
      </c>
      <c r="AT2" s="41" t="n">
        <v>75</v>
      </c>
      <c r="AU2" s="41" t="n">
        <v>100</v>
      </c>
      <c r="AV2" s="41" t="n">
        <v>75</v>
      </c>
      <c r="AW2" s="41" t="n">
        <v>75</v>
      </c>
      <c r="AX2" s="41" t="n">
        <v>50</v>
      </c>
      <c r="AY2" s="41" t="n">
        <v>100</v>
      </c>
    </row>
    <row r="3" customFormat="false" ht="15" hidden="false" customHeight="true" outlineLevel="0" collapsed="false">
      <c r="A3" s="33" t="s">
        <v>179</v>
      </c>
      <c r="B3" s="33" t="s">
        <v>180</v>
      </c>
      <c r="C3" s="33" t="s">
        <v>181</v>
      </c>
      <c r="D3" s="40" t="s">
        <v>64</v>
      </c>
      <c r="E3" s="33" t="s">
        <v>78</v>
      </c>
      <c r="F3" s="33" t="s">
        <v>75</v>
      </c>
      <c r="G3" s="33" t="s">
        <v>69</v>
      </c>
      <c r="H3" s="40" t="n">
        <v>7</v>
      </c>
      <c r="I3" s="41" t="n">
        <v>75</v>
      </c>
      <c r="J3" s="41" t="n">
        <v>100</v>
      </c>
      <c r="K3" s="41" t="n">
        <v>50</v>
      </c>
      <c r="L3" s="41" t="n">
        <v>75</v>
      </c>
      <c r="M3" s="41" t="n">
        <v>100</v>
      </c>
      <c r="N3" s="41" t="n">
        <v>50</v>
      </c>
      <c r="O3" s="41" t="n">
        <v>100</v>
      </c>
      <c r="P3" s="41" t="n">
        <v>75</v>
      </c>
      <c r="Q3" s="41" t="n">
        <v>100</v>
      </c>
      <c r="R3" s="41" t="n">
        <v>50</v>
      </c>
      <c r="S3" s="41" t="n">
        <v>75</v>
      </c>
      <c r="T3" s="41" t="n">
        <v>75</v>
      </c>
      <c r="U3" s="41" t="n">
        <v>100</v>
      </c>
      <c r="V3" s="41" t="n">
        <v>0</v>
      </c>
      <c r="W3" s="41" t="n">
        <v>66.7</v>
      </c>
      <c r="X3" s="41" t="n">
        <v>100</v>
      </c>
      <c r="Y3" s="41" t="n">
        <v>100</v>
      </c>
      <c r="Z3" s="41" t="n">
        <v>100</v>
      </c>
      <c r="AA3" s="41" t="n">
        <v>100</v>
      </c>
      <c r="AB3" s="41" t="n">
        <v>100</v>
      </c>
      <c r="AC3" s="41" t="n">
        <v>0</v>
      </c>
      <c r="AD3" s="41" t="n">
        <v>75</v>
      </c>
      <c r="AE3" s="41" t="n">
        <v>100</v>
      </c>
      <c r="AF3" s="41" t="n">
        <v>100</v>
      </c>
      <c r="AG3" s="41" t="n">
        <v>50</v>
      </c>
      <c r="AH3" s="41" t="n">
        <v>100</v>
      </c>
      <c r="AI3" s="41" t="n">
        <v>100</v>
      </c>
      <c r="AJ3" s="41" t="n">
        <v>100</v>
      </c>
      <c r="AK3" s="41" t="n">
        <v>75</v>
      </c>
      <c r="AL3" s="41" t="n">
        <v>75</v>
      </c>
      <c r="AM3" s="41" t="n">
        <v>75</v>
      </c>
      <c r="AN3" s="41" t="n">
        <v>75</v>
      </c>
      <c r="AO3" s="41" t="n">
        <v>75</v>
      </c>
      <c r="AP3" s="41" t="n">
        <v>75</v>
      </c>
      <c r="AQ3" s="41" t="n">
        <v>75</v>
      </c>
      <c r="AR3" s="41" t="n">
        <v>75</v>
      </c>
      <c r="AS3" s="41" t="n">
        <v>100</v>
      </c>
      <c r="AT3" s="41" t="n">
        <v>100</v>
      </c>
      <c r="AU3" s="41" t="n">
        <v>100</v>
      </c>
      <c r="AV3" s="41" t="n">
        <v>50</v>
      </c>
      <c r="AW3" s="41" t="n">
        <v>100</v>
      </c>
      <c r="AX3" s="41" t="n">
        <v>75</v>
      </c>
      <c r="AY3" s="41" t="n">
        <v>100</v>
      </c>
    </row>
    <row r="4" customFormat="false" ht="15" hidden="false" customHeight="true" outlineLevel="0" collapsed="false">
      <c r="A4" s="33" t="s">
        <v>182</v>
      </c>
      <c r="B4" s="33" t="s">
        <v>183</v>
      </c>
      <c r="C4" s="33" t="s">
        <v>184</v>
      </c>
      <c r="D4" s="40" t="s">
        <v>64</v>
      </c>
      <c r="E4" s="33" t="s">
        <v>79</v>
      </c>
      <c r="F4" s="33" t="s">
        <v>73</v>
      </c>
      <c r="G4" s="33" t="s">
        <v>70</v>
      </c>
      <c r="H4" s="40" t="n">
        <v>8</v>
      </c>
      <c r="I4" s="41" t="n">
        <v>100</v>
      </c>
      <c r="J4" s="41" t="n">
        <v>100</v>
      </c>
      <c r="K4" s="41" t="n">
        <v>100</v>
      </c>
      <c r="L4" s="41" t="n">
        <v>100</v>
      </c>
      <c r="M4" s="41" t="n">
        <v>100</v>
      </c>
      <c r="N4" s="41" t="n">
        <v>75</v>
      </c>
      <c r="O4" s="41" t="n">
        <v>75</v>
      </c>
      <c r="P4" s="41" t="n">
        <v>100</v>
      </c>
      <c r="Q4" s="41" t="n">
        <v>75</v>
      </c>
      <c r="R4" s="41" t="n">
        <v>100</v>
      </c>
      <c r="S4" s="41" t="n">
        <v>100</v>
      </c>
      <c r="T4" s="41" t="n">
        <v>100</v>
      </c>
      <c r="U4" s="41" t="n">
        <v>100</v>
      </c>
      <c r="V4" s="41" t="n">
        <v>75</v>
      </c>
      <c r="W4" s="41" t="n">
        <v>100</v>
      </c>
      <c r="X4" s="41" t="n">
        <v>100</v>
      </c>
      <c r="Y4" s="41" t="n">
        <v>100</v>
      </c>
      <c r="Z4" s="41" t="n">
        <v>100</v>
      </c>
      <c r="AA4" s="41" t="n">
        <v>75</v>
      </c>
      <c r="AB4" s="41" t="n">
        <v>100</v>
      </c>
      <c r="AC4" s="41" t="n">
        <v>66.7</v>
      </c>
      <c r="AD4" s="41" t="n">
        <v>100</v>
      </c>
      <c r="AE4" s="41" t="n">
        <v>50</v>
      </c>
      <c r="AF4" s="41" t="n">
        <v>50</v>
      </c>
      <c r="AG4" s="41" t="n">
        <v>50</v>
      </c>
      <c r="AH4" s="41" t="n">
        <v>75</v>
      </c>
      <c r="AI4" s="41" t="n">
        <v>75</v>
      </c>
      <c r="AJ4" s="41" t="n">
        <v>50</v>
      </c>
      <c r="AK4" s="41" t="n">
        <v>75</v>
      </c>
      <c r="AL4" s="41" t="n">
        <v>75</v>
      </c>
      <c r="AM4" s="41" t="n">
        <v>100</v>
      </c>
      <c r="AN4" s="41" t="n">
        <v>75</v>
      </c>
      <c r="AO4" s="41" t="n">
        <v>50</v>
      </c>
      <c r="AP4" s="41" t="n">
        <v>75</v>
      </c>
      <c r="AQ4" s="41" t="n">
        <v>50</v>
      </c>
      <c r="AR4" s="41" t="n">
        <v>75</v>
      </c>
      <c r="AS4" s="41" t="n">
        <v>75</v>
      </c>
      <c r="AT4" s="41" t="n">
        <v>75</v>
      </c>
      <c r="AU4" s="41" t="n">
        <v>75</v>
      </c>
      <c r="AV4" s="41" t="n">
        <v>75</v>
      </c>
      <c r="AW4" s="41" t="n">
        <v>75</v>
      </c>
      <c r="AX4" s="41" t="n">
        <v>50</v>
      </c>
      <c r="AY4" s="41" t="n">
        <v>100</v>
      </c>
    </row>
    <row r="5" customFormat="false" ht="15" hidden="false" customHeight="true" outlineLevel="0" collapsed="false">
      <c r="A5" s="33" t="s">
        <v>185</v>
      </c>
      <c r="B5" s="33" t="s">
        <v>83</v>
      </c>
      <c r="C5" s="33" t="s">
        <v>181</v>
      </c>
      <c r="D5" s="40" t="s">
        <v>64</v>
      </c>
      <c r="E5" s="33" t="s">
        <v>79</v>
      </c>
      <c r="F5" s="33" t="s">
        <v>75</v>
      </c>
      <c r="G5" s="33" t="s">
        <v>69</v>
      </c>
      <c r="H5" s="40" t="n">
        <v>9</v>
      </c>
      <c r="I5" s="41" t="n">
        <v>75</v>
      </c>
      <c r="J5" s="41" t="n">
        <v>100</v>
      </c>
      <c r="K5" s="41" t="n">
        <v>100</v>
      </c>
      <c r="L5" s="41" t="n">
        <v>0</v>
      </c>
      <c r="M5" s="41" t="n">
        <v>100</v>
      </c>
      <c r="N5" s="41" t="n">
        <v>75</v>
      </c>
      <c r="O5" s="41" t="n">
        <v>25</v>
      </c>
      <c r="P5" s="41" t="n">
        <v>100</v>
      </c>
      <c r="Q5" s="41" t="n">
        <v>75</v>
      </c>
      <c r="R5" s="41" t="n">
        <v>100</v>
      </c>
      <c r="S5" s="41" t="n">
        <v>100</v>
      </c>
      <c r="T5" s="41" t="n">
        <v>50</v>
      </c>
      <c r="U5" s="41" t="n">
        <v>100</v>
      </c>
      <c r="V5" s="41" t="n">
        <v>75</v>
      </c>
      <c r="W5" s="41" t="n">
        <v>66.7</v>
      </c>
      <c r="X5" s="41" t="n">
        <v>100</v>
      </c>
      <c r="Y5" s="41" t="n">
        <v>100</v>
      </c>
      <c r="Z5" s="41" t="n">
        <v>100</v>
      </c>
      <c r="AA5" s="41" t="n">
        <v>75</v>
      </c>
      <c r="AB5" s="41" t="n">
        <v>50</v>
      </c>
      <c r="AC5" s="41" t="n">
        <v>66.7</v>
      </c>
      <c r="AD5" s="41" t="n">
        <v>50</v>
      </c>
      <c r="AE5" s="41" t="n">
        <v>100</v>
      </c>
      <c r="AF5" s="41" t="n">
        <v>75</v>
      </c>
      <c r="AG5" s="41" t="n">
        <v>100</v>
      </c>
      <c r="AH5" s="41" t="n">
        <v>100</v>
      </c>
      <c r="AI5" s="41" t="n">
        <v>100</v>
      </c>
      <c r="AJ5" s="41" t="n">
        <v>100</v>
      </c>
      <c r="AK5" s="41" t="n">
        <v>100</v>
      </c>
      <c r="AL5" s="41" t="n">
        <v>75</v>
      </c>
      <c r="AM5" s="41" t="n">
        <v>75</v>
      </c>
      <c r="AN5" s="41" t="n">
        <v>25</v>
      </c>
      <c r="AO5" s="41" t="n">
        <v>75</v>
      </c>
      <c r="AP5" s="41" t="n">
        <v>50</v>
      </c>
      <c r="AQ5" s="41" t="n">
        <v>75</v>
      </c>
      <c r="AR5" s="41" t="n">
        <v>75</v>
      </c>
      <c r="AS5" s="41" t="n">
        <v>75</v>
      </c>
      <c r="AT5" s="41" t="n">
        <v>50</v>
      </c>
      <c r="AU5" s="41" t="n">
        <v>100</v>
      </c>
      <c r="AV5" s="41" t="n">
        <v>75</v>
      </c>
      <c r="AW5" s="41" t="n">
        <v>25</v>
      </c>
      <c r="AX5" s="41" t="n">
        <v>75</v>
      </c>
      <c r="AY5" s="41" t="n">
        <v>100</v>
      </c>
    </row>
    <row r="6" customFormat="false" ht="15" hidden="false" customHeight="true" outlineLevel="0" collapsed="false">
      <c r="A6" s="33" t="s">
        <v>186</v>
      </c>
      <c r="B6" s="33" t="s">
        <v>183</v>
      </c>
      <c r="C6" s="33" t="s">
        <v>187</v>
      </c>
      <c r="D6" s="40" t="s">
        <v>66</v>
      </c>
      <c r="E6" s="33" t="s">
        <v>79</v>
      </c>
      <c r="F6" s="33" t="s">
        <v>75</v>
      </c>
      <c r="G6" s="33" t="s">
        <v>69</v>
      </c>
      <c r="H6" s="40" t="n">
        <v>9</v>
      </c>
      <c r="I6" s="41" t="n">
        <v>100</v>
      </c>
      <c r="J6" s="41" t="n">
        <v>100</v>
      </c>
      <c r="K6" s="41" t="n">
        <v>100</v>
      </c>
      <c r="L6" s="41" t="n">
        <v>100</v>
      </c>
      <c r="M6" s="41" t="n">
        <v>100</v>
      </c>
      <c r="N6" s="41" t="n">
        <v>100</v>
      </c>
      <c r="O6" s="41" t="n">
        <v>100</v>
      </c>
      <c r="P6" s="41" t="n">
        <v>100</v>
      </c>
      <c r="Q6" s="41" t="n">
        <v>100</v>
      </c>
      <c r="R6" s="41" t="n">
        <v>75</v>
      </c>
      <c r="S6" s="41" t="n">
        <v>100</v>
      </c>
      <c r="T6" s="41" t="n">
        <v>100</v>
      </c>
      <c r="U6" s="41" t="n">
        <v>50</v>
      </c>
      <c r="V6" s="41" t="n">
        <v>100</v>
      </c>
      <c r="W6" s="41" t="n">
        <v>100</v>
      </c>
      <c r="X6" s="41" t="n">
        <v>75</v>
      </c>
      <c r="Y6" s="41" t="n">
        <v>25</v>
      </c>
      <c r="Z6" s="41" t="n">
        <v>100</v>
      </c>
      <c r="AA6" s="41" t="n">
        <v>50</v>
      </c>
      <c r="AB6" s="41" t="n">
        <v>25</v>
      </c>
      <c r="AC6" s="41" t="n">
        <v>0</v>
      </c>
      <c r="AD6" s="41" t="n">
        <v>100</v>
      </c>
      <c r="AE6" s="41" t="n">
        <v>100</v>
      </c>
      <c r="AF6" s="41" t="n">
        <v>75</v>
      </c>
      <c r="AG6" s="41" t="n">
        <v>50</v>
      </c>
      <c r="AH6" s="41" t="n">
        <v>100</v>
      </c>
      <c r="AI6" s="41" t="n">
        <v>75</v>
      </c>
      <c r="AJ6" s="41" t="n">
        <v>100</v>
      </c>
      <c r="AK6" s="41" t="n">
        <v>75</v>
      </c>
      <c r="AL6" s="41" t="n">
        <v>75</v>
      </c>
      <c r="AM6" s="41" t="n">
        <v>50</v>
      </c>
      <c r="AN6" s="41" t="n">
        <v>25</v>
      </c>
      <c r="AO6" s="41" t="n">
        <v>100</v>
      </c>
      <c r="AP6" s="41" t="n">
        <v>100</v>
      </c>
      <c r="AQ6" s="41" t="n">
        <v>100</v>
      </c>
      <c r="AR6" s="41" t="n">
        <v>100</v>
      </c>
      <c r="AS6" s="41" t="n">
        <v>100</v>
      </c>
      <c r="AT6" s="41" t="n">
        <v>100</v>
      </c>
      <c r="AU6" s="41" t="n">
        <v>100</v>
      </c>
      <c r="AV6" s="41" t="n">
        <v>100</v>
      </c>
      <c r="AW6" s="41" t="n">
        <v>100</v>
      </c>
      <c r="AX6" s="41" t="n">
        <v>75</v>
      </c>
      <c r="AY6" s="41" t="n">
        <v>100</v>
      </c>
    </row>
    <row r="7" customFormat="false" ht="15" hidden="false" customHeight="true" outlineLevel="0" collapsed="false">
      <c r="A7" s="33" t="s">
        <v>188</v>
      </c>
      <c r="B7" s="33" t="s">
        <v>183</v>
      </c>
      <c r="C7" s="33" t="s">
        <v>189</v>
      </c>
      <c r="D7" s="40" t="s">
        <v>64</v>
      </c>
      <c r="E7" s="33" t="s">
        <v>79</v>
      </c>
      <c r="F7" s="33" t="s">
        <v>74</v>
      </c>
      <c r="G7" s="33" t="s">
        <v>68</v>
      </c>
      <c r="H7" s="40" t="n">
        <v>9</v>
      </c>
      <c r="I7" s="41" t="n">
        <v>75</v>
      </c>
      <c r="J7" s="41" t="n">
        <v>100</v>
      </c>
      <c r="K7" s="41" t="n">
        <v>100</v>
      </c>
      <c r="L7" s="41" t="n">
        <v>100</v>
      </c>
      <c r="M7" s="41" t="n">
        <v>100</v>
      </c>
      <c r="N7" s="41" t="n">
        <v>75</v>
      </c>
      <c r="O7" s="41" t="n">
        <v>75</v>
      </c>
      <c r="P7" s="41" t="n">
        <v>75</v>
      </c>
      <c r="Q7" s="41" t="n">
        <v>100</v>
      </c>
      <c r="R7" s="41" t="n">
        <v>50</v>
      </c>
      <c r="S7" s="41" t="n">
        <v>75</v>
      </c>
      <c r="T7" s="41" t="n">
        <v>75</v>
      </c>
      <c r="U7" s="41" t="n">
        <v>100</v>
      </c>
      <c r="V7" s="41" t="n">
        <v>25</v>
      </c>
      <c r="W7" s="41" t="n">
        <v>66.7</v>
      </c>
      <c r="X7" s="41" t="n">
        <v>100</v>
      </c>
      <c r="Y7" s="41" t="n">
        <v>100</v>
      </c>
      <c r="Z7" s="41" t="n">
        <v>75</v>
      </c>
      <c r="AA7" s="41" t="n">
        <v>75</v>
      </c>
      <c r="AB7" s="41" t="n">
        <v>0</v>
      </c>
      <c r="AC7" s="41" t="n">
        <v>0</v>
      </c>
      <c r="AD7" s="41" t="n">
        <v>100</v>
      </c>
      <c r="AE7" s="41" t="n">
        <v>75</v>
      </c>
      <c r="AF7" s="41" t="n">
        <v>75</v>
      </c>
      <c r="AG7" s="41" t="n">
        <v>25</v>
      </c>
      <c r="AH7" s="41" t="n">
        <v>100</v>
      </c>
      <c r="AI7" s="41" t="n">
        <v>100</v>
      </c>
      <c r="AJ7" s="41" t="n">
        <v>75</v>
      </c>
      <c r="AK7" s="41" t="n">
        <v>75</v>
      </c>
      <c r="AL7" s="41" t="n">
        <v>75</v>
      </c>
      <c r="AM7" s="41" t="n">
        <v>0</v>
      </c>
      <c r="AN7" s="41" t="n">
        <v>0</v>
      </c>
      <c r="AO7" s="41" t="n">
        <v>75</v>
      </c>
      <c r="AP7" s="41" t="n">
        <v>75</v>
      </c>
      <c r="AQ7" s="41" t="n">
        <v>0</v>
      </c>
      <c r="AR7" s="41" t="n">
        <v>100</v>
      </c>
      <c r="AS7" s="41" t="n">
        <v>75</v>
      </c>
      <c r="AT7" s="41" t="n">
        <v>75</v>
      </c>
      <c r="AU7" s="41" t="n">
        <v>50</v>
      </c>
      <c r="AV7" s="41" t="n">
        <v>75</v>
      </c>
      <c r="AW7" s="41" t="n">
        <v>75</v>
      </c>
      <c r="AX7" s="41" t="n">
        <v>75</v>
      </c>
      <c r="AY7" s="41" t="n">
        <v>75</v>
      </c>
    </row>
    <row r="8" customFormat="false" ht="15" hidden="false" customHeight="true" outlineLevel="0" collapsed="false">
      <c r="A8" s="33" t="s">
        <v>190</v>
      </c>
      <c r="B8" s="33" t="s">
        <v>83</v>
      </c>
      <c r="C8" s="33" t="s">
        <v>178</v>
      </c>
      <c r="D8" s="40" t="s">
        <v>65</v>
      </c>
      <c r="E8" s="33" t="s">
        <v>79</v>
      </c>
      <c r="F8" s="33" t="s">
        <v>75</v>
      </c>
      <c r="G8" s="33" t="s">
        <v>69</v>
      </c>
      <c r="H8" s="40" t="n">
        <v>9</v>
      </c>
      <c r="I8" s="41" t="n">
        <v>100</v>
      </c>
      <c r="J8" s="41" t="n">
        <v>75</v>
      </c>
      <c r="K8" s="41" t="n">
        <v>50</v>
      </c>
      <c r="L8" s="41" t="n">
        <v>100</v>
      </c>
      <c r="M8" s="41" t="n">
        <v>100</v>
      </c>
      <c r="N8" s="41" t="n">
        <v>50</v>
      </c>
      <c r="O8" s="41" t="n">
        <v>100</v>
      </c>
      <c r="P8" s="41" t="n">
        <v>75</v>
      </c>
      <c r="Q8" s="41" t="n">
        <v>100</v>
      </c>
      <c r="R8" s="41" t="n">
        <v>50</v>
      </c>
      <c r="S8" s="41" t="n">
        <v>75</v>
      </c>
      <c r="T8" s="41" t="n">
        <v>75</v>
      </c>
      <c r="U8" s="41" t="n">
        <v>50</v>
      </c>
      <c r="V8" s="41" t="n">
        <v>25</v>
      </c>
      <c r="W8" s="41" t="n">
        <v>100</v>
      </c>
      <c r="X8" s="41" t="n">
        <v>100</v>
      </c>
      <c r="Y8" s="41" t="n">
        <v>100</v>
      </c>
      <c r="Z8" s="41" t="n">
        <v>100</v>
      </c>
      <c r="AA8" s="41" t="n">
        <v>100</v>
      </c>
      <c r="AB8" s="41" t="n">
        <v>50</v>
      </c>
      <c r="AC8" s="41" t="n">
        <v>0</v>
      </c>
      <c r="AD8" s="41" t="n">
        <v>75</v>
      </c>
      <c r="AE8" s="41" t="n">
        <v>25</v>
      </c>
      <c r="AF8" s="41" t="n">
        <v>25</v>
      </c>
      <c r="AG8" s="41" t="n">
        <v>25</v>
      </c>
      <c r="AH8" s="41" t="n">
        <v>50</v>
      </c>
      <c r="AI8" s="41" t="n">
        <v>25</v>
      </c>
      <c r="AJ8" s="41" t="n">
        <v>50</v>
      </c>
      <c r="AK8" s="41" t="n">
        <v>100</v>
      </c>
      <c r="AL8" s="41" t="n">
        <v>100</v>
      </c>
      <c r="AM8" s="41" t="n">
        <v>75</v>
      </c>
      <c r="AN8" s="41" t="n">
        <v>100</v>
      </c>
      <c r="AO8" s="41" t="n">
        <v>100</v>
      </c>
      <c r="AP8" s="41" t="n">
        <v>75</v>
      </c>
      <c r="AQ8" s="41" t="n">
        <v>50</v>
      </c>
      <c r="AR8" s="41" t="n">
        <v>50</v>
      </c>
      <c r="AS8" s="41" t="n">
        <v>75</v>
      </c>
      <c r="AT8" s="41" t="n">
        <v>50</v>
      </c>
      <c r="AU8" s="41" t="n">
        <v>75</v>
      </c>
      <c r="AV8" s="41" t="n">
        <v>50</v>
      </c>
      <c r="AW8" s="41" t="n">
        <v>50</v>
      </c>
      <c r="AX8" s="41" t="n">
        <v>25</v>
      </c>
      <c r="AY8" s="41" t="n">
        <v>75</v>
      </c>
    </row>
    <row r="9" customFormat="false" ht="15" hidden="false" customHeight="true" outlineLevel="0" collapsed="false">
      <c r="A9" s="33" t="s">
        <v>191</v>
      </c>
      <c r="B9" s="33" t="s">
        <v>83</v>
      </c>
      <c r="C9" s="33" t="s">
        <v>192</v>
      </c>
      <c r="D9" s="40" t="s">
        <v>65</v>
      </c>
      <c r="E9" s="33" t="s">
        <v>78</v>
      </c>
      <c r="F9" s="33" t="s">
        <v>74</v>
      </c>
      <c r="G9" s="33" t="s">
        <v>69</v>
      </c>
      <c r="H9" s="40" t="n">
        <v>9</v>
      </c>
      <c r="I9" s="41" t="n">
        <v>75</v>
      </c>
      <c r="J9" s="41" t="n">
        <v>100</v>
      </c>
      <c r="K9" s="41" t="n">
        <v>100</v>
      </c>
      <c r="L9" s="41" t="n">
        <v>100</v>
      </c>
      <c r="M9" s="41" t="n">
        <v>100</v>
      </c>
      <c r="N9" s="41" t="n">
        <v>100</v>
      </c>
      <c r="O9" s="41" t="n">
        <v>75</v>
      </c>
      <c r="P9" s="41" t="n">
        <v>100</v>
      </c>
      <c r="Q9" s="41" t="n">
        <v>100</v>
      </c>
      <c r="R9" s="41" t="n">
        <v>75</v>
      </c>
      <c r="S9" s="41" t="n">
        <v>75</v>
      </c>
      <c r="T9" s="41" t="n">
        <v>25</v>
      </c>
      <c r="U9" s="41" t="n">
        <v>100</v>
      </c>
      <c r="V9" s="41" t="n">
        <v>50</v>
      </c>
      <c r="W9" s="41" t="n">
        <v>66.7</v>
      </c>
      <c r="X9" s="41" t="n">
        <v>100</v>
      </c>
      <c r="Y9" s="41" t="n">
        <v>100</v>
      </c>
      <c r="Z9" s="41" t="n">
        <v>75</v>
      </c>
      <c r="AA9" s="41" t="n">
        <v>50</v>
      </c>
      <c r="AB9" s="41" t="n">
        <v>25</v>
      </c>
      <c r="AC9" s="41" t="n">
        <v>0</v>
      </c>
      <c r="AD9" s="41" t="n">
        <v>75</v>
      </c>
      <c r="AE9" s="41" t="n">
        <v>75</v>
      </c>
      <c r="AF9" s="41" t="n">
        <v>50</v>
      </c>
      <c r="AG9" s="41" t="n">
        <v>0</v>
      </c>
      <c r="AH9" s="41" t="n">
        <v>75</v>
      </c>
      <c r="AI9" s="41" t="n">
        <v>50</v>
      </c>
      <c r="AJ9" s="41" t="n">
        <v>75</v>
      </c>
      <c r="AK9" s="41" t="n">
        <v>50</v>
      </c>
      <c r="AL9" s="41" t="n">
        <v>25</v>
      </c>
      <c r="AM9" s="41" t="n">
        <v>0</v>
      </c>
      <c r="AN9" s="41" t="n">
        <v>0</v>
      </c>
      <c r="AO9" s="41" t="n">
        <v>0</v>
      </c>
      <c r="AP9" s="41" t="n">
        <v>25</v>
      </c>
      <c r="AQ9" s="41" t="n">
        <v>0</v>
      </c>
      <c r="AR9" s="41" t="n">
        <v>75</v>
      </c>
      <c r="AS9" s="41" t="n">
        <v>75</v>
      </c>
      <c r="AT9" s="41" t="n">
        <v>50</v>
      </c>
      <c r="AU9" s="41" t="n">
        <v>75</v>
      </c>
      <c r="AV9" s="41" t="n">
        <v>25</v>
      </c>
      <c r="AW9" s="41" t="n">
        <v>25</v>
      </c>
      <c r="AX9" s="41" t="n">
        <v>25</v>
      </c>
      <c r="AY9" s="41" t="n">
        <v>75</v>
      </c>
    </row>
    <row r="10" customFormat="false" ht="15" hidden="false" customHeight="true" outlineLevel="0" collapsed="false">
      <c r="A10" s="33" t="s">
        <v>193</v>
      </c>
      <c r="B10" s="33" t="s">
        <v>84</v>
      </c>
      <c r="C10" s="33" t="s">
        <v>178</v>
      </c>
      <c r="D10" s="40" t="s">
        <v>65</v>
      </c>
      <c r="E10" s="33" t="s">
        <v>79</v>
      </c>
      <c r="F10" s="33" t="s">
        <v>74</v>
      </c>
      <c r="G10" s="33" t="s">
        <v>71</v>
      </c>
      <c r="H10" s="40" t="n">
        <v>9</v>
      </c>
      <c r="I10" s="41" t="n">
        <v>75</v>
      </c>
      <c r="J10" s="41" t="n">
        <v>100</v>
      </c>
      <c r="K10" s="41" t="n">
        <v>100</v>
      </c>
      <c r="L10" s="41" t="n">
        <v>50</v>
      </c>
      <c r="M10" s="41" t="n">
        <v>100</v>
      </c>
      <c r="N10" s="41" t="n">
        <v>100</v>
      </c>
      <c r="O10" s="41" t="n">
        <v>100</v>
      </c>
      <c r="P10" s="41" t="n">
        <v>75</v>
      </c>
      <c r="Q10" s="41" t="n">
        <v>100</v>
      </c>
      <c r="R10" s="41" t="n">
        <v>100</v>
      </c>
      <c r="S10" s="41" t="n">
        <v>100</v>
      </c>
      <c r="T10" s="41" t="n">
        <v>100</v>
      </c>
      <c r="U10" s="41" t="n">
        <v>100</v>
      </c>
      <c r="V10" s="41" t="n">
        <v>100</v>
      </c>
      <c r="W10" s="41" t="n">
        <v>66.7</v>
      </c>
      <c r="X10" s="41" t="n">
        <v>100</v>
      </c>
      <c r="Y10" s="41" t="n">
        <v>50</v>
      </c>
      <c r="Z10" s="41" t="n">
        <v>100</v>
      </c>
      <c r="AA10" s="41" t="n">
        <v>75</v>
      </c>
      <c r="AB10" s="41" t="n">
        <v>100</v>
      </c>
      <c r="AC10" s="41" t="n">
        <v>0</v>
      </c>
      <c r="AD10" s="41" t="n">
        <v>100</v>
      </c>
      <c r="AE10" s="41" t="n">
        <v>50</v>
      </c>
      <c r="AF10" s="41" t="n">
        <v>75</v>
      </c>
      <c r="AG10" s="41" t="n">
        <v>100</v>
      </c>
      <c r="AH10" s="41" t="n">
        <v>100</v>
      </c>
      <c r="AI10" s="41" t="n">
        <v>100</v>
      </c>
      <c r="AJ10" s="41" t="n">
        <v>50</v>
      </c>
      <c r="AK10" s="41" t="n">
        <v>100</v>
      </c>
      <c r="AL10" s="41" t="n">
        <v>100</v>
      </c>
      <c r="AM10" s="41" t="n">
        <v>100</v>
      </c>
      <c r="AN10" s="41" t="n">
        <v>50</v>
      </c>
      <c r="AO10" s="41" t="n">
        <v>100</v>
      </c>
      <c r="AP10" s="41" t="n">
        <v>100</v>
      </c>
      <c r="AQ10" s="41" t="n">
        <v>100</v>
      </c>
      <c r="AR10" s="41" t="n">
        <v>100</v>
      </c>
      <c r="AS10" s="41" t="n">
        <v>75</v>
      </c>
      <c r="AT10" s="41" t="n">
        <v>100</v>
      </c>
      <c r="AU10" s="41" t="n">
        <v>100</v>
      </c>
      <c r="AV10" s="41" t="n">
        <v>100</v>
      </c>
      <c r="AW10" s="41" t="n">
        <v>100</v>
      </c>
      <c r="AX10" s="41" t="n">
        <v>75</v>
      </c>
      <c r="AY10" s="41" t="n">
        <v>50</v>
      </c>
    </row>
    <row r="11" customFormat="false" ht="15" hidden="false" customHeight="true" outlineLevel="0" collapsed="false">
      <c r="A11" s="33" t="s">
        <v>194</v>
      </c>
      <c r="B11" s="33" t="s">
        <v>183</v>
      </c>
      <c r="C11" s="33" t="s">
        <v>195</v>
      </c>
      <c r="D11" s="40" t="s">
        <v>64</v>
      </c>
      <c r="E11" s="33" t="s">
        <v>79</v>
      </c>
      <c r="F11" s="33" t="s">
        <v>74</v>
      </c>
      <c r="G11" s="33" t="s">
        <v>69</v>
      </c>
      <c r="H11" s="40" t="n">
        <v>9</v>
      </c>
      <c r="I11" s="41" t="n">
        <v>100</v>
      </c>
      <c r="J11" s="41" t="n">
        <v>75</v>
      </c>
      <c r="K11" s="41" t="n">
        <v>100</v>
      </c>
      <c r="L11" s="41" t="n">
        <v>100</v>
      </c>
      <c r="M11" s="41" t="n">
        <v>100</v>
      </c>
      <c r="N11" s="41" t="n">
        <v>100</v>
      </c>
      <c r="O11" s="41" t="n">
        <v>100</v>
      </c>
      <c r="P11" s="41" t="n">
        <v>100</v>
      </c>
      <c r="Q11" s="41" t="n">
        <v>100</v>
      </c>
      <c r="R11" s="41" t="n">
        <v>100</v>
      </c>
      <c r="S11" s="41" t="n">
        <v>100</v>
      </c>
      <c r="T11" s="41" t="n">
        <v>100</v>
      </c>
      <c r="U11" s="41" t="n">
        <v>100</v>
      </c>
      <c r="V11" s="41" t="n">
        <v>100</v>
      </c>
      <c r="W11" s="41" t="n">
        <v>100</v>
      </c>
      <c r="X11" s="41" t="n">
        <v>100</v>
      </c>
      <c r="Y11" s="41" t="n">
        <v>100</v>
      </c>
      <c r="Z11" s="41" t="n">
        <v>100</v>
      </c>
      <c r="AA11" s="41" t="n">
        <v>100</v>
      </c>
      <c r="AB11" s="41" t="n">
        <v>100</v>
      </c>
      <c r="AC11" s="41" t="n">
        <v>0</v>
      </c>
      <c r="AD11" s="41" t="n">
        <v>100</v>
      </c>
      <c r="AE11" s="41" t="n">
        <v>100</v>
      </c>
      <c r="AF11" s="41" t="n">
        <v>50</v>
      </c>
      <c r="AG11" s="41" t="n">
        <v>50</v>
      </c>
      <c r="AH11" s="41" t="n">
        <v>100</v>
      </c>
      <c r="AI11" s="41" t="n">
        <v>100</v>
      </c>
      <c r="AJ11" s="41" t="n">
        <v>100</v>
      </c>
      <c r="AK11" s="41" t="n">
        <v>100</v>
      </c>
      <c r="AL11" s="41" t="n">
        <v>75</v>
      </c>
      <c r="AM11" s="41" t="n">
        <v>100</v>
      </c>
      <c r="AN11" s="41" t="n">
        <v>75</v>
      </c>
      <c r="AO11" s="41" t="n">
        <v>100</v>
      </c>
      <c r="AP11" s="41" t="n">
        <v>100</v>
      </c>
      <c r="AQ11" s="41" t="n">
        <v>75</v>
      </c>
      <c r="AR11" s="41" t="n">
        <v>100</v>
      </c>
      <c r="AS11" s="41" t="n">
        <v>75</v>
      </c>
      <c r="AT11" s="41" t="n">
        <v>100</v>
      </c>
      <c r="AU11" s="41" t="n">
        <v>75</v>
      </c>
      <c r="AV11" s="41" t="n">
        <v>100</v>
      </c>
      <c r="AW11" s="41" t="n">
        <v>100</v>
      </c>
      <c r="AX11" s="41" t="n">
        <v>75</v>
      </c>
      <c r="AY11" s="41" t="n">
        <v>100</v>
      </c>
    </row>
    <row r="12" customFormat="false" ht="15" hidden="false" customHeight="true" outlineLevel="0" collapsed="false">
      <c r="A12" s="33" t="s">
        <v>196</v>
      </c>
      <c r="B12" s="33" t="s">
        <v>83</v>
      </c>
      <c r="C12" s="33" t="s">
        <v>195</v>
      </c>
      <c r="D12" s="40" t="s">
        <v>64</v>
      </c>
      <c r="E12" s="33" t="s">
        <v>79</v>
      </c>
      <c r="F12" s="33" t="s">
        <v>75</v>
      </c>
      <c r="G12" s="33" t="s">
        <v>70</v>
      </c>
      <c r="H12" s="40" t="n">
        <v>9</v>
      </c>
      <c r="I12" s="41" t="n">
        <v>100</v>
      </c>
      <c r="J12" s="41" t="n">
        <v>100</v>
      </c>
      <c r="K12" s="41" t="n">
        <v>100</v>
      </c>
      <c r="L12" s="41" t="n">
        <v>100</v>
      </c>
      <c r="M12" s="41" t="n">
        <v>50</v>
      </c>
      <c r="N12" s="41" t="n">
        <v>100</v>
      </c>
      <c r="O12" s="41" t="n">
        <v>75</v>
      </c>
      <c r="P12" s="41" t="n">
        <v>75</v>
      </c>
      <c r="Q12" s="41" t="n">
        <v>100</v>
      </c>
      <c r="R12" s="41" t="n">
        <v>75</v>
      </c>
      <c r="S12" s="41" t="n">
        <v>100</v>
      </c>
      <c r="T12" s="41" t="n">
        <v>75</v>
      </c>
      <c r="U12" s="41" t="n">
        <v>75</v>
      </c>
      <c r="V12" s="41" t="n">
        <v>100</v>
      </c>
      <c r="W12" s="41" t="n">
        <v>100</v>
      </c>
      <c r="X12" s="41" t="n">
        <v>100</v>
      </c>
      <c r="Y12" s="41" t="n">
        <v>100</v>
      </c>
      <c r="Z12" s="41" t="n">
        <v>100</v>
      </c>
      <c r="AA12" s="41" t="n">
        <v>100</v>
      </c>
      <c r="AB12" s="41" t="n">
        <v>75</v>
      </c>
      <c r="AC12" s="41" t="n">
        <v>66.7</v>
      </c>
      <c r="AD12" s="41" t="n">
        <v>100</v>
      </c>
      <c r="AE12" s="41" t="n">
        <v>100</v>
      </c>
      <c r="AF12" s="41" t="n">
        <v>100</v>
      </c>
      <c r="AG12" s="41" t="n">
        <v>100</v>
      </c>
      <c r="AH12" s="41" t="n">
        <v>100</v>
      </c>
      <c r="AI12" s="41" t="n">
        <v>100</v>
      </c>
      <c r="AJ12" s="41" t="n">
        <v>100</v>
      </c>
      <c r="AK12" s="41" t="n">
        <v>100</v>
      </c>
      <c r="AL12" s="41" t="n">
        <v>100</v>
      </c>
      <c r="AM12" s="41" t="n">
        <v>100</v>
      </c>
      <c r="AN12" s="41" t="n">
        <v>75</v>
      </c>
      <c r="AO12" s="41" t="n">
        <v>100</v>
      </c>
      <c r="AP12" s="41" t="n">
        <v>100</v>
      </c>
      <c r="AQ12" s="41" t="n">
        <v>75</v>
      </c>
      <c r="AR12" s="41" t="n">
        <v>100</v>
      </c>
      <c r="AS12" s="41" t="n">
        <v>100</v>
      </c>
      <c r="AT12" s="41" t="n">
        <v>75</v>
      </c>
      <c r="AU12" s="41" t="n">
        <v>75</v>
      </c>
      <c r="AV12" s="41" t="n">
        <v>75</v>
      </c>
      <c r="AW12" s="41" t="n">
        <v>100</v>
      </c>
      <c r="AX12" s="41" t="n">
        <v>75</v>
      </c>
      <c r="AY12" s="41" t="n">
        <v>100</v>
      </c>
    </row>
    <row r="13" customFormat="false" ht="15" hidden="false" customHeight="true" outlineLevel="0" collapsed="false">
      <c r="A13" s="33" t="s">
        <v>197</v>
      </c>
      <c r="B13" s="33" t="s">
        <v>183</v>
      </c>
      <c r="C13" s="33" t="s">
        <v>192</v>
      </c>
      <c r="D13" s="40" t="s">
        <v>65</v>
      </c>
      <c r="E13" s="33" t="s">
        <v>78</v>
      </c>
      <c r="F13" s="33" t="s">
        <v>73</v>
      </c>
      <c r="G13" s="33" t="s">
        <v>69</v>
      </c>
      <c r="H13" s="40" t="n">
        <v>8</v>
      </c>
      <c r="I13" s="41" t="n">
        <v>100</v>
      </c>
      <c r="J13" s="41" t="n">
        <v>100</v>
      </c>
      <c r="K13" s="41" t="n">
        <v>25</v>
      </c>
      <c r="L13" s="41" t="n">
        <v>100</v>
      </c>
      <c r="M13" s="41" t="n">
        <v>100</v>
      </c>
      <c r="N13" s="41" t="n">
        <v>75</v>
      </c>
      <c r="O13" s="41" t="n">
        <v>100</v>
      </c>
      <c r="P13" s="41" t="n">
        <v>100</v>
      </c>
      <c r="Q13" s="41" t="n">
        <v>100</v>
      </c>
      <c r="R13" s="41" t="n">
        <v>100</v>
      </c>
      <c r="S13" s="41" t="n">
        <v>100</v>
      </c>
      <c r="T13" s="41" t="n">
        <v>100</v>
      </c>
      <c r="U13" s="41" t="n">
        <v>75</v>
      </c>
      <c r="V13" s="41" t="n">
        <v>50</v>
      </c>
      <c r="W13" s="41" t="n">
        <v>33.3</v>
      </c>
      <c r="X13" s="41" t="n">
        <v>100</v>
      </c>
      <c r="Y13" s="41" t="n">
        <v>50</v>
      </c>
      <c r="Z13" s="41" t="n">
        <v>25</v>
      </c>
      <c r="AA13" s="41" t="n">
        <v>25</v>
      </c>
      <c r="AB13" s="41" t="n">
        <v>50</v>
      </c>
      <c r="AC13" s="41" t="n">
        <v>33.3</v>
      </c>
      <c r="AD13" s="41" t="n">
        <v>100</v>
      </c>
      <c r="AE13" s="41" t="n">
        <v>100</v>
      </c>
      <c r="AF13" s="41" t="n">
        <v>50</v>
      </c>
      <c r="AG13" s="41" t="n">
        <v>25</v>
      </c>
      <c r="AH13" s="41" t="n">
        <v>50</v>
      </c>
      <c r="AI13" s="41" t="n">
        <v>50</v>
      </c>
      <c r="AJ13" s="41" t="n">
        <v>50</v>
      </c>
      <c r="AK13" s="41" t="n">
        <v>75</v>
      </c>
      <c r="AL13" s="41" t="n">
        <v>75</v>
      </c>
      <c r="AM13" s="41" t="n">
        <v>50</v>
      </c>
      <c r="AN13" s="41" t="n">
        <v>50</v>
      </c>
      <c r="AO13" s="41" t="n">
        <v>50</v>
      </c>
      <c r="AP13" s="41" t="n">
        <v>50</v>
      </c>
      <c r="AQ13" s="41" t="n">
        <v>25</v>
      </c>
      <c r="AR13" s="41" t="n">
        <v>75</v>
      </c>
      <c r="AS13" s="41" t="n">
        <v>100</v>
      </c>
      <c r="AT13" s="41" t="n">
        <v>100</v>
      </c>
      <c r="AU13" s="41" t="n">
        <v>75</v>
      </c>
      <c r="AV13" s="41" t="n">
        <v>75</v>
      </c>
      <c r="AW13" s="41" t="n">
        <v>75</v>
      </c>
      <c r="AX13" s="41" t="n">
        <v>50</v>
      </c>
      <c r="AY13" s="41" t="n">
        <v>50</v>
      </c>
    </row>
    <row r="14" customFormat="false" ht="15" hidden="false" customHeight="true" outlineLevel="0" collapsed="false">
      <c r="A14" s="33" t="s">
        <v>198</v>
      </c>
      <c r="B14" s="33" t="s">
        <v>83</v>
      </c>
      <c r="C14" s="33" t="s">
        <v>199</v>
      </c>
      <c r="D14" s="40" t="s">
        <v>64</v>
      </c>
      <c r="E14" s="33" t="s">
        <v>79</v>
      </c>
      <c r="F14" s="33" t="s">
        <v>75</v>
      </c>
      <c r="G14" s="33" t="s">
        <v>69</v>
      </c>
      <c r="H14" s="40" t="n">
        <v>9</v>
      </c>
      <c r="I14" s="41" t="n">
        <v>100</v>
      </c>
      <c r="J14" s="41" t="n">
        <v>100</v>
      </c>
      <c r="K14" s="41" t="n">
        <v>75</v>
      </c>
      <c r="L14" s="41" t="n">
        <v>100</v>
      </c>
      <c r="M14" s="41" t="n">
        <v>100</v>
      </c>
      <c r="N14" s="41" t="n">
        <v>100</v>
      </c>
      <c r="O14" s="41" t="n">
        <v>75</v>
      </c>
      <c r="P14" s="41" t="n">
        <v>75</v>
      </c>
      <c r="Q14" s="41" t="n">
        <v>100</v>
      </c>
      <c r="R14" s="41" t="n">
        <v>75</v>
      </c>
      <c r="S14" s="41" t="n">
        <v>100</v>
      </c>
      <c r="T14" s="41" t="n">
        <v>100</v>
      </c>
      <c r="U14" s="41" t="n">
        <v>100</v>
      </c>
      <c r="V14" s="41" t="n">
        <v>100</v>
      </c>
      <c r="W14" s="41" t="n">
        <v>66.7</v>
      </c>
      <c r="X14" s="41" t="n">
        <v>100</v>
      </c>
      <c r="Y14" s="41" t="n">
        <v>75</v>
      </c>
      <c r="Z14" s="41" t="n">
        <v>75</v>
      </c>
      <c r="AA14" s="41" t="n">
        <v>75</v>
      </c>
      <c r="AB14" s="41" t="n">
        <v>75</v>
      </c>
      <c r="AC14" s="41" t="n">
        <v>100</v>
      </c>
      <c r="AD14" s="41" t="n">
        <v>100</v>
      </c>
      <c r="AE14" s="41" t="n">
        <v>100</v>
      </c>
      <c r="AF14" s="41" t="n">
        <v>75</v>
      </c>
      <c r="AG14" s="41" t="n">
        <v>50</v>
      </c>
      <c r="AH14" s="41" t="n">
        <v>100</v>
      </c>
      <c r="AI14" s="41" t="n">
        <v>100</v>
      </c>
      <c r="AJ14" s="41" t="n">
        <v>100</v>
      </c>
      <c r="AK14" s="41" t="n">
        <v>100</v>
      </c>
      <c r="AL14" s="41" t="n">
        <v>75</v>
      </c>
      <c r="AM14" s="41" t="n">
        <v>75</v>
      </c>
      <c r="AN14" s="41" t="n">
        <v>75</v>
      </c>
      <c r="AO14" s="41" t="n">
        <v>75</v>
      </c>
      <c r="AP14" s="41" t="n">
        <v>75</v>
      </c>
      <c r="AQ14" s="41" t="n">
        <v>100</v>
      </c>
      <c r="AR14" s="41" t="n">
        <v>75</v>
      </c>
      <c r="AS14" s="41" t="n">
        <v>75</v>
      </c>
      <c r="AT14" s="41" t="n">
        <v>75</v>
      </c>
      <c r="AU14" s="41" t="n">
        <v>100</v>
      </c>
      <c r="AV14" s="41" t="n">
        <v>75</v>
      </c>
      <c r="AW14" s="41" t="n">
        <v>75</v>
      </c>
      <c r="AX14" s="41" t="n">
        <v>75</v>
      </c>
      <c r="AY14" s="41" t="n">
        <v>100</v>
      </c>
    </row>
    <row r="15" customFormat="false" ht="15" hidden="false" customHeight="true" outlineLevel="0" collapsed="false">
      <c r="A15" s="33" t="s">
        <v>200</v>
      </c>
      <c r="B15" s="33" t="s">
        <v>201</v>
      </c>
      <c r="C15" s="33" t="s">
        <v>195</v>
      </c>
      <c r="D15" s="40" t="s">
        <v>65</v>
      </c>
      <c r="E15" s="33" t="s">
        <v>79</v>
      </c>
      <c r="F15" s="33" t="s">
        <v>74</v>
      </c>
      <c r="G15" s="33" t="s">
        <v>69</v>
      </c>
      <c r="H15" s="40" t="n">
        <v>8</v>
      </c>
      <c r="I15" s="41" t="n">
        <v>100</v>
      </c>
      <c r="J15" s="41" t="n">
        <v>100</v>
      </c>
      <c r="K15" s="41" t="n">
        <v>100</v>
      </c>
      <c r="L15" s="41" t="n">
        <v>100</v>
      </c>
      <c r="M15" s="41" t="n">
        <v>100</v>
      </c>
      <c r="N15" s="41" t="n">
        <v>100</v>
      </c>
      <c r="O15" s="41" t="n">
        <v>75</v>
      </c>
      <c r="P15" s="41" t="n">
        <v>100</v>
      </c>
      <c r="Q15" s="41" t="n">
        <v>100</v>
      </c>
      <c r="R15" s="41" t="n">
        <v>75</v>
      </c>
      <c r="S15" s="41" t="n">
        <v>75</v>
      </c>
      <c r="T15" s="41" t="n">
        <v>50</v>
      </c>
      <c r="U15" s="41" t="n">
        <v>25</v>
      </c>
      <c r="V15" s="41" t="n">
        <v>25</v>
      </c>
      <c r="W15" s="41" t="n">
        <v>100</v>
      </c>
      <c r="X15" s="41" t="n">
        <v>100</v>
      </c>
      <c r="Y15" s="41" t="n">
        <v>100</v>
      </c>
      <c r="Z15" s="41" t="n">
        <v>75</v>
      </c>
      <c r="AA15" s="41" t="n">
        <v>75</v>
      </c>
      <c r="AB15" s="41" t="n">
        <v>75</v>
      </c>
      <c r="AC15" s="41" t="n">
        <v>33.3</v>
      </c>
      <c r="AD15" s="41" t="n">
        <v>75</v>
      </c>
      <c r="AE15" s="41" t="n">
        <v>75</v>
      </c>
      <c r="AF15" s="41" t="n">
        <v>75</v>
      </c>
      <c r="AG15" s="41" t="n">
        <v>50</v>
      </c>
      <c r="AH15" s="41" t="n">
        <v>75</v>
      </c>
      <c r="AI15" s="41" t="n">
        <v>50</v>
      </c>
      <c r="AJ15" s="41" t="n">
        <v>50</v>
      </c>
      <c r="AK15" s="41" t="n">
        <v>50</v>
      </c>
      <c r="AL15" s="41" t="n">
        <v>50</v>
      </c>
      <c r="AM15" s="41" t="n">
        <v>50</v>
      </c>
      <c r="AN15" s="41" t="n">
        <v>50</v>
      </c>
      <c r="AO15" s="41" t="n">
        <v>50</v>
      </c>
      <c r="AP15" s="41" t="n">
        <v>50</v>
      </c>
      <c r="AQ15" s="41" t="n">
        <v>50</v>
      </c>
      <c r="AR15" s="41" t="n">
        <v>50</v>
      </c>
      <c r="AS15" s="41" t="n">
        <v>75</v>
      </c>
      <c r="AT15" s="41" t="n">
        <v>75</v>
      </c>
      <c r="AU15" s="41" t="n">
        <v>75</v>
      </c>
      <c r="AV15" s="41" t="n">
        <v>50</v>
      </c>
      <c r="AW15" s="41" t="n">
        <v>75</v>
      </c>
      <c r="AX15" s="41" t="n">
        <v>100</v>
      </c>
      <c r="AY15" s="41" t="n">
        <v>100</v>
      </c>
    </row>
    <row r="16" customFormat="false" ht="15" hidden="false" customHeight="true" outlineLevel="0" collapsed="false">
      <c r="A16" s="33" t="s">
        <v>202</v>
      </c>
      <c r="B16" s="33" t="s">
        <v>180</v>
      </c>
      <c r="C16" s="33" t="s">
        <v>187</v>
      </c>
      <c r="D16" s="40" t="s">
        <v>65</v>
      </c>
      <c r="E16" s="33" t="s">
        <v>79</v>
      </c>
      <c r="F16" s="33" t="s">
        <v>74</v>
      </c>
      <c r="G16" s="33" t="s">
        <v>69</v>
      </c>
      <c r="H16" s="40" t="n">
        <v>9</v>
      </c>
      <c r="I16" s="41" t="n">
        <v>75</v>
      </c>
      <c r="J16" s="41" t="n">
        <v>75</v>
      </c>
      <c r="K16" s="41" t="n">
        <v>75</v>
      </c>
      <c r="L16" s="41" t="n">
        <v>100</v>
      </c>
      <c r="M16" s="41" t="n">
        <v>100</v>
      </c>
      <c r="N16" s="41" t="n">
        <v>100</v>
      </c>
      <c r="O16" s="41" t="n">
        <v>100</v>
      </c>
      <c r="P16" s="41" t="n">
        <v>100</v>
      </c>
      <c r="Q16" s="41" t="n">
        <v>100</v>
      </c>
      <c r="R16" s="41" t="n">
        <v>75</v>
      </c>
      <c r="S16" s="41" t="n">
        <v>75</v>
      </c>
      <c r="T16" s="41" t="n">
        <v>100</v>
      </c>
      <c r="U16" s="41" t="n">
        <v>50</v>
      </c>
      <c r="V16" s="41" t="n">
        <v>75</v>
      </c>
      <c r="W16" s="41" t="n">
        <v>66.7</v>
      </c>
      <c r="X16" s="41" t="n">
        <v>100</v>
      </c>
      <c r="Y16" s="41" t="n">
        <v>100</v>
      </c>
      <c r="Z16" s="41" t="n">
        <v>100</v>
      </c>
      <c r="AA16" s="41" t="n">
        <v>25</v>
      </c>
      <c r="AB16" s="41" t="n">
        <v>50</v>
      </c>
      <c r="AC16" s="41" t="n">
        <v>0</v>
      </c>
      <c r="AD16" s="41" t="n">
        <v>50</v>
      </c>
      <c r="AE16" s="41" t="n">
        <v>75</v>
      </c>
      <c r="AF16" s="41" t="n">
        <v>75</v>
      </c>
      <c r="AG16" s="41" t="n">
        <v>25</v>
      </c>
      <c r="AH16" s="41" t="n">
        <v>100</v>
      </c>
      <c r="AI16" s="41" t="n">
        <v>50</v>
      </c>
      <c r="AJ16" s="41" t="n">
        <v>100</v>
      </c>
      <c r="AK16" s="41" t="n">
        <v>50</v>
      </c>
      <c r="AL16" s="41" t="n">
        <v>50</v>
      </c>
      <c r="AM16" s="41" t="n">
        <v>50</v>
      </c>
      <c r="AN16" s="41" t="n">
        <v>25</v>
      </c>
      <c r="AO16" s="41" t="n">
        <v>75</v>
      </c>
      <c r="AP16" s="41" t="n">
        <v>50</v>
      </c>
      <c r="AQ16" s="41" t="n">
        <v>25</v>
      </c>
      <c r="AR16" s="41" t="n">
        <v>75</v>
      </c>
      <c r="AS16" s="41" t="n">
        <v>75</v>
      </c>
      <c r="AT16" s="41" t="n">
        <v>75</v>
      </c>
      <c r="AU16" s="41" t="n">
        <v>25</v>
      </c>
      <c r="AV16" s="41" t="n">
        <v>75</v>
      </c>
      <c r="AW16" s="41" t="n">
        <v>25</v>
      </c>
      <c r="AX16" s="41" t="n">
        <v>0</v>
      </c>
      <c r="AY16" s="41" t="n">
        <v>100</v>
      </c>
    </row>
    <row r="17" customFormat="false" ht="15" hidden="false" customHeight="true" outlineLevel="0" collapsed="false">
      <c r="A17" s="33" t="s">
        <v>203</v>
      </c>
      <c r="B17" s="33" t="s">
        <v>82</v>
      </c>
      <c r="C17" s="33" t="s">
        <v>82</v>
      </c>
      <c r="D17" s="40" t="s">
        <v>64</v>
      </c>
      <c r="E17" s="33" t="s">
        <v>79</v>
      </c>
      <c r="F17" s="33" t="s">
        <v>74</v>
      </c>
      <c r="G17" s="33" t="s">
        <v>68</v>
      </c>
      <c r="H17" s="40" t="n">
        <v>8</v>
      </c>
      <c r="I17" s="41" t="n">
        <v>100</v>
      </c>
      <c r="J17" s="41" t="n">
        <v>100</v>
      </c>
      <c r="K17" s="41" t="n">
        <v>50</v>
      </c>
      <c r="L17" s="41" t="n">
        <v>100</v>
      </c>
      <c r="M17" s="41" t="n">
        <v>100</v>
      </c>
      <c r="N17" s="41" t="n">
        <v>100</v>
      </c>
      <c r="O17" s="41" t="n">
        <v>100</v>
      </c>
      <c r="P17" s="41" t="n">
        <v>75</v>
      </c>
      <c r="Q17" s="41" t="n">
        <v>100</v>
      </c>
      <c r="R17" s="41" t="n">
        <v>75</v>
      </c>
      <c r="S17" s="41" t="n">
        <v>75</v>
      </c>
      <c r="T17" s="41" t="n">
        <v>100</v>
      </c>
      <c r="U17" s="41" t="n">
        <v>100</v>
      </c>
      <c r="V17" s="41" t="n">
        <v>50</v>
      </c>
      <c r="W17" s="41" t="n">
        <v>100</v>
      </c>
      <c r="X17" s="41" t="n">
        <v>100</v>
      </c>
      <c r="Y17" s="41" t="n">
        <v>100</v>
      </c>
      <c r="Z17" s="41" t="n">
        <v>100</v>
      </c>
      <c r="AA17" s="41" t="n">
        <v>100</v>
      </c>
      <c r="AB17" s="41" t="n">
        <v>100</v>
      </c>
      <c r="AC17" s="41" t="n">
        <v>66.7</v>
      </c>
      <c r="AD17" s="41" t="n">
        <v>100</v>
      </c>
      <c r="AE17" s="41" t="n">
        <v>75</v>
      </c>
      <c r="AF17" s="41" t="n">
        <v>100</v>
      </c>
      <c r="AG17" s="41" t="n">
        <v>50</v>
      </c>
      <c r="AH17" s="41" t="n">
        <v>100</v>
      </c>
      <c r="AI17" s="41" t="n">
        <v>100</v>
      </c>
      <c r="AJ17" s="41" t="n">
        <v>100</v>
      </c>
      <c r="AK17" s="41" t="n">
        <v>100</v>
      </c>
      <c r="AL17" s="41" t="n">
        <v>75</v>
      </c>
      <c r="AM17" s="41" t="n">
        <v>75</v>
      </c>
      <c r="AN17" s="41" t="n">
        <v>75</v>
      </c>
      <c r="AO17" s="41" t="n">
        <v>100</v>
      </c>
      <c r="AP17" s="41" t="n">
        <v>75</v>
      </c>
      <c r="AQ17" s="41" t="n">
        <v>50</v>
      </c>
      <c r="AR17" s="41" t="n">
        <v>100</v>
      </c>
      <c r="AS17" s="41" t="n">
        <v>100</v>
      </c>
      <c r="AT17" s="41" t="n">
        <v>50</v>
      </c>
      <c r="AU17" s="41" t="n">
        <v>100</v>
      </c>
      <c r="AV17" s="41" t="n">
        <v>75</v>
      </c>
      <c r="AW17" s="41" t="n">
        <v>100</v>
      </c>
      <c r="AX17" s="41" t="n">
        <v>75</v>
      </c>
      <c r="AY17" s="41" t="n">
        <v>100</v>
      </c>
    </row>
    <row r="18" customFormat="false" ht="15" hidden="false" customHeight="true" outlineLevel="0" collapsed="false">
      <c r="A18" s="33" t="s">
        <v>204</v>
      </c>
      <c r="B18" s="33" t="s">
        <v>83</v>
      </c>
      <c r="C18" s="33" t="s">
        <v>199</v>
      </c>
      <c r="D18" s="40" t="s">
        <v>63</v>
      </c>
      <c r="E18" s="33" t="s">
        <v>79</v>
      </c>
      <c r="F18" s="33" t="s">
        <v>74</v>
      </c>
      <c r="G18" s="33" t="s">
        <v>69</v>
      </c>
      <c r="H18" s="40" t="n">
        <v>8</v>
      </c>
      <c r="I18" s="41" t="n">
        <v>100</v>
      </c>
      <c r="J18" s="41" t="n">
        <v>75</v>
      </c>
      <c r="K18" s="41" t="n">
        <v>50</v>
      </c>
      <c r="L18" s="41" t="n">
        <v>100</v>
      </c>
      <c r="M18" s="41" t="n">
        <v>100</v>
      </c>
      <c r="N18" s="41" t="n">
        <v>100</v>
      </c>
      <c r="O18" s="41" t="n">
        <v>75</v>
      </c>
      <c r="P18" s="41" t="n">
        <v>75</v>
      </c>
      <c r="Q18" s="41" t="n">
        <v>100</v>
      </c>
      <c r="R18" s="41" t="n">
        <v>75</v>
      </c>
      <c r="S18" s="41" t="n">
        <v>50</v>
      </c>
      <c r="T18" s="41" t="n">
        <v>75</v>
      </c>
      <c r="U18" s="41" t="n">
        <v>75</v>
      </c>
      <c r="V18" s="41" t="n">
        <v>75</v>
      </c>
      <c r="W18" s="41" t="n">
        <v>66.7</v>
      </c>
      <c r="X18" s="41" t="n">
        <v>100</v>
      </c>
      <c r="Y18" s="41" t="n">
        <v>100</v>
      </c>
      <c r="Z18" s="41" t="n">
        <v>75</v>
      </c>
      <c r="AA18" s="41" t="n">
        <v>75</v>
      </c>
      <c r="AB18" s="41" t="n">
        <v>75</v>
      </c>
      <c r="AC18" s="41" t="n">
        <v>66.7</v>
      </c>
      <c r="AD18" s="41" t="n">
        <v>75</v>
      </c>
      <c r="AE18" s="41" t="n">
        <v>100</v>
      </c>
      <c r="AF18" s="41" t="n">
        <v>75</v>
      </c>
      <c r="AG18" s="41" t="n">
        <v>25</v>
      </c>
      <c r="AH18" s="41" t="n">
        <v>75</v>
      </c>
      <c r="AI18" s="41" t="n">
        <v>75</v>
      </c>
      <c r="AJ18" s="41" t="n">
        <v>25</v>
      </c>
      <c r="AK18" s="41" t="n">
        <v>75</v>
      </c>
      <c r="AL18" s="41" t="n">
        <v>75</v>
      </c>
      <c r="AM18" s="41" t="n">
        <v>75</v>
      </c>
      <c r="AN18" s="41" t="n">
        <v>25</v>
      </c>
      <c r="AO18" s="41" t="n">
        <v>75</v>
      </c>
      <c r="AP18" s="41" t="n">
        <v>75</v>
      </c>
      <c r="AQ18" s="41" t="n">
        <v>25</v>
      </c>
      <c r="AR18" s="41" t="n">
        <v>25</v>
      </c>
      <c r="AS18" s="41" t="n">
        <v>75</v>
      </c>
      <c r="AT18" s="41" t="n">
        <v>75</v>
      </c>
      <c r="AU18" s="41" t="n">
        <v>25</v>
      </c>
      <c r="AV18" s="41" t="n">
        <v>75</v>
      </c>
      <c r="AW18" s="41" t="n">
        <v>75</v>
      </c>
      <c r="AX18" s="41" t="n">
        <v>25</v>
      </c>
      <c r="AY18" s="41" t="n">
        <v>100</v>
      </c>
    </row>
    <row r="19" customFormat="false" ht="15" hidden="false" customHeight="true" outlineLevel="0" collapsed="false">
      <c r="A19" s="33" t="s">
        <v>205</v>
      </c>
      <c r="B19" s="33" t="s">
        <v>183</v>
      </c>
      <c r="C19" s="33" t="s">
        <v>199</v>
      </c>
      <c r="D19" s="40" t="s">
        <v>64</v>
      </c>
      <c r="E19" s="33" t="s">
        <v>79</v>
      </c>
      <c r="F19" s="33" t="s">
        <v>74</v>
      </c>
      <c r="G19" s="33" t="s">
        <v>71</v>
      </c>
      <c r="H19" s="40" t="n">
        <v>9</v>
      </c>
      <c r="I19" s="41" t="n">
        <v>100</v>
      </c>
      <c r="J19" s="41" t="n">
        <v>100</v>
      </c>
      <c r="K19" s="41" t="n">
        <v>75</v>
      </c>
      <c r="L19" s="41" t="n">
        <v>100</v>
      </c>
      <c r="M19" s="41" t="n">
        <v>100</v>
      </c>
      <c r="N19" s="41" t="n">
        <v>100</v>
      </c>
      <c r="O19" s="41" t="n">
        <v>75</v>
      </c>
      <c r="P19" s="41" t="n">
        <v>100</v>
      </c>
      <c r="Q19" s="41" t="n">
        <v>100</v>
      </c>
      <c r="R19" s="41" t="n">
        <v>100</v>
      </c>
      <c r="S19" s="41" t="n">
        <v>100</v>
      </c>
      <c r="T19" s="41" t="n">
        <v>75</v>
      </c>
      <c r="U19" s="41" t="n">
        <v>100</v>
      </c>
      <c r="V19" s="41" t="n">
        <v>100</v>
      </c>
      <c r="W19" s="41" t="n">
        <v>100</v>
      </c>
      <c r="X19" s="41" t="n">
        <v>100</v>
      </c>
      <c r="Y19" s="41" t="n">
        <v>25</v>
      </c>
      <c r="Z19" s="41" t="n">
        <v>75</v>
      </c>
      <c r="AA19" s="41" t="n">
        <v>75</v>
      </c>
      <c r="AB19" s="41" t="n">
        <v>100</v>
      </c>
      <c r="AC19" s="41" t="n">
        <v>33.3</v>
      </c>
      <c r="AD19" s="41" t="n">
        <v>50</v>
      </c>
      <c r="AE19" s="41" t="n">
        <v>100</v>
      </c>
      <c r="AF19" s="41" t="n">
        <v>25</v>
      </c>
      <c r="AG19" s="41" t="n">
        <v>50</v>
      </c>
      <c r="AH19" s="41" t="n">
        <v>50</v>
      </c>
      <c r="AI19" s="41" t="n">
        <v>50</v>
      </c>
      <c r="AJ19" s="41" t="n">
        <v>50</v>
      </c>
      <c r="AK19" s="41" t="n">
        <v>100</v>
      </c>
      <c r="AL19" s="41" t="n">
        <v>50</v>
      </c>
      <c r="AM19" s="41" t="n">
        <v>50</v>
      </c>
      <c r="AN19" s="41" t="n">
        <v>50</v>
      </c>
      <c r="AO19" s="41" t="n">
        <v>50</v>
      </c>
      <c r="AP19" s="41" t="n">
        <v>75</v>
      </c>
      <c r="AQ19" s="41" t="n">
        <v>75</v>
      </c>
      <c r="AR19" s="41" t="n">
        <v>75</v>
      </c>
      <c r="AS19" s="41" t="n">
        <v>100</v>
      </c>
      <c r="AT19" s="41" t="n">
        <v>100</v>
      </c>
      <c r="AU19" s="41" t="n">
        <v>100</v>
      </c>
      <c r="AV19" s="41" t="n">
        <v>100</v>
      </c>
      <c r="AW19" s="41" t="n">
        <v>75</v>
      </c>
      <c r="AX19" s="41" t="n">
        <v>50</v>
      </c>
      <c r="AY19" s="41" t="n">
        <v>100</v>
      </c>
    </row>
    <row r="20" customFormat="false" ht="15" hidden="false" customHeight="true" outlineLevel="0" collapsed="false">
      <c r="A20" s="33" t="s">
        <v>206</v>
      </c>
      <c r="B20" s="33" t="s">
        <v>207</v>
      </c>
      <c r="C20" s="33" t="s">
        <v>208</v>
      </c>
      <c r="D20" s="40" t="s">
        <v>66</v>
      </c>
      <c r="E20" s="33" t="s">
        <v>79</v>
      </c>
      <c r="F20" s="33" t="s">
        <v>75</v>
      </c>
      <c r="G20" s="33" t="s">
        <v>70</v>
      </c>
      <c r="H20" s="40" t="n">
        <v>9</v>
      </c>
      <c r="I20" s="41" t="n">
        <v>100</v>
      </c>
      <c r="J20" s="41" t="n">
        <v>75</v>
      </c>
      <c r="K20" s="41" t="n">
        <v>100</v>
      </c>
      <c r="L20" s="41" t="n">
        <v>75</v>
      </c>
      <c r="M20" s="41" t="n">
        <v>100</v>
      </c>
      <c r="N20" s="41" t="n">
        <v>100</v>
      </c>
      <c r="O20" s="41" t="n">
        <v>75</v>
      </c>
      <c r="P20" s="41" t="n">
        <v>75</v>
      </c>
      <c r="Q20" s="41" t="n">
        <v>75</v>
      </c>
      <c r="R20" s="41" t="n">
        <v>75</v>
      </c>
      <c r="S20" s="41" t="n">
        <v>75</v>
      </c>
      <c r="T20" s="41" t="n">
        <v>100</v>
      </c>
      <c r="U20" s="41" t="n">
        <v>100</v>
      </c>
      <c r="V20" s="41" t="n">
        <v>75</v>
      </c>
      <c r="W20" s="41" t="n">
        <v>66.7</v>
      </c>
      <c r="X20" s="41" t="n">
        <v>100</v>
      </c>
      <c r="Y20" s="41" t="n">
        <v>75</v>
      </c>
      <c r="Z20" s="41" t="n">
        <v>75</v>
      </c>
      <c r="AA20" s="41" t="n">
        <v>100</v>
      </c>
      <c r="AB20" s="41" t="n">
        <v>75</v>
      </c>
      <c r="AC20" s="41" t="n">
        <v>100</v>
      </c>
      <c r="AD20" s="41" t="n">
        <v>100</v>
      </c>
      <c r="AE20" s="41" t="n">
        <v>100</v>
      </c>
      <c r="AF20" s="41" t="n">
        <v>100</v>
      </c>
      <c r="AG20" s="41" t="n">
        <v>75</v>
      </c>
      <c r="AH20" s="41" t="n">
        <v>100</v>
      </c>
      <c r="AI20" s="41" t="n">
        <v>100</v>
      </c>
      <c r="AJ20" s="41" t="n">
        <v>100</v>
      </c>
      <c r="AK20" s="41" t="n">
        <v>75</v>
      </c>
      <c r="AL20" s="41" t="n">
        <v>100</v>
      </c>
      <c r="AM20" s="41" t="n">
        <v>75</v>
      </c>
      <c r="AN20" s="41" t="n">
        <v>75</v>
      </c>
      <c r="AO20" s="41" t="n">
        <v>100</v>
      </c>
      <c r="AP20" s="41" t="n">
        <v>100</v>
      </c>
      <c r="AQ20" s="41" t="n">
        <v>75</v>
      </c>
      <c r="AR20" s="41" t="n">
        <v>75</v>
      </c>
      <c r="AS20" s="41" t="n">
        <v>75</v>
      </c>
      <c r="AT20" s="41" t="n">
        <v>100</v>
      </c>
      <c r="AU20" s="41" t="n">
        <v>75</v>
      </c>
      <c r="AV20" s="41" t="n">
        <v>100</v>
      </c>
      <c r="AW20" s="41" t="n">
        <v>75</v>
      </c>
      <c r="AX20" s="41" t="n">
        <v>75</v>
      </c>
      <c r="AY20" s="41" t="n">
        <v>100</v>
      </c>
    </row>
    <row r="21" customFormat="false" ht="15" hidden="false" customHeight="true" outlineLevel="0" collapsed="false">
      <c r="A21" s="33" t="s">
        <v>209</v>
      </c>
      <c r="B21" s="33" t="s">
        <v>83</v>
      </c>
      <c r="C21" s="33" t="s">
        <v>178</v>
      </c>
      <c r="D21" s="40" t="s">
        <v>64</v>
      </c>
      <c r="E21" s="33" t="s">
        <v>79</v>
      </c>
      <c r="F21" s="33" t="s">
        <v>74</v>
      </c>
      <c r="G21" s="33" t="s">
        <v>69</v>
      </c>
      <c r="H21" s="40" t="n">
        <v>9</v>
      </c>
      <c r="I21" s="41" t="n">
        <v>100</v>
      </c>
      <c r="J21" s="41" t="n">
        <v>100</v>
      </c>
      <c r="K21" s="41" t="n">
        <v>25</v>
      </c>
      <c r="L21" s="41" t="n">
        <v>100</v>
      </c>
      <c r="M21" s="41" t="n">
        <v>100</v>
      </c>
      <c r="N21" s="41" t="n">
        <v>50</v>
      </c>
      <c r="O21" s="41" t="n">
        <v>100</v>
      </c>
      <c r="P21" s="41" t="n">
        <v>50</v>
      </c>
      <c r="Q21" s="41" t="n">
        <v>100</v>
      </c>
      <c r="R21" s="41" t="n">
        <v>100</v>
      </c>
      <c r="S21" s="41" t="n">
        <v>100</v>
      </c>
      <c r="T21" s="41" t="n">
        <v>100</v>
      </c>
      <c r="U21" s="41" t="n">
        <v>25</v>
      </c>
      <c r="V21" s="41" t="n">
        <v>100</v>
      </c>
      <c r="W21" s="41" t="n">
        <v>33.3</v>
      </c>
      <c r="X21" s="41" t="n">
        <v>100</v>
      </c>
      <c r="Y21" s="41" t="n">
        <v>100</v>
      </c>
      <c r="Z21" s="41" t="n">
        <v>25</v>
      </c>
      <c r="AA21" s="41" t="n">
        <v>100</v>
      </c>
      <c r="AB21" s="41" t="n">
        <v>100</v>
      </c>
      <c r="AC21" s="41" t="n">
        <v>0</v>
      </c>
      <c r="AD21" s="41" t="n">
        <v>100</v>
      </c>
      <c r="AE21" s="41" t="n">
        <v>100</v>
      </c>
      <c r="AF21" s="41" t="n">
        <v>50</v>
      </c>
      <c r="AG21" s="41" t="n">
        <v>0</v>
      </c>
      <c r="AH21" s="41" t="n">
        <v>100</v>
      </c>
      <c r="AI21" s="41" t="n">
        <v>100</v>
      </c>
      <c r="AJ21" s="41" t="n">
        <v>100</v>
      </c>
      <c r="AK21" s="41" t="n">
        <v>50</v>
      </c>
      <c r="AL21" s="41" t="n">
        <v>100</v>
      </c>
      <c r="AM21" s="41" t="n">
        <v>75</v>
      </c>
      <c r="AN21" s="41" t="n">
        <v>75</v>
      </c>
      <c r="AO21" s="41" t="n">
        <v>100</v>
      </c>
      <c r="AP21" s="41" t="n">
        <v>100</v>
      </c>
      <c r="AQ21" s="41" t="n">
        <v>100</v>
      </c>
      <c r="AR21" s="41" t="n">
        <v>100</v>
      </c>
      <c r="AS21" s="41" t="n">
        <v>100</v>
      </c>
      <c r="AT21" s="41" t="n">
        <v>100</v>
      </c>
      <c r="AU21" s="41" t="n">
        <v>100</v>
      </c>
      <c r="AV21" s="41" t="n">
        <v>100</v>
      </c>
      <c r="AW21" s="41" t="n">
        <v>50</v>
      </c>
      <c r="AX21" s="41" t="n">
        <v>0</v>
      </c>
      <c r="AY21" s="41" t="n">
        <v>100</v>
      </c>
    </row>
    <row r="22" customFormat="false" ht="15" hidden="false" customHeight="true" outlineLevel="0" collapsed="false">
      <c r="A22" s="33" t="s">
        <v>210</v>
      </c>
      <c r="B22" s="33" t="s">
        <v>177</v>
      </c>
      <c r="C22" s="33" t="s">
        <v>181</v>
      </c>
      <c r="D22" s="40" t="s">
        <v>66</v>
      </c>
      <c r="E22" s="33" t="s">
        <v>77</v>
      </c>
      <c r="F22" s="33" t="s">
        <v>74</v>
      </c>
      <c r="G22" s="33" t="s">
        <v>69</v>
      </c>
      <c r="H22" s="40" t="n">
        <v>9</v>
      </c>
      <c r="I22" s="41" t="n">
        <v>100</v>
      </c>
      <c r="J22" s="41" t="n">
        <v>75</v>
      </c>
      <c r="K22" s="41" t="n">
        <v>50</v>
      </c>
      <c r="L22" s="41" t="n">
        <v>100</v>
      </c>
      <c r="M22" s="41" t="n">
        <v>100</v>
      </c>
      <c r="N22" s="41" t="n">
        <v>100</v>
      </c>
      <c r="O22" s="41" t="n">
        <v>100</v>
      </c>
      <c r="P22" s="41" t="n">
        <v>75</v>
      </c>
      <c r="Q22" s="41" t="n">
        <v>100</v>
      </c>
      <c r="R22" s="41" t="n">
        <v>100</v>
      </c>
      <c r="S22" s="41" t="n">
        <v>100</v>
      </c>
      <c r="T22" s="41" t="n">
        <v>75</v>
      </c>
      <c r="U22" s="41" t="n">
        <v>25</v>
      </c>
      <c r="V22" s="41" t="n">
        <v>100</v>
      </c>
      <c r="W22" s="41" t="n">
        <v>66.7</v>
      </c>
      <c r="X22" s="41" t="n">
        <v>100</v>
      </c>
      <c r="Y22" s="41" t="n">
        <v>100</v>
      </c>
      <c r="Z22" s="41" t="n">
        <v>100</v>
      </c>
      <c r="AA22" s="41" t="n">
        <v>75</v>
      </c>
      <c r="AB22" s="41" t="n">
        <v>25</v>
      </c>
      <c r="AC22" s="41" t="n">
        <v>0</v>
      </c>
      <c r="AD22" s="41" t="n">
        <v>75</v>
      </c>
      <c r="AE22" s="41" t="n">
        <v>100</v>
      </c>
      <c r="AF22" s="41" t="n">
        <v>100</v>
      </c>
      <c r="AG22" s="41" t="n">
        <v>100</v>
      </c>
      <c r="AH22" s="41" t="n">
        <v>100</v>
      </c>
      <c r="AI22" s="41" t="n">
        <v>100</v>
      </c>
      <c r="AJ22" s="41" t="n">
        <v>100</v>
      </c>
      <c r="AK22" s="41" t="n">
        <v>100</v>
      </c>
      <c r="AL22" s="41" t="n">
        <v>100</v>
      </c>
      <c r="AM22" s="41" t="n">
        <v>75</v>
      </c>
      <c r="AN22" s="41" t="n">
        <v>50</v>
      </c>
      <c r="AO22" s="41" t="n">
        <v>100</v>
      </c>
      <c r="AP22" s="41" t="n">
        <v>100</v>
      </c>
      <c r="AQ22" s="41" t="n">
        <v>0</v>
      </c>
      <c r="AR22" s="41" t="n">
        <v>75</v>
      </c>
      <c r="AS22" s="41" t="n">
        <v>100</v>
      </c>
      <c r="AT22" s="41" t="n">
        <v>75</v>
      </c>
      <c r="AU22" s="41" t="n">
        <v>75</v>
      </c>
      <c r="AV22" s="41" t="n">
        <v>100</v>
      </c>
      <c r="AW22" s="41" t="n">
        <v>75</v>
      </c>
      <c r="AX22" s="41" t="n">
        <v>50</v>
      </c>
      <c r="AY22" s="41" t="n">
        <v>100</v>
      </c>
    </row>
    <row r="23" customFormat="false" ht="15" hidden="false" customHeight="true" outlineLevel="0" collapsed="false">
      <c r="A23" s="33" t="s">
        <v>211</v>
      </c>
      <c r="B23" s="33" t="s">
        <v>83</v>
      </c>
      <c r="C23" s="33" t="s">
        <v>199</v>
      </c>
      <c r="D23" s="40" t="s">
        <v>64</v>
      </c>
      <c r="E23" s="33" t="s">
        <v>79</v>
      </c>
      <c r="F23" s="33" t="s">
        <v>74</v>
      </c>
      <c r="G23" s="33" t="s">
        <v>68</v>
      </c>
      <c r="H23" s="40" t="n">
        <v>7</v>
      </c>
      <c r="I23" s="41" t="n">
        <v>75</v>
      </c>
      <c r="J23" s="41" t="n">
        <v>100</v>
      </c>
      <c r="K23" s="41" t="n">
        <v>75</v>
      </c>
      <c r="L23" s="41" t="n">
        <v>100</v>
      </c>
      <c r="M23" s="41" t="n">
        <v>100</v>
      </c>
      <c r="N23" s="41" t="n">
        <v>25</v>
      </c>
      <c r="O23" s="41" t="n">
        <v>100</v>
      </c>
      <c r="P23" s="41" t="n">
        <v>75</v>
      </c>
      <c r="Q23" s="41" t="n">
        <v>75</v>
      </c>
      <c r="R23" s="41" t="n">
        <v>50</v>
      </c>
      <c r="S23" s="41" t="n">
        <v>100</v>
      </c>
      <c r="T23" s="41" t="n">
        <v>75</v>
      </c>
      <c r="U23" s="41" t="n">
        <v>75</v>
      </c>
      <c r="V23" s="41" t="n">
        <v>50</v>
      </c>
      <c r="W23" s="41" t="n">
        <v>100</v>
      </c>
      <c r="X23" s="41" t="n">
        <v>100</v>
      </c>
      <c r="Y23" s="41" t="n">
        <v>100</v>
      </c>
      <c r="Z23" s="41" t="n">
        <v>75</v>
      </c>
      <c r="AA23" s="41" t="n">
        <v>25</v>
      </c>
      <c r="AB23" s="41" t="n">
        <v>0</v>
      </c>
      <c r="AC23" s="41" t="n">
        <v>66.7</v>
      </c>
      <c r="AD23" s="41" t="n">
        <v>100</v>
      </c>
      <c r="AE23" s="41" t="n">
        <v>75</v>
      </c>
      <c r="AF23" s="41" t="n">
        <v>75</v>
      </c>
      <c r="AG23" s="41" t="n">
        <v>50</v>
      </c>
      <c r="AH23" s="41" t="n">
        <v>75</v>
      </c>
      <c r="AI23" s="41" t="n">
        <v>0</v>
      </c>
      <c r="AJ23" s="41" t="n">
        <v>50</v>
      </c>
      <c r="AK23" s="41" t="n">
        <v>100</v>
      </c>
      <c r="AL23" s="41" t="n">
        <v>75</v>
      </c>
      <c r="AM23" s="41" t="n">
        <v>50</v>
      </c>
      <c r="AN23" s="41" t="n">
        <v>50</v>
      </c>
      <c r="AO23" s="41" t="n">
        <v>25</v>
      </c>
      <c r="AP23" s="41" t="n">
        <v>75</v>
      </c>
      <c r="AQ23" s="41" t="n">
        <v>50</v>
      </c>
      <c r="AR23" s="41" t="n">
        <v>50</v>
      </c>
      <c r="AS23" s="41" t="n">
        <v>75</v>
      </c>
      <c r="AT23" s="41" t="n">
        <v>50</v>
      </c>
      <c r="AU23" s="41" t="n">
        <v>50</v>
      </c>
      <c r="AV23" s="41" t="n">
        <v>50</v>
      </c>
      <c r="AW23" s="41" t="n">
        <v>75</v>
      </c>
      <c r="AX23" s="41" t="n">
        <v>0</v>
      </c>
      <c r="AY23" s="41" t="n">
        <v>100</v>
      </c>
    </row>
    <row r="24" customFormat="false" ht="15" hidden="false" customHeight="true" outlineLevel="0" collapsed="false">
      <c r="A24" s="33" t="s">
        <v>212</v>
      </c>
      <c r="B24" s="33" t="s">
        <v>180</v>
      </c>
      <c r="C24" s="33" t="s">
        <v>213</v>
      </c>
      <c r="D24" s="40" t="s">
        <v>66</v>
      </c>
      <c r="E24" s="33" t="s">
        <v>79</v>
      </c>
      <c r="F24" s="33" t="s">
        <v>73</v>
      </c>
      <c r="G24" s="33" t="s">
        <v>70</v>
      </c>
      <c r="H24" s="40" t="n">
        <v>7</v>
      </c>
      <c r="I24" s="41" t="n">
        <v>100</v>
      </c>
      <c r="J24" s="41" t="n">
        <v>100</v>
      </c>
      <c r="K24" s="41" t="n">
        <v>100</v>
      </c>
      <c r="L24" s="41" t="n">
        <v>100</v>
      </c>
      <c r="M24" s="41" t="n">
        <v>100</v>
      </c>
      <c r="N24" s="41" t="n">
        <v>100</v>
      </c>
      <c r="O24" s="41" t="n">
        <v>100</v>
      </c>
      <c r="P24" s="41" t="n">
        <v>100</v>
      </c>
      <c r="Q24" s="41" t="n">
        <v>100</v>
      </c>
      <c r="R24" s="41" t="n">
        <v>100</v>
      </c>
      <c r="S24" s="41" t="n">
        <v>100</v>
      </c>
      <c r="T24" s="41" t="n">
        <v>100</v>
      </c>
      <c r="U24" s="41" t="n">
        <v>100</v>
      </c>
      <c r="V24" s="41" t="n">
        <v>100</v>
      </c>
      <c r="W24" s="41" t="n">
        <v>100</v>
      </c>
      <c r="X24" s="41" t="n">
        <v>100</v>
      </c>
      <c r="Y24" s="41" t="n">
        <v>100</v>
      </c>
      <c r="Z24" s="41" t="n">
        <v>100</v>
      </c>
      <c r="AA24" s="41" t="n">
        <v>100</v>
      </c>
      <c r="AB24" s="41" t="n">
        <v>100</v>
      </c>
      <c r="AC24" s="41" t="n">
        <v>66.7</v>
      </c>
      <c r="AD24" s="41" t="n">
        <v>100</v>
      </c>
      <c r="AE24" s="41" t="n">
        <v>100</v>
      </c>
      <c r="AF24" s="41" t="n">
        <v>100</v>
      </c>
      <c r="AG24" s="41" t="n">
        <v>100</v>
      </c>
      <c r="AH24" s="41" t="n">
        <v>100</v>
      </c>
      <c r="AI24" s="41" t="n">
        <v>100</v>
      </c>
      <c r="AJ24" s="41" t="n">
        <v>100</v>
      </c>
      <c r="AK24" s="41" t="n">
        <v>100</v>
      </c>
      <c r="AL24" s="41" t="n">
        <v>100</v>
      </c>
      <c r="AM24" s="41" t="n">
        <v>100</v>
      </c>
      <c r="AN24" s="41" t="n">
        <v>100</v>
      </c>
      <c r="AO24" s="41" t="n">
        <v>100</v>
      </c>
      <c r="AP24" s="41" t="n">
        <v>100</v>
      </c>
      <c r="AQ24" s="41" t="n">
        <v>100</v>
      </c>
      <c r="AR24" s="41" t="n">
        <v>100</v>
      </c>
      <c r="AS24" s="41" t="n">
        <v>100</v>
      </c>
      <c r="AT24" s="41" t="n">
        <v>100</v>
      </c>
      <c r="AU24" s="41" t="n">
        <v>100</v>
      </c>
      <c r="AV24" s="41" t="n">
        <v>100</v>
      </c>
      <c r="AW24" s="41" t="n">
        <v>100</v>
      </c>
      <c r="AX24" s="41" t="n">
        <v>100</v>
      </c>
      <c r="AY24" s="41" t="n">
        <v>100</v>
      </c>
    </row>
    <row r="25" customFormat="false" ht="15" hidden="false" customHeight="true" outlineLevel="0" collapsed="false">
      <c r="A25" s="33" t="s">
        <v>214</v>
      </c>
      <c r="B25" s="33" t="s">
        <v>83</v>
      </c>
      <c r="C25" s="33" t="s">
        <v>208</v>
      </c>
      <c r="D25" s="40" t="s">
        <v>66</v>
      </c>
      <c r="E25" s="33" t="s">
        <v>78</v>
      </c>
      <c r="F25" s="33" t="s">
        <v>74</v>
      </c>
      <c r="G25" s="33" t="s">
        <v>70</v>
      </c>
      <c r="H25" s="40" t="n">
        <v>9</v>
      </c>
      <c r="I25" s="41" t="n">
        <v>75</v>
      </c>
      <c r="J25" s="41" t="n">
        <v>100</v>
      </c>
      <c r="K25" s="41" t="n">
        <v>75</v>
      </c>
      <c r="L25" s="41" t="n">
        <v>100</v>
      </c>
      <c r="M25" s="41" t="n">
        <v>100</v>
      </c>
      <c r="N25" s="41" t="n">
        <v>100</v>
      </c>
      <c r="O25" s="41" t="n">
        <v>50</v>
      </c>
      <c r="P25" s="41" t="n">
        <v>50</v>
      </c>
      <c r="Q25" s="41" t="n">
        <v>50</v>
      </c>
      <c r="R25" s="41" t="n">
        <v>100</v>
      </c>
      <c r="S25" s="41" t="n">
        <v>75</v>
      </c>
      <c r="T25" s="41" t="n">
        <v>100</v>
      </c>
      <c r="U25" s="41" t="n">
        <v>100</v>
      </c>
      <c r="V25" s="41" t="n">
        <v>75</v>
      </c>
      <c r="W25" s="41" t="n">
        <v>100</v>
      </c>
      <c r="X25" s="41" t="n">
        <v>100</v>
      </c>
      <c r="Y25" s="41" t="n">
        <v>100</v>
      </c>
      <c r="Z25" s="41" t="n">
        <v>100</v>
      </c>
      <c r="AA25" s="41" t="n">
        <v>100</v>
      </c>
      <c r="AB25" s="41" t="n">
        <v>75</v>
      </c>
      <c r="AC25" s="41" t="n">
        <v>33.3</v>
      </c>
      <c r="AD25" s="41" t="n">
        <v>100</v>
      </c>
      <c r="AE25" s="41" t="n">
        <v>100</v>
      </c>
      <c r="AF25" s="41" t="n">
        <v>75</v>
      </c>
      <c r="AG25" s="41" t="n">
        <v>50</v>
      </c>
      <c r="AH25" s="41" t="n">
        <v>100</v>
      </c>
      <c r="AI25" s="41" t="n">
        <v>50</v>
      </c>
      <c r="AJ25" s="41" t="n">
        <v>100</v>
      </c>
      <c r="AK25" s="41" t="n">
        <v>75</v>
      </c>
      <c r="AL25" s="41" t="n">
        <v>50</v>
      </c>
      <c r="AM25" s="41" t="n">
        <v>75</v>
      </c>
      <c r="AN25" s="41" t="n">
        <v>100</v>
      </c>
      <c r="AO25" s="41" t="n">
        <v>100</v>
      </c>
      <c r="AP25" s="41" t="n">
        <v>75</v>
      </c>
      <c r="AQ25" s="41" t="n">
        <v>75</v>
      </c>
      <c r="AR25" s="41" t="n">
        <v>75</v>
      </c>
      <c r="AS25" s="41" t="n">
        <v>75</v>
      </c>
      <c r="AT25" s="41" t="n">
        <v>75</v>
      </c>
      <c r="AU25" s="41" t="n">
        <v>75</v>
      </c>
      <c r="AV25" s="41" t="n">
        <v>75</v>
      </c>
      <c r="AW25" s="41" t="n">
        <v>50</v>
      </c>
      <c r="AX25" s="41" t="n">
        <v>50</v>
      </c>
      <c r="AY25" s="41" t="n">
        <v>100</v>
      </c>
    </row>
    <row r="26" customFormat="false" ht="15" hidden="false" customHeight="true" outlineLevel="0" collapsed="false">
      <c r="A26" s="33" t="s">
        <v>215</v>
      </c>
      <c r="B26" s="33" t="s">
        <v>201</v>
      </c>
      <c r="C26" s="33" t="s">
        <v>192</v>
      </c>
      <c r="D26" s="40" t="s">
        <v>66</v>
      </c>
      <c r="E26" s="33" t="s">
        <v>78</v>
      </c>
      <c r="F26" s="33" t="s">
        <v>74</v>
      </c>
      <c r="G26" s="33" t="s">
        <v>70</v>
      </c>
      <c r="H26" s="40" t="n">
        <v>7</v>
      </c>
      <c r="I26" s="41" t="n">
        <v>75</v>
      </c>
      <c r="J26" s="41" t="n">
        <v>100</v>
      </c>
      <c r="K26" s="41" t="n">
        <v>75</v>
      </c>
      <c r="L26" s="41" t="n">
        <v>100</v>
      </c>
      <c r="M26" s="41" t="n">
        <v>100</v>
      </c>
      <c r="N26" s="41" t="n">
        <v>100</v>
      </c>
      <c r="O26" s="41" t="n">
        <v>100</v>
      </c>
      <c r="P26" s="41" t="n">
        <v>75</v>
      </c>
      <c r="Q26" s="41" t="n">
        <v>100</v>
      </c>
      <c r="R26" s="41" t="n">
        <v>50</v>
      </c>
      <c r="S26" s="41" t="n">
        <v>50</v>
      </c>
      <c r="T26" s="41" t="n">
        <v>75</v>
      </c>
      <c r="U26" s="41" t="n">
        <v>50</v>
      </c>
      <c r="V26" s="41" t="n">
        <v>50</v>
      </c>
      <c r="W26" s="41" t="n">
        <v>66.7</v>
      </c>
      <c r="X26" s="41" t="n">
        <v>100</v>
      </c>
      <c r="Y26" s="41" t="n">
        <v>75</v>
      </c>
      <c r="Z26" s="41" t="n">
        <v>75</v>
      </c>
      <c r="AA26" s="41" t="n">
        <v>50</v>
      </c>
      <c r="AB26" s="41" t="n">
        <v>75</v>
      </c>
      <c r="AC26" s="41" t="n">
        <v>66.7</v>
      </c>
      <c r="AD26" s="41" t="n">
        <v>25</v>
      </c>
      <c r="AE26" s="41" t="n">
        <v>25</v>
      </c>
      <c r="AF26" s="41" t="n">
        <v>0</v>
      </c>
      <c r="AG26" s="41" t="n">
        <v>50</v>
      </c>
      <c r="AH26" s="41" t="n">
        <v>75</v>
      </c>
      <c r="AI26" s="41" t="n">
        <v>0</v>
      </c>
      <c r="AJ26" s="41" t="n">
        <v>75</v>
      </c>
      <c r="AK26" s="41" t="n">
        <v>75</v>
      </c>
      <c r="AL26" s="41" t="n">
        <v>50</v>
      </c>
      <c r="AM26" s="41" t="n">
        <v>25</v>
      </c>
      <c r="AN26" s="41" t="n">
        <v>25</v>
      </c>
      <c r="AO26" s="41" t="n">
        <v>75</v>
      </c>
      <c r="AP26" s="41" t="n">
        <v>75</v>
      </c>
      <c r="AQ26" s="41" t="n">
        <v>25</v>
      </c>
      <c r="AR26" s="41" t="n">
        <v>75</v>
      </c>
      <c r="AS26" s="41" t="n">
        <v>75</v>
      </c>
      <c r="AT26" s="41" t="n">
        <v>50</v>
      </c>
      <c r="AU26" s="41" t="n">
        <v>25</v>
      </c>
      <c r="AV26" s="41" t="n">
        <v>100</v>
      </c>
      <c r="AW26" s="41" t="n">
        <v>75</v>
      </c>
      <c r="AX26" s="41" t="n">
        <v>25</v>
      </c>
      <c r="AY26" s="41" t="n">
        <v>100</v>
      </c>
    </row>
    <row r="27" customFormat="false" ht="15" hidden="false" customHeight="true" outlineLevel="0" collapsed="false">
      <c r="A27" s="33" t="s">
        <v>216</v>
      </c>
      <c r="B27" s="33" t="s">
        <v>177</v>
      </c>
      <c r="C27" s="33" t="s">
        <v>213</v>
      </c>
      <c r="D27" s="40" t="s">
        <v>65</v>
      </c>
      <c r="E27" s="33" t="s">
        <v>78</v>
      </c>
      <c r="F27" s="33" t="s">
        <v>75</v>
      </c>
      <c r="G27" s="33" t="s">
        <v>71</v>
      </c>
      <c r="H27" s="40" t="n">
        <v>9</v>
      </c>
      <c r="I27" s="41" t="n">
        <v>100</v>
      </c>
      <c r="J27" s="41" t="n">
        <v>100</v>
      </c>
      <c r="K27" s="41" t="n">
        <v>100</v>
      </c>
      <c r="L27" s="41" t="n">
        <v>100</v>
      </c>
      <c r="M27" s="41" t="n">
        <v>100</v>
      </c>
      <c r="N27" s="41" t="n">
        <v>100</v>
      </c>
      <c r="O27" s="41" t="n">
        <v>100</v>
      </c>
      <c r="P27" s="41" t="n">
        <v>100</v>
      </c>
      <c r="Q27" s="41" t="n">
        <v>100</v>
      </c>
      <c r="R27" s="41" t="n">
        <v>100</v>
      </c>
      <c r="S27" s="41" t="n">
        <v>100</v>
      </c>
      <c r="T27" s="41" t="n">
        <v>75</v>
      </c>
      <c r="U27" s="41" t="n">
        <v>100</v>
      </c>
      <c r="V27" s="41" t="n">
        <v>100</v>
      </c>
      <c r="W27" s="41" t="n">
        <v>100</v>
      </c>
      <c r="X27" s="41" t="n">
        <v>100</v>
      </c>
      <c r="Y27" s="41" t="n">
        <v>100</v>
      </c>
      <c r="Z27" s="41" t="n">
        <v>100</v>
      </c>
      <c r="AA27" s="41" t="n">
        <v>75</v>
      </c>
      <c r="AB27" s="41" t="n">
        <v>100</v>
      </c>
      <c r="AC27" s="41" t="n">
        <v>100</v>
      </c>
      <c r="AD27" s="41" t="n">
        <v>100</v>
      </c>
      <c r="AE27" s="41" t="n">
        <v>100</v>
      </c>
      <c r="AF27" s="41" t="n">
        <v>100</v>
      </c>
      <c r="AG27" s="41" t="n">
        <v>100</v>
      </c>
      <c r="AH27" s="41" t="n">
        <v>100</v>
      </c>
      <c r="AI27" s="41" t="n">
        <v>75</v>
      </c>
      <c r="AJ27" s="41" t="n">
        <v>100</v>
      </c>
      <c r="AK27" s="41" t="n">
        <v>100</v>
      </c>
      <c r="AL27" s="41" t="n">
        <v>100</v>
      </c>
      <c r="AM27" s="41" t="n">
        <v>100</v>
      </c>
      <c r="AN27" s="41" t="n">
        <v>100</v>
      </c>
      <c r="AO27" s="41" t="n">
        <v>100</v>
      </c>
      <c r="AP27" s="41" t="n">
        <v>100</v>
      </c>
      <c r="AQ27" s="41" t="n">
        <v>100</v>
      </c>
      <c r="AR27" s="41" t="n">
        <v>100</v>
      </c>
      <c r="AS27" s="41" t="n">
        <v>100</v>
      </c>
      <c r="AT27" s="41" t="n">
        <v>75</v>
      </c>
      <c r="AU27" s="41" t="n">
        <v>75</v>
      </c>
      <c r="AV27" s="41" t="n">
        <v>100</v>
      </c>
      <c r="AW27" s="41" t="n">
        <v>75</v>
      </c>
      <c r="AX27" s="41" t="n">
        <v>50</v>
      </c>
      <c r="AY27" s="41" t="n">
        <v>100</v>
      </c>
    </row>
    <row r="28" customFormat="false" ht="15" hidden="false" customHeight="true" outlineLevel="0" collapsed="false">
      <c r="A28" s="33" t="s">
        <v>217</v>
      </c>
      <c r="B28" s="33" t="s">
        <v>177</v>
      </c>
      <c r="C28" s="33" t="s">
        <v>181</v>
      </c>
      <c r="D28" s="40" t="s">
        <v>65</v>
      </c>
      <c r="E28" s="33" t="s">
        <v>78</v>
      </c>
      <c r="F28" s="33" t="s">
        <v>73</v>
      </c>
      <c r="G28" s="33" t="s">
        <v>68</v>
      </c>
      <c r="H28" s="40" t="n">
        <v>9</v>
      </c>
      <c r="I28" s="41" t="n">
        <v>100</v>
      </c>
      <c r="J28" s="41" t="n">
        <v>100</v>
      </c>
      <c r="K28" s="41" t="n">
        <v>25</v>
      </c>
      <c r="L28" s="41" t="n">
        <v>50</v>
      </c>
      <c r="M28" s="41" t="n">
        <v>100</v>
      </c>
      <c r="N28" s="41" t="n">
        <v>25</v>
      </c>
      <c r="O28" s="41" t="n">
        <v>50</v>
      </c>
      <c r="P28" s="41" t="n">
        <v>50</v>
      </c>
      <c r="Q28" s="41" t="n">
        <v>100</v>
      </c>
      <c r="R28" s="41" t="n">
        <v>50</v>
      </c>
      <c r="S28" s="41" t="n">
        <v>50</v>
      </c>
      <c r="T28" s="41" t="n">
        <v>75</v>
      </c>
      <c r="U28" s="41" t="n">
        <v>50</v>
      </c>
      <c r="V28" s="41" t="n">
        <v>50</v>
      </c>
      <c r="W28" s="41" t="n">
        <v>100</v>
      </c>
      <c r="X28" s="41" t="n">
        <v>50</v>
      </c>
      <c r="Y28" s="41" t="n">
        <v>50</v>
      </c>
      <c r="Z28" s="41" t="n">
        <v>50</v>
      </c>
      <c r="AA28" s="41" t="n">
        <v>50</v>
      </c>
      <c r="AB28" s="41" t="n">
        <v>0</v>
      </c>
      <c r="AC28" s="41" t="n">
        <v>0</v>
      </c>
      <c r="AD28" s="41" t="n">
        <v>100</v>
      </c>
      <c r="AE28" s="41" t="n">
        <v>50</v>
      </c>
      <c r="AF28" s="41" t="n">
        <v>50</v>
      </c>
      <c r="AG28" s="41" t="n">
        <v>50</v>
      </c>
      <c r="AH28" s="41" t="n">
        <v>75</v>
      </c>
      <c r="AI28" s="41" t="n">
        <v>0</v>
      </c>
      <c r="AJ28" s="41" t="n">
        <v>100</v>
      </c>
      <c r="AK28" s="41" t="n">
        <v>25</v>
      </c>
      <c r="AL28" s="41" t="n">
        <v>50</v>
      </c>
      <c r="AM28" s="41" t="n">
        <v>0</v>
      </c>
      <c r="AN28" s="41" t="n">
        <v>50</v>
      </c>
      <c r="AO28" s="41" t="n">
        <v>75</v>
      </c>
      <c r="AP28" s="41" t="n">
        <v>50</v>
      </c>
      <c r="AQ28" s="41" t="n">
        <v>0</v>
      </c>
      <c r="AR28" s="41" t="n">
        <v>75</v>
      </c>
      <c r="AS28" s="41" t="n">
        <v>75</v>
      </c>
      <c r="AT28" s="41" t="n">
        <v>25</v>
      </c>
      <c r="AU28" s="41" t="n">
        <v>50</v>
      </c>
      <c r="AV28" s="41" t="n">
        <v>75</v>
      </c>
      <c r="AW28" s="41" t="n">
        <v>50</v>
      </c>
      <c r="AX28" s="41" t="n">
        <v>0</v>
      </c>
      <c r="AY28" s="41" t="n">
        <v>50</v>
      </c>
    </row>
    <row r="29" customFormat="false" ht="15" hidden="false" customHeight="true" outlineLevel="0" collapsed="false">
      <c r="A29" s="33" t="s">
        <v>218</v>
      </c>
      <c r="B29" s="33" t="s">
        <v>201</v>
      </c>
      <c r="C29" s="33" t="s">
        <v>184</v>
      </c>
      <c r="D29" s="40" t="s">
        <v>65</v>
      </c>
      <c r="E29" s="33" t="s">
        <v>79</v>
      </c>
      <c r="F29" s="33" t="s">
        <v>75</v>
      </c>
      <c r="G29" s="33" t="s">
        <v>70</v>
      </c>
      <c r="H29" s="40" t="n">
        <v>9</v>
      </c>
      <c r="I29" s="41" t="n">
        <v>50</v>
      </c>
      <c r="J29" s="41" t="n">
        <v>100</v>
      </c>
      <c r="K29" s="41" t="n">
        <v>75</v>
      </c>
      <c r="L29" s="41" t="n">
        <v>100</v>
      </c>
      <c r="M29" s="41" t="n">
        <v>100</v>
      </c>
      <c r="N29" s="41" t="n">
        <v>50</v>
      </c>
      <c r="O29" s="41" t="n">
        <v>75</v>
      </c>
      <c r="P29" s="41" t="n">
        <v>50</v>
      </c>
      <c r="Q29" s="41" t="n">
        <v>75</v>
      </c>
      <c r="R29" s="41" t="n">
        <v>75</v>
      </c>
      <c r="S29" s="41" t="n">
        <v>100</v>
      </c>
      <c r="T29" s="41" t="n">
        <v>75</v>
      </c>
      <c r="U29" s="41" t="n">
        <v>75</v>
      </c>
      <c r="V29" s="41" t="n">
        <v>75</v>
      </c>
      <c r="W29" s="41" t="n">
        <v>100</v>
      </c>
      <c r="X29" s="41" t="n">
        <v>75</v>
      </c>
      <c r="Y29" s="41" t="n">
        <v>75</v>
      </c>
      <c r="Z29" s="41" t="n">
        <v>75</v>
      </c>
      <c r="AA29" s="41" t="n">
        <v>75</v>
      </c>
      <c r="AB29" s="41" t="n">
        <v>75</v>
      </c>
      <c r="AC29" s="41" t="n">
        <v>33.3</v>
      </c>
      <c r="AD29" s="41" t="n">
        <v>100</v>
      </c>
      <c r="AE29" s="41" t="n">
        <v>100</v>
      </c>
      <c r="AF29" s="41" t="n">
        <v>100</v>
      </c>
      <c r="AG29" s="41" t="n">
        <v>100</v>
      </c>
      <c r="AH29" s="41" t="n">
        <v>100</v>
      </c>
      <c r="AI29" s="41" t="n">
        <v>75</v>
      </c>
      <c r="AJ29" s="41" t="n">
        <v>75</v>
      </c>
      <c r="AK29" s="41" t="n">
        <v>75</v>
      </c>
      <c r="AL29" s="41" t="n">
        <v>75</v>
      </c>
      <c r="AM29" s="41" t="n">
        <v>100</v>
      </c>
      <c r="AN29" s="41" t="n">
        <v>50</v>
      </c>
      <c r="AO29" s="41" t="n">
        <v>50</v>
      </c>
      <c r="AP29" s="41" t="n">
        <v>100</v>
      </c>
      <c r="AQ29" s="41" t="n">
        <v>75</v>
      </c>
      <c r="AR29" s="41" t="n">
        <v>100</v>
      </c>
      <c r="AS29" s="41" t="n">
        <v>100</v>
      </c>
      <c r="AT29" s="41" t="n">
        <v>100</v>
      </c>
      <c r="AU29" s="41" t="n">
        <v>50</v>
      </c>
      <c r="AV29" s="41" t="n">
        <v>75</v>
      </c>
      <c r="AW29" s="41" t="n">
        <v>50</v>
      </c>
      <c r="AX29" s="41" t="n">
        <v>50</v>
      </c>
      <c r="AY29" s="41" t="n">
        <v>100</v>
      </c>
    </row>
  </sheetData>
  <conditionalFormatting sqref="I2:AY29">
    <cfRule type="colorScale" priority="2">
      <colorScale>
        <cfvo type="num" val="0"/>
        <cfvo type="num" val="50"/>
        <cfvo type="num" val="100"/>
        <color rgb="FFF4B7B7"/>
        <color rgb="FFFFE08A"/>
        <color rgb="FFC6E0B4"/>
      </colorScale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2"/>
    <col collapsed="false" customWidth="true" hidden="false" outlineLevel="0" max="3" min="3" style="1" width="32"/>
    <col collapsed="false" customWidth="true" hidden="false" outlineLevel="0" max="5" min="4" style="1" width="14"/>
    <col collapsed="false" customWidth="true" hidden="false" outlineLevel="0" max="7" min="6" style="1" width="12"/>
    <col collapsed="false" customWidth="true" hidden="false" outlineLevel="0" max="8" min="8" style="1" width="8"/>
  </cols>
  <sheetData>
    <row r="1" customFormat="false" ht="15.75" hidden="false" customHeight="true" outlineLevel="0" collapsed="false">
      <c r="A1" s="22" t="s">
        <v>219</v>
      </c>
    </row>
    <row r="2" customFormat="false" ht="15" hidden="false" customHeight="true" outlineLevel="0" collapsed="false">
      <c r="H2" s="35" t="n">
        <v>33</v>
      </c>
    </row>
    <row r="3" customFormat="false" ht="27.75" hidden="false" customHeight="true" outlineLevel="0" collapsed="false">
      <c r="A3" s="23" t="s">
        <v>220</v>
      </c>
      <c r="B3" s="23" t="s">
        <v>221</v>
      </c>
      <c r="C3" s="23" t="s">
        <v>222</v>
      </c>
      <c r="D3" s="23" t="s">
        <v>223</v>
      </c>
      <c r="E3" s="23" t="s">
        <v>224</v>
      </c>
      <c r="F3" s="23" t="s">
        <v>225</v>
      </c>
      <c r="G3" s="23" t="s">
        <v>226</v>
      </c>
    </row>
    <row r="4" customFormat="false" ht="15" hidden="false" customHeight="true" outlineLevel="0" collapsed="false">
      <c r="A4" s="33" t="s">
        <v>227</v>
      </c>
      <c r="B4" s="45" t="s">
        <v>228</v>
      </c>
      <c r="C4" s="33" t="s">
        <v>229</v>
      </c>
      <c r="D4" s="26" t="n">
        <v>25</v>
      </c>
      <c r="E4" s="26" t="n">
        <v>3</v>
      </c>
      <c r="F4" s="26" t="s">
        <v>230</v>
      </c>
      <c r="G4" s="26" t="s">
        <v>230</v>
      </c>
    </row>
    <row r="5" customFormat="false" ht="15" hidden="false" customHeight="true" outlineLevel="0" collapsed="false">
      <c r="A5" s="33" t="s">
        <v>231</v>
      </c>
      <c r="B5" s="45" t="s">
        <v>228</v>
      </c>
      <c r="C5" s="33" t="s">
        <v>232</v>
      </c>
      <c r="D5" s="26" t="n">
        <v>26</v>
      </c>
      <c r="E5" s="26" t="n">
        <v>4</v>
      </c>
      <c r="F5" s="26" t="s">
        <v>228</v>
      </c>
      <c r="G5" s="26" t="s">
        <v>228</v>
      </c>
    </row>
    <row r="6" customFormat="false" ht="15" hidden="false" customHeight="true" outlineLevel="0" collapsed="false">
      <c r="A6" s="33" t="s">
        <v>233</v>
      </c>
      <c r="B6" s="45" t="s">
        <v>228</v>
      </c>
      <c r="C6" s="33" t="s">
        <v>234</v>
      </c>
      <c r="D6" s="26" t="n">
        <v>25</v>
      </c>
      <c r="E6" s="26" t="n">
        <v>4</v>
      </c>
      <c r="F6" s="26" t="s">
        <v>230</v>
      </c>
      <c r="G6" s="26" t="s">
        <v>230</v>
      </c>
    </row>
    <row r="7" customFormat="false" ht="15" hidden="false" customHeight="true" outlineLevel="0" collapsed="false">
      <c r="A7" s="33" t="s">
        <v>235</v>
      </c>
      <c r="B7" s="45" t="s">
        <v>228</v>
      </c>
      <c r="C7" s="33" t="s">
        <v>236</v>
      </c>
      <c r="D7" s="26" t="n">
        <v>22</v>
      </c>
      <c r="E7" s="26" t="n">
        <v>5</v>
      </c>
      <c r="F7" s="26" t="s">
        <v>230</v>
      </c>
      <c r="G7" s="26" t="s">
        <v>230</v>
      </c>
    </row>
    <row r="8" customFormat="false" ht="15" hidden="false" customHeight="true" outlineLevel="0" collapsed="false">
      <c r="A8" s="33" t="s">
        <v>237</v>
      </c>
      <c r="B8" s="45" t="s">
        <v>228</v>
      </c>
      <c r="C8" s="33" t="s">
        <v>238</v>
      </c>
      <c r="D8" s="26" t="n">
        <v>23</v>
      </c>
      <c r="E8" s="26" t="n">
        <v>6</v>
      </c>
      <c r="F8" s="26" t="s">
        <v>228</v>
      </c>
      <c r="G8" s="26" t="s">
        <v>230</v>
      </c>
    </row>
    <row r="9" customFormat="false" ht="15" hidden="false" customHeight="true" outlineLevel="0" collapsed="false">
      <c r="A9" s="33" t="s">
        <v>239</v>
      </c>
      <c r="B9" s="45" t="s">
        <v>228</v>
      </c>
      <c r="C9" s="33" t="s">
        <v>240</v>
      </c>
      <c r="D9" s="26" t="n">
        <v>22</v>
      </c>
      <c r="E9" s="26" t="n">
        <v>4</v>
      </c>
      <c r="F9" s="26" t="s">
        <v>230</v>
      </c>
      <c r="G9" s="26" t="s">
        <v>230</v>
      </c>
    </row>
    <row r="10" customFormat="false" ht="15" hidden="false" customHeight="true" outlineLevel="0" collapsed="false">
      <c r="A10" s="33" t="s">
        <v>241</v>
      </c>
      <c r="B10" s="45" t="s">
        <v>228</v>
      </c>
      <c r="C10" s="33" t="s">
        <v>242</v>
      </c>
      <c r="D10" s="26" t="n">
        <v>22</v>
      </c>
      <c r="E10" s="26" t="n">
        <v>5</v>
      </c>
      <c r="F10" s="26" t="s">
        <v>230</v>
      </c>
      <c r="G10" s="26" t="s">
        <v>230</v>
      </c>
    </row>
    <row r="11" customFormat="false" ht="15" hidden="false" customHeight="true" outlineLevel="0" collapsed="false">
      <c r="A11" s="33" t="s">
        <v>243</v>
      </c>
      <c r="B11" s="45" t="s">
        <v>228</v>
      </c>
      <c r="C11" s="33" t="s">
        <v>198</v>
      </c>
      <c r="D11" s="26" t="n">
        <v>26</v>
      </c>
      <c r="E11" s="26" t="n">
        <v>4</v>
      </c>
      <c r="F11" s="26" t="s">
        <v>230</v>
      </c>
      <c r="G11" s="26" t="s">
        <v>230</v>
      </c>
    </row>
    <row r="12" customFormat="false" ht="15" hidden="false" customHeight="true" outlineLevel="0" collapsed="false">
      <c r="A12" s="33" t="s">
        <v>244</v>
      </c>
      <c r="B12" s="45" t="s">
        <v>228</v>
      </c>
      <c r="C12" s="33" t="s">
        <v>176</v>
      </c>
      <c r="D12" s="26" t="n">
        <v>25</v>
      </c>
      <c r="E12" s="26" t="n">
        <v>5</v>
      </c>
      <c r="F12" s="26" t="s">
        <v>228</v>
      </c>
      <c r="G12" s="26" t="s">
        <v>230</v>
      </c>
    </row>
    <row r="13" customFormat="false" ht="15" hidden="false" customHeight="true" outlineLevel="0" collapsed="false">
      <c r="A13" s="33" t="s">
        <v>245</v>
      </c>
      <c r="B13" s="45" t="s">
        <v>228</v>
      </c>
      <c r="C13" s="33" t="s">
        <v>246</v>
      </c>
      <c r="D13" s="26" t="n">
        <v>25</v>
      </c>
      <c r="E13" s="26" t="n">
        <v>4</v>
      </c>
      <c r="F13" s="26" t="s">
        <v>228</v>
      </c>
      <c r="G13" s="26" t="s">
        <v>230</v>
      </c>
    </row>
    <row r="14" customFormat="false" ht="15" hidden="false" customHeight="true" outlineLevel="0" collapsed="false">
      <c r="A14" s="33" t="s">
        <v>247</v>
      </c>
      <c r="B14" s="45" t="s">
        <v>228</v>
      </c>
      <c r="C14" s="33" t="s">
        <v>190</v>
      </c>
      <c r="D14" s="26" t="n">
        <v>24</v>
      </c>
      <c r="E14" s="26" t="n">
        <v>4</v>
      </c>
      <c r="F14" s="26" t="s">
        <v>230</v>
      </c>
      <c r="G14" s="26" t="s">
        <v>230</v>
      </c>
    </row>
    <row r="15" customFormat="false" ht="15" hidden="false" customHeight="true" outlineLevel="0" collapsed="false">
      <c r="A15" s="33" t="s">
        <v>248</v>
      </c>
      <c r="B15" s="45" t="s">
        <v>228</v>
      </c>
      <c r="C15" s="33" t="s">
        <v>209</v>
      </c>
      <c r="D15" s="26" t="n">
        <v>24</v>
      </c>
      <c r="E15" s="26" t="n">
        <v>3</v>
      </c>
      <c r="F15" s="26" t="s">
        <v>230</v>
      </c>
      <c r="G15" s="26" t="s">
        <v>230</v>
      </c>
    </row>
    <row r="16" customFormat="false" ht="15" hidden="false" customHeight="true" outlineLevel="0" collapsed="false">
      <c r="A16" s="33" t="s">
        <v>249</v>
      </c>
      <c r="B16" s="45" t="s">
        <v>228</v>
      </c>
      <c r="C16" s="33" t="s">
        <v>250</v>
      </c>
      <c r="D16" s="26" t="n">
        <v>24</v>
      </c>
      <c r="E16" s="26" t="n">
        <v>4</v>
      </c>
      <c r="F16" s="26" t="s">
        <v>228</v>
      </c>
      <c r="G16" s="26" t="s">
        <v>228</v>
      </c>
    </row>
    <row r="17" customFormat="false" ht="15" hidden="false" customHeight="true" outlineLevel="0" collapsed="false">
      <c r="A17" s="33" t="s">
        <v>251</v>
      </c>
      <c r="B17" s="45" t="s">
        <v>228</v>
      </c>
      <c r="C17" s="33" t="s">
        <v>202</v>
      </c>
      <c r="D17" s="26" t="n">
        <v>16</v>
      </c>
      <c r="E17" s="26" t="n">
        <v>5</v>
      </c>
      <c r="F17" s="26" t="s">
        <v>228</v>
      </c>
      <c r="G17" s="26" t="s">
        <v>228</v>
      </c>
    </row>
    <row r="18" customFormat="false" ht="15" hidden="false" customHeight="true" outlineLevel="0" collapsed="false">
      <c r="A18" s="33" t="s">
        <v>252</v>
      </c>
      <c r="B18" s="45" t="s">
        <v>228</v>
      </c>
      <c r="C18" s="33" t="s">
        <v>253</v>
      </c>
      <c r="D18" s="26" t="n">
        <v>23</v>
      </c>
      <c r="E18" s="26" t="n">
        <v>3</v>
      </c>
      <c r="F18" s="26" t="s">
        <v>230</v>
      </c>
      <c r="G18" s="26" t="s">
        <v>230</v>
      </c>
    </row>
    <row r="19" customFormat="false" ht="15" hidden="false" customHeight="true" outlineLevel="0" collapsed="false">
      <c r="A19" s="33" t="s">
        <v>254</v>
      </c>
      <c r="B19" s="45" t="s">
        <v>228</v>
      </c>
      <c r="C19" s="33" t="s">
        <v>255</v>
      </c>
      <c r="D19" s="26" t="n">
        <v>24</v>
      </c>
      <c r="E19" s="26" t="n">
        <v>4</v>
      </c>
      <c r="F19" s="26" t="s">
        <v>230</v>
      </c>
      <c r="G19" s="26" t="s">
        <v>230</v>
      </c>
    </row>
    <row r="20" customFormat="false" ht="15" hidden="false" customHeight="true" outlineLevel="0" collapsed="false">
      <c r="A20" s="33" t="s">
        <v>256</v>
      </c>
      <c r="B20" s="45" t="s">
        <v>228</v>
      </c>
      <c r="C20" s="33" t="s">
        <v>257</v>
      </c>
      <c r="D20" s="26" t="n">
        <v>23</v>
      </c>
      <c r="E20" s="26" t="n">
        <v>4</v>
      </c>
      <c r="F20" s="26" t="s">
        <v>228</v>
      </c>
      <c r="G20" s="26" t="s">
        <v>230</v>
      </c>
    </row>
    <row r="21" customFormat="false" ht="15" hidden="false" customHeight="true" outlineLevel="0" collapsed="false">
      <c r="A21" s="33" t="s">
        <v>258</v>
      </c>
      <c r="B21" s="45" t="s">
        <v>228</v>
      </c>
      <c r="C21" s="33" t="s">
        <v>206</v>
      </c>
      <c r="D21" s="26" t="n">
        <v>26</v>
      </c>
      <c r="E21" s="26" t="n">
        <v>3</v>
      </c>
      <c r="F21" s="26" t="s">
        <v>230</v>
      </c>
      <c r="G21" s="26" t="s">
        <v>230</v>
      </c>
    </row>
    <row r="22" customFormat="false" ht="15" hidden="false" customHeight="true" outlineLevel="0" collapsed="false">
      <c r="A22" s="33" t="s">
        <v>259</v>
      </c>
      <c r="B22" s="46" t="s">
        <v>260</v>
      </c>
      <c r="C22" s="33" t="s">
        <v>230</v>
      </c>
      <c r="D22" s="26" t="n">
        <v>22</v>
      </c>
      <c r="E22" s="26" t="n">
        <v>4</v>
      </c>
      <c r="F22" s="26" t="s">
        <v>230</v>
      </c>
      <c r="G22" s="26" t="s">
        <v>230</v>
      </c>
    </row>
    <row r="23" customFormat="false" ht="15" hidden="false" customHeight="true" outlineLevel="0" collapsed="false">
      <c r="A23" s="33" t="s">
        <v>261</v>
      </c>
      <c r="B23" s="46" t="s">
        <v>260</v>
      </c>
      <c r="C23" s="33" t="s">
        <v>230</v>
      </c>
      <c r="D23" s="26" t="n">
        <v>24</v>
      </c>
      <c r="E23" s="26" t="n">
        <v>4</v>
      </c>
      <c r="F23" s="26" t="s">
        <v>230</v>
      </c>
      <c r="G23" s="26" t="s">
        <v>230</v>
      </c>
    </row>
    <row r="24" customFormat="false" ht="15" hidden="false" customHeight="true" outlineLevel="0" collapsed="false">
      <c r="A24" s="33" t="s">
        <v>262</v>
      </c>
      <c r="B24" s="45" t="s">
        <v>228</v>
      </c>
      <c r="C24" s="33" t="s">
        <v>214</v>
      </c>
      <c r="D24" s="26" t="n">
        <v>23</v>
      </c>
      <c r="E24" s="26" t="n">
        <v>5</v>
      </c>
      <c r="F24" s="26" t="s">
        <v>230</v>
      </c>
      <c r="G24" s="26" t="s">
        <v>230</v>
      </c>
    </row>
    <row r="25" customFormat="false" ht="15" hidden="false" customHeight="true" outlineLevel="0" collapsed="false">
      <c r="A25" s="33" t="s">
        <v>263</v>
      </c>
      <c r="B25" s="46" t="s">
        <v>260</v>
      </c>
      <c r="C25" s="33" t="s">
        <v>230</v>
      </c>
      <c r="D25" s="26" t="n">
        <v>25</v>
      </c>
      <c r="E25" s="26" t="n">
        <v>4</v>
      </c>
      <c r="F25" s="26" t="s">
        <v>228</v>
      </c>
      <c r="G25" s="26" t="s">
        <v>230</v>
      </c>
    </row>
    <row r="26" customFormat="false" ht="15" hidden="false" customHeight="true" outlineLevel="0" collapsed="false">
      <c r="A26" s="33" t="s">
        <v>264</v>
      </c>
      <c r="B26" s="45" t="s">
        <v>228</v>
      </c>
      <c r="C26" s="33" t="s">
        <v>197</v>
      </c>
      <c r="D26" s="26" t="n">
        <v>28</v>
      </c>
      <c r="E26" s="26" t="n">
        <v>4</v>
      </c>
      <c r="F26" s="26" t="s">
        <v>228</v>
      </c>
      <c r="G26" s="26" t="s">
        <v>230</v>
      </c>
    </row>
    <row r="27" customFormat="false" ht="15" hidden="false" customHeight="true" outlineLevel="0" collapsed="false">
      <c r="A27" s="33" t="s">
        <v>265</v>
      </c>
      <c r="B27" s="45" t="s">
        <v>228</v>
      </c>
      <c r="C27" s="33" t="s">
        <v>266</v>
      </c>
      <c r="D27" s="26" t="n">
        <v>23</v>
      </c>
      <c r="E27" s="26" t="n">
        <v>4</v>
      </c>
      <c r="F27" s="26" t="s">
        <v>230</v>
      </c>
      <c r="G27" s="26" t="s">
        <v>230</v>
      </c>
    </row>
    <row r="28" customFormat="false" ht="15" hidden="false" customHeight="true" outlineLevel="0" collapsed="false">
      <c r="A28" s="33" t="s">
        <v>267</v>
      </c>
      <c r="B28" s="45" t="s">
        <v>228</v>
      </c>
      <c r="C28" s="33" t="s">
        <v>268</v>
      </c>
      <c r="D28" s="26" t="n">
        <v>25</v>
      </c>
      <c r="E28" s="26" t="n">
        <v>4</v>
      </c>
      <c r="F28" s="26" t="s">
        <v>230</v>
      </c>
      <c r="G28" s="26" t="s">
        <v>230</v>
      </c>
    </row>
    <row r="29" customFormat="false" ht="15" hidden="false" customHeight="true" outlineLevel="0" collapsed="false">
      <c r="A29" s="33" t="s">
        <v>269</v>
      </c>
      <c r="B29" s="46" t="s">
        <v>260</v>
      </c>
      <c r="C29" s="33" t="s">
        <v>230</v>
      </c>
      <c r="D29" s="26" t="n">
        <v>20</v>
      </c>
      <c r="E29" s="26" t="n">
        <v>7</v>
      </c>
      <c r="F29" s="26" t="s">
        <v>228</v>
      </c>
      <c r="G29" s="26" t="s">
        <v>228</v>
      </c>
    </row>
    <row r="30" customFormat="false" ht="15" hidden="false" customHeight="true" outlineLevel="0" collapsed="false">
      <c r="A30" s="33" t="s">
        <v>270</v>
      </c>
      <c r="B30" s="45" t="s">
        <v>228</v>
      </c>
      <c r="C30" s="33" t="s">
        <v>271</v>
      </c>
      <c r="D30" s="26" t="n">
        <v>27</v>
      </c>
      <c r="E30" s="26" t="n">
        <v>5</v>
      </c>
      <c r="F30" s="26" t="s">
        <v>228</v>
      </c>
      <c r="G30" s="26" t="s">
        <v>230</v>
      </c>
    </row>
    <row r="31" customFormat="false" ht="15" hidden="false" customHeight="true" outlineLevel="0" collapsed="false">
      <c r="A31" s="33" t="s">
        <v>272</v>
      </c>
      <c r="B31" s="45" t="s">
        <v>228</v>
      </c>
      <c r="C31" s="33" t="s">
        <v>273</v>
      </c>
      <c r="D31" s="26" t="n">
        <v>28</v>
      </c>
      <c r="E31" s="26" t="n">
        <v>2</v>
      </c>
      <c r="F31" s="26" t="s">
        <v>230</v>
      </c>
      <c r="G31" s="26" t="s">
        <v>230</v>
      </c>
    </row>
    <row r="32" customFormat="false" ht="15" hidden="false" customHeight="true" outlineLevel="0" collapsed="false">
      <c r="A32" s="33" t="s">
        <v>274</v>
      </c>
      <c r="B32" s="45" t="s">
        <v>228</v>
      </c>
      <c r="C32" s="33" t="s">
        <v>275</v>
      </c>
      <c r="D32" s="26" t="n">
        <v>24</v>
      </c>
      <c r="E32" s="26" t="n">
        <v>4</v>
      </c>
      <c r="F32" s="26" t="s">
        <v>230</v>
      </c>
      <c r="G32" s="26" t="s">
        <v>230</v>
      </c>
    </row>
    <row r="33" customFormat="false" ht="15" hidden="false" customHeight="true" outlineLevel="0" collapsed="false">
      <c r="A33" s="33" t="s">
        <v>276</v>
      </c>
      <c r="B33" s="45" t="s">
        <v>228</v>
      </c>
      <c r="C33" s="33" t="s">
        <v>218</v>
      </c>
      <c r="D33" s="26" t="n">
        <v>25</v>
      </c>
      <c r="E33" s="26" t="n">
        <v>3</v>
      </c>
      <c r="F33" s="26" t="s">
        <v>230</v>
      </c>
      <c r="G33" s="26" t="s">
        <v>228</v>
      </c>
    </row>
    <row r="34" customFormat="false" ht="15" hidden="false" customHeight="true" outlineLevel="0" collapsed="false">
      <c r="A34" s="33" t="s">
        <v>277</v>
      </c>
      <c r="B34" s="46" t="s">
        <v>260</v>
      </c>
      <c r="C34" s="33" t="s">
        <v>230</v>
      </c>
      <c r="D34" s="26" t="n">
        <v>25</v>
      </c>
      <c r="E34" s="26" t="n">
        <v>4</v>
      </c>
      <c r="F34" s="26" t="s">
        <v>230</v>
      </c>
      <c r="G34" s="26" t="s">
        <v>228</v>
      </c>
    </row>
    <row r="35" customFormat="false" ht="15" hidden="false" customHeight="true" outlineLevel="0" collapsed="false">
      <c r="A35" s="33" t="s">
        <v>278</v>
      </c>
      <c r="B35" s="45" t="s">
        <v>228</v>
      </c>
      <c r="C35" s="33" t="s">
        <v>210</v>
      </c>
      <c r="D35" s="26" t="s">
        <v>230</v>
      </c>
      <c r="E35" s="26" t="n">
        <v>1</v>
      </c>
      <c r="F35" s="26" t="s">
        <v>230</v>
      </c>
      <c r="G35" s="26" t="s">
        <v>228</v>
      </c>
    </row>
    <row r="36" customFormat="false" ht="15" hidden="false" customHeight="true" outlineLevel="0" collapsed="false">
      <c r="A36" s="33" t="s">
        <v>279</v>
      </c>
      <c r="B36" s="45" t="s">
        <v>228</v>
      </c>
      <c r="C36" s="33" t="s">
        <v>179</v>
      </c>
      <c r="D36" s="26" t="s">
        <v>230</v>
      </c>
      <c r="E36" s="26" t="n">
        <v>1</v>
      </c>
      <c r="F36" s="26" t="s">
        <v>230</v>
      </c>
      <c r="G36" s="26" t="s">
        <v>230</v>
      </c>
    </row>
    <row r="38" customFormat="false" ht="15" hidden="false" customHeight="true" outlineLevel="0" collapsed="false">
      <c r="A38" s="47" t="s">
        <v>280</v>
      </c>
    </row>
    <row r="39" customFormat="false" ht="15" hidden="false" customHeight="true" outlineLevel="0" collapsed="false">
      <c r="A39" s="48" t="s">
        <v>281</v>
      </c>
      <c r="B39" s="48"/>
      <c r="C39" s="48"/>
      <c r="D39" s="48"/>
      <c r="E39" s="48"/>
      <c r="F39" s="48"/>
      <c r="G39" s="48"/>
    </row>
    <row r="40" customFormat="false" ht="15" hidden="false" customHeight="true" outlineLevel="0" collapsed="false">
      <c r="A40" s="21" t="s">
        <v>282</v>
      </c>
    </row>
  </sheetData>
  <mergeCells count="1">
    <mergeCell ref="A39:G3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1" customFormat="false" ht="15.75" hidden="false" customHeight="true" outlineLevel="0" collapsed="false">
      <c r="B1" s="22" t="s">
        <v>283</v>
      </c>
    </row>
    <row r="3" customFormat="false" ht="18" hidden="false" customHeight="true" outlineLevel="0" collapsed="false">
      <c r="B3" s="49" t="s">
        <v>284</v>
      </c>
    </row>
    <row r="4" customFormat="false" ht="18" hidden="false" customHeight="true" outlineLevel="0" collapsed="false">
      <c r="B4" s="50" t="s">
        <v>285</v>
      </c>
    </row>
    <row r="5" customFormat="false" ht="30" hidden="false" customHeight="true" outlineLevel="0" collapsed="false">
      <c r="B5" s="50" t="s">
        <v>286</v>
      </c>
    </row>
    <row r="6" customFormat="false" ht="18" hidden="false" customHeight="true" outlineLevel="0" collapsed="false">
      <c r="B6" s="50" t="s">
        <v>287</v>
      </c>
    </row>
    <row r="7" customFormat="false" ht="18" hidden="false" customHeight="true" outlineLevel="0" collapsed="false">
      <c r="B7" s="50" t="s">
        <v>288</v>
      </c>
    </row>
    <row r="8" customFormat="false" ht="18" hidden="false" customHeight="true" outlineLevel="0" collapsed="false">
      <c r="B8" s="49" t="s">
        <v>289</v>
      </c>
    </row>
    <row r="9" customFormat="false" ht="30" hidden="false" customHeight="true" outlineLevel="0" collapsed="false">
      <c r="B9" s="50" t="s">
        <v>290</v>
      </c>
    </row>
    <row r="10" customFormat="false" ht="18" hidden="false" customHeight="true" outlineLevel="0" collapsed="false">
      <c r="B10" s="50" t="s">
        <v>291</v>
      </c>
    </row>
    <row r="11" customFormat="false" ht="18" hidden="false" customHeight="true" outlineLevel="0" collapsed="false">
      <c r="B11" s="49" t="s">
        <v>292</v>
      </c>
    </row>
    <row r="12" customFormat="false" ht="18" hidden="false" customHeight="true" outlineLevel="0" collapsed="false">
      <c r="B12" s="50" t="s">
        <v>293</v>
      </c>
    </row>
    <row r="13" customFormat="false" ht="18" hidden="false" customHeight="true" outlineLevel="0" collapsed="false">
      <c r="B13" s="50" t="s">
        <v>294</v>
      </c>
    </row>
    <row r="14" customFormat="false" ht="30" hidden="false" customHeight="true" outlineLevel="0" collapsed="false">
      <c r="B14" s="50" t="s">
        <v>295</v>
      </c>
    </row>
    <row r="15" customFormat="false" ht="18" hidden="false" customHeight="true" outlineLevel="0" collapsed="false">
      <c r="B15" s="50" t="s">
        <v>296</v>
      </c>
    </row>
    <row r="16" customFormat="false" ht="18" hidden="false" customHeight="true" outlineLevel="0" collapsed="false">
      <c r="B16" s="50" t="s">
        <v>297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2026-08-27T23:12:08Z</dcterms:created>
  <dc:creator>openpyxl</dc:creator>
  <dc:description/>
  <dc:language>en-US</dc:language>
  <cp:lastModifiedBy/>
  <dcterms:modified xsi:type="dcterms:W3CDTF">2026-08-27T23:14:15Z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