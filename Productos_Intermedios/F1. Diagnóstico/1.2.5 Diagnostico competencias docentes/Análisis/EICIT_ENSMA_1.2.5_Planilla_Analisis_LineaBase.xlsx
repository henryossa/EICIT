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Tablero" sheetId="3" state="visible" r:id="rId5"/>
    <sheet name="Perfil" sheetId="4" state="visible" r:id="rId6"/>
    <sheet name="Fiabilidad" sheetId="5" state="visible" r:id="rId7"/>
    <sheet name="Referencia" sheetId="6" state="visible" r:id="rId8"/>
  </sheets>
  <definedNames>
    <definedName function="false" hidden="false" localSheetId="1" name="_xlnm.Print_Area" vbProcedure="false">Datos!$A$1:$CJ$101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<sst xmlns="http://schemas.openxmlformats.org/spreadsheetml/2006/main" count="586" uniqueCount="331">
  <si>
    <t xml:space="preserve">Planilla de análisis — Diagnóstico de competencias digitales docentes (ENSMA)</t>
  </si>
  <si>
    <t xml:space="preserve">EICIT · Fase 1 · Tarea F1-T5 · Autor: EICIT IA</t>
  </si>
  <si>
    <t xml:space="preserve">1. La planilla trae datos de EJEMPLO (filas con ID «EJEMPLO-xx») para que veas todo calculando. Bórralos antes de cargar los reales.</t>
  </si>
  <si>
    <t xml:space="preserve">2. Cuando cierres el formulario, abre su hoja de respuestas vinculada en Google Sheets.</t>
  </si>
  <si>
    <t xml:space="preserve">3. Pega los valores en la hoja «Datos», respetando el orden de columnas (es el mismo del formulario). La llave de cruce con la caracterización docente es el correo institucional.</t>
  </si>
  <si>
    <t xml:space="preserve">4. Para el bloque objetivo, pega el puntaje total del cuestionario en OBJ_PUNTAJE (0–9). Si quieres el detalle por pregunta (dificultad por ítem, útil para el Diplomado), marca OBJ1–OBJ9 con 1 (correcto) o 0 (incorrecto).</t>
  </si>
  <si>
    <t xml:space="preserve">5. Todo lo demás se calcula solo: medias por dimensión, nivel MEN (Explorador/Integrador/Innovador), desempeño objetivo, alfa de Cronbach y el tablero.</t>
  </si>
  <si>
    <t xml:space="preserve">6. Hoja «Tablero»: lectura colectiva (línea base) y cortes por segmento. Hoja «Perfil»: elige un docente en el desplegable para ver su radar. Hoja «Fiabilidad»: consistencia interna por dimensión.</t>
  </si>
  <si>
    <t xml:space="preserve">7. Columnas con encabezado azul = se editan (datos crudos). Encabezado dorado = cálculo automático, no tocar.</t>
  </si>
  <si>
    <t xml:space="preserve">8. Salvedad: con N≈40 las conclusiones son descriptivas; los segmentos pequeños se leen con cautela, sin pruebas inferenciales.</t>
  </si>
  <si>
    <t xml:space="preserve">Leyenda de color de nivel:</t>
  </si>
  <si>
    <t xml:space="preserve">Explorador</t>
  </si>
  <si>
    <t xml:space="preserve">Integrador</t>
  </si>
  <si>
    <t xml:space="preserve">Innovador</t>
  </si>
  <si>
    <t xml:space="preserve">ID</t>
  </si>
  <si>
    <t xml:space="preserve">Nombre</t>
  </si>
  <si>
    <t xml:space="preserve">Correo</t>
  </si>
  <si>
    <t xml:space="preserve">Nivel</t>
  </si>
  <si>
    <t xml:space="preserve">Área</t>
  </si>
  <si>
    <t xml:space="preserve">Experiencia</t>
  </si>
  <si>
    <t xml:space="preserve">Dispositivo</t>
  </si>
  <si>
    <t xml:space="preserve">Conectividad</t>
  </si>
  <si>
    <t xml:space="preserve">FormaciónPrevia</t>
  </si>
  <si>
    <t xml:space="preserve">ACT1</t>
  </si>
  <si>
    <t xml:space="preserve">ACT2</t>
  </si>
  <si>
    <t xml:space="preserve">ACT3</t>
  </si>
  <si>
    <t xml:space="preserve">ACT4</t>
  </si>
  <si>
    <t xml:space="preserve">ACT5</t>
  </si>
  <si>
    <t xml:space="preserve">ACT6</t>
  </si>
  <si>
    <t xml:space="preserve">ACT7</t>
  </si>
  <si>
    <t xml:space="preserve">ACT8</t>
  </si>
  <si>
    <t xml:space="preserve">ACT9</t>
  </si>
  <si>
    <t xml:space="preserve">INF1</t>
  </si>
  <si>
    <t xml:space="preserve">INF2</t>
  </si>
  <si>
    <t xml:space="preserve">INF3</t>
  </si>
  <si>
    <t xml:space="preserve">INF4</t>
  </si>
  <si>
    <t xml:space="preserve">INF5</t>
  </si>
  <si>
    <t xml:space="preserve">INF_FREC</t>
  </si>
  <si>
    <t xml:space="preserve">COM1</t>
  </si>
  <si>
    <t xml:space="preserve">COM2</t>
  </si>
  <si>
    <t xml:space="preserve">COM3</t>
  </si>
  <si>
    <t xml:space="preserve">COM4</t>
  </si>
  <si>
    <t xml:space="preserve">COM5</t>
  </si>
  <si>
    <t xml:space="preserve">COM_FREC</t>
  </si>
  <si>
    <t xml:space="preserve">SEG1</t>
  </si>
  <si>
    <t xml:space="preserve">SEG2</t>
  </si>
  <si>
    <t xml:space="preserve">SEG3</t>
  </si>
  <si>
    <t xml:space="preserve">SEG4</t>
  </si>
  <si>
    <t xml:space="preserve">SEG5</t>
  </si>
  <si>
    <t xml:space="preserve">SEG6</t>
  </si>
  <si>
    <t xml:space="preserve">SEG7</t>
  </si>
  <si>
    <t xml:space="preserve">PED1</t>
  </si>
  <si>
    <t xml:space="preserve">PED2</t>
  </si>
  <si>
    <t xml:space="preserve">PED3</t>
  </si>
  <si>
    <t xml:space="preserve">PED4</t>
  </si>
  <si>
    <t xml:space="preserve">PED5</t>
  </si>
  <si>
    <t xml:space="preserve">PED6</t>
  </si>
  <si>
    <t xml:space="preserve">PED7</t>
  </si>
  <si>
    <t xml:space="preserve">IA1</t>
  </si>
  <si>
    <t xml:space="preserve">IA2</t>
  </si>
  <si>
    <t xml:space="preserve">IA3</t>
  </si>
  <si>
    <t xml:space="preserve">IA4</t>
  </si>
  <si>
    <t xml:space="preserve">IA5</t>
  </si>
  <si>
    <t xml:space="preserve">IA6</t>
  </si>
  <si>
    <t xml:space="preserve">IA7</t>
  </si>
  <si>
    <t xml:space="preserve">IA8</t>
  </si>
  <si>
    <t xml:space="preserve">IA_TEMAS</t>
  </si>
  <si>
    <t xml:space="preserve">OBJ_PUNTAJE</t>
  </si>
  <si>
    <t xml:space="preserve">OBJ1</t>
  </si>
  <si>
    <t xml:space="preserve">OBJ2</t>
  </si>
  <si>
    <t xml:space="preserve">OBJ3</t>
  </si>
  <si>
    <t xml:space="preserve">OBJ4</t>
  </si>
  <si>
    <t xml:space="preserve">OBJ5</t>
  </si>
  <si>
    <t xml:space="preserve">OBJ6</t>
  </si>
  <si>
    <t xml:space="preserve">OBJ7</t>
  </si>
  <si>
    <t xml:space="preserve">OBJ8</t>
  </si>
  <si>
    <t xml:space="preserve">OBJ9</t>
  </si>
  <si>
    <t xml:space="preserve">ACT3r</t>
  </si>
  <si>
    <t xml:space="preserve">ACT6r</t>
  </si>
  <si>
    <t xml:space="preserve">S_Act</t>
  </si>
  <si>
    <t xml:space="preserve">S_Inf</t>
  </si>
  <si>
    <t xml:space="preserve">S_Com</t>
  </si>
  <si>
    <t xml:space="preserve">S_Seg</t>
  </si>
  <si>
    <t xml:space="preserve">S_Ped</t>
  </si>
  <si>
    <t xml:space="preserve">S_IA</t>
  </si>
  <si>
    <t xml:space="preserve">M_Actitud</t>
  </si>
  <si>
    <t xml:space="preserve">M_Info</t>
  </si>
  <si>
    <t xml:space="preserve">M_Com</t>
  </si>
  <si>
    <t xml:space="preserve">M_Seg</t>
  </si>
  <si>
    <t xml:space="preserve">M_Ped</t>
  </si>
  <si>
    <t xml:space="preserve">M_IA</t>
  </si>
  <si>
    <t xml:space="preserve">Disp_IA</t>
  </si>
  <si>
    <t xml:space="preserve">N_Actitud</t>
  </si>
  <si>
    <t xml:space="preserve">N_Info</t>
  </si>
  <si>
    <t xml:space="preserve">N_Com</t>
  </si>
  <si>
    <t xml:space="preserve">N_Seg</t>
  </si>
  <si>
    <t xml:space="preserve">N_Ped</t>
  </si>
  <si>
    <t xml:space="preserve">N_IA</t>
  </si>
  <si>
    <t xml:space="preserve">Obj_pct</t>
  </si>
  <si>
    <t xml:space="preserve">N_Obj</t>
  </si>
  <si>
    <t xml:space="preserve">AutoPct</t>
  </si>
  <si>
    <t xml:space="preserve">Señal</t>
  </si>
  <si>
    <t xml:space="preserve">ENSMA-01</t>
  </si>
  <si>
    <t xml:space="preserve">Karla Mariana Gallo Tehelen</t>
  </si>
  <si>
    <t xml:space="preserve">Ingles@ensumauxisoacha.edu.co</t>
  </si>
  <si>
    <t xml:space="preserve">Primaria</t>
  </si>
  <si>
    <t xml:space="preserve">Idioma Extranjero</t>
  </si>
  <si>
    <t xml:space="preserve">3 a 10</t>
  </si>
  <si>
    <t xml:space="preserve">Computador propio</t>
  </si>
  <si>
    <t xml:space="preserve">Estable</t>
  </si>
  <si>
    <t xml:space="preserve">Ninguna</t>
  </si>
  <si>
    <t xml:space="preserve">Diario</t>
  </si>
  <si>
    <t xml:space="preserve">Nunca</t>
  </si>
  <si>
    <t xml:space="preserve">Creación de materiales, Evaluación y retroalimentación, Uso con estudiantes, Herramientas específicas</t>
  </si>
  <si>
    <t xml:space="preserve">ENSMA-02</t>
  </si>
  <si>
    <t xml:space="preserve">Laura Katherin Rodríguez Caucali</t>
  </si>
  <si>
    <t xml:space="preserve">Psicoorientacion01@ensumauxisoacha.edu.co</t>
  </si>
  <si>
    <t xml:space="preserve">Preescolar</t>
  </si>
  <si>
    <t xml:space="preserve">Otra</t>
  </si>
  <si>
    <t xml:space="preserve">Computador institucional</t>
  </si>
  <si>
    <t xml:space="preserve">Informal o autodidacta</t>
  </si>
  <si>
    <t xml:space="preserve">Semanal</t>
  </si>
  <si>
    <t xml:space="preserve">Creación de materiales, Evaluación y retroalimentación, Herramientas específicas</t>
  </si>
  <si>
    <t xml:space="preserve">ENSMA-03</t>
  </si>
  <si>
    <t xml:space="preserve">Jorge Iván Hernández Loaiza</t>
  </si>
  <si>
    <t xml:space="preserve">Ivanhernandez@ensumauxisoacha.edu.co</t>
  </si>
  <si>
    <t xml:space="preserve">Secundaria</t>
  </si>
  <si>
    <t xml:space="preserve">Matemáticas</t>
  </si>
  <si>
    <t xml:space="preserve">Limitada</t>
  </si>
  <si>
    <t xml:space="preserve">Cursos cortos</t>
  </si>
  <si>
    <t xml:space="preserve">ENSMA-04</t>
  </si>
  <si>
    <t xml:space="preserve">Carlos Augusto Gómez Gualteros</t>
  </si>
  <si>
    <t xml:space="preserve">carlosgomez@ensumauxisoacha.edu.co</t>
  </si>
  <si>
    <t xml:space="preserve">Fundamentos, Creación de materiales, Evaluación y retroalimentación, Ética e integridad, Uso con estudiantes, Herramientas específicas</t>
  </si>
  <si>
    <t xml:space="preserve">ENSMA-05</t>
  </si>
  <si>
    <t xml:space="preserve">Gabriel Andrés Moreno Angarita</t>
  </si>
  <si>
    <t xml:space="preserve">gabrielmoreno@ensumauxisoacha.edu.co</t>
  </si>
  <si>
    <t xml:space="preserve">Educación Religiosa</t>
  </si>
  <si>
    <t xml:space="preserve">Más de 20</t>
  </si>
  <si>
    <t xml:space="preserve">Evaluación y retroalimentación</t>
  </si>
  <si>
    <t xml:space="preserve">ENSMA-06</t>
  </si>
  <si>
    <t xml:space="preserve">Laura Milena Casallas Velandia</t>
  </si>
  <si>
    <t xml:space="preserve">Lauracasallas@ensumauxisoacha.edu.co</t>
  </si>
  <si>
    <t xml:space="preserve">Educación Física</t>
  </si>
  <si>
    <t xml:space="preserve">Intermitente</t>
  </si>
  <si>
    <t xml:space="preserve">ENSMA-07</t>
  </si>
  <si>
    <t xml:space="preserve">Norma constanza ortiz cañon</t>
  </si>
  <si>
    <t xml:space="preserve">normaortiz@ensumauxisoacha</t>
  </si>
  <si>
    <t xml:space="preserve">11 a 20</t>
  </si>
  <si>
    <t xml:space="preserve">Fundamentos, Creación de materiales, Uso con estudiantes, Herramientas específicas</t>
  </si>
  <si>
    <t xml:space="preserve">ENSMA-08</t>
  </si>
  <si>
    <t xml:space="preserve">Angela Viviana Alarcón Alfonso</t>
  </si>
  <si>
    <t xml:space="preserve">angelavivianaalarcon@ensumauxisoacha.edu.co</t>
  </si>
  <si>
    <t xml:space="preserve">Ciencias Sociales</t>
  </si>
  <si>
    <t xml:space="preserve">Creación de materiales, Evaluación y retroalimentación, Ética e integridad, Herramientas específicas</t>
  </si>
  <si>
    <t xml:space="preserve">ENSMA-09</t>
  </si>
  <si>
    <t xml:space="preserve">Gustavo Adolfo Toscano Gaitán</t>
  </si>
  <si>
    <t xml:space="preserve">Gustavotoscano@ensumauxisoacha.edu.co</t>
  </si>
  <si>
    <t xml:space="preserve">Posgrado o certificación formal</t>
  </si>
  <si>
    <t xml:space="preserve">Uso con estudiantes, Herramientas específicas</t>
  </si>
  <si>
    <t xml:space="preserve">ENSMA-10</t>
  </si>
  <si>
    <t xml:space="preserve">Kelly Jalexy Díaz Olaya</t>
  </si>
  <si>
    <t xml:space="preserve">Investigación@ensumauxisoacha.edu.co</t>
  </si>
  <si>
    <t xml:space="preserve">Ciencias Naturales</t>
  </si>
  <si>
    <t xml:space="preserve">ENSMA-11</t>
  </si>
  <si>
    <t xml:space="preserve">Deisy Camila Flautero Arias</t>
  </si>
  <si>
    <t xml:space="preserve">camilaflautero@ensumaxisoacha.edu.co</t>
  </si>
  <si>
    <t xml:space="preserve">Herramientas específicas</t>
  </si>
  <si>
    <t xml:space="preserve">ENSMA-12</t>
  </si>
  <si>
    <t xml:space="preserve">Jaime Orlando Ramírez Vargas</t>
  </si>
  <si>
    <t xml:space="preserve">Jaimeramirez@ensumauxisoacha.edu.co</t>
  </si>
  <si>
    <t xml:space="preserve">Mensual</t>
  </si>
  <si>
    <t xml:space="preserve">ENSMA-13</t>
  </si>
  <si>
    <t xml:space="preserve">María Isabel Buitrago Moreno</t>
  </si>
  <si>
    <t xml:space="preserve">Mariabuitrago@ensumauxisoacha.edu.co</t>
  </si>
  <si>
    <t xml:space="preserve">Humanidades / Lengua Castellana</t>
  </si>
  <si>
    <t xml:space="preserve">Fundamentos, Creación de materiales, Evaluación y retroalimentación, Herramientas específicas</t>
  </si>
  <si>
    <t xml:space="preserve">ENSMA-14</t>
  </si>
  <si>
    <t xml:space="preserve">LEIDY KATHERINE GARCÍA URUEÑA</t>
  </si>
  <si>
    <t xml:space="preserve">leidygarcia@ensumauxisoacha.edu.co</t>
  </si>
  <si>
    <t xml:space="preserve">ENSMA-15</t>
  </si>
  <si>
    <t xml:space="preserve">Sonia Patricia Sarria Prada</t>
  </si>
  <si>
    <t xml:space="preserve">soniasarria@ensumauxisoacha.edu.co</t>
  </si>
  <si>
    <t xml:space="preserve">ENSMA-16</t>
  </si>
  <si>
    <t xml:space="preserve">Natalie Alejandra Carrillo Jerez</t>
  </si>
  <si>
    <t xml:space="preserve">nataliecarrillo@ensumauxisoacha.edu.co</t>
  </si>
  <si>
    <t xml:space="preserve">Creación de materiales, Uso con estudiantes</t>
  </si>
  <si>
    <t xml:space="preserve">ENSMA-17</t>
  </si>
  <si>
    <t xml:space="preserve">Juliana Inés Trujillo parrado</t>
  </si>
  <si>
    <t xml:space="preserve">julianatrujillo@ensumauxisoacha.edu.co</t>
  </si>
  <si>
    <t xml:space="preserve">Menos de 3</t>
  </si>
  <si>
    <t xml:space="preserve">Evaluación y retroalimentación, Ética e integridad, Uso con estudiantes, Herramientas específicas</t>
  </si>
  <si>
    <t xml:space="preserve">ENSMA-18</t>
  </si>
  <si>
    <t xml:space="preserve">Brintey Julieth Garzón Moreno</t>
  </si>
  <si>
    <t xml:space="preserve">brinteygarzon@ensumauxisoacha.edu.co</t>
  </si>
  <si>
    <t xml:space="preserve">Creación de materiales, Evaluación y retroalimentación, Ética e integridad, Uso con estudiantes</t>
  </si>
  <si>
    <t xml:space="preserve">ENSMA-19</t>
  </si>
  <si>
    <t xml:space="preserve">Rafael Cadena</t>
  </si>
  <si>
    <t xml:space="preserve">rafaelcadena@ensumauxisoacha.edu.co</t>
  </si>
  <si>
    <t xml:space="preserve">Educación Artística</t>
  </si>
  <si>
    <t xml:space="preserve">Fundamentos, Creación de materiales, Ética e integridad, Uso con estudiantes</t>
  </si>
  <si>
    <t xml:space="preserve">ENSMA-20</t>
  </si>
  <si>
    <t xml:space="preserve">Gina Maria Cortes Vasquez</t>
  </si>
  <si>
    <t xml:space="preserve">Ginacortes@ensumauxisoacha.edu.co</t>
  </si>
  <si>
    <t xml:space="preserve">Creación de materiales, Ética e integridad, Uso con estudiantes</t>
  </si>
  <si>
    <t xml:space="preserve">ENSMA-21</t>
  </si>
  <si>
    <t xml:space="preserve">Sandra Pilar Fuentes Simbaqueba</t>
  </si>
  <si>
    <t xml:space="preserve">psicoorientacion02@ensumauxisoacha.edu.co</t>
  </si>
  <si>
    <t xml:space="preserve">Sin dispositivo estable</t>
  </si>
  <si>
    <t xml:space="preserve">Creación de materiales, Uso con estudiantes, Herramientas específicas</t>
  </si>
  <si>
    <t xml:space="preserve">ENSMA-22</t>
  </si>
  <si>
    <t xml:space="preserve">Karen Alexandra Valenzuela Pulido</t>
  </si>
  <si>
    <t xml:space="preserve">alexandravalenzuela@ensumauxisoacha.edu.co</t>
  </si>
  <si>
    <t xml:space="preserve">ENSMA-23</t>
  </si>
  <si>
    <t xml:space="preserve">Sandy Bibiana Cifuentes López</t>
  </si>
  <si>
    <t xml:space="preserve">Sandycifuentes@ensumauxisoacha.edu.co</t>
  </si>
  <si>
    <t xml:space="preserve">Tecnología e Informática</t>
  </si>
  <si>
    <t xml:space="preserve">Ética e integridad</t>
  </si>
  <si>
    <t xml:space="preserve">ENSMA-24</t>
  </si>
  <si>
    <t xml:space="preserve">Ana Angélica Devia Vega</t>
  </si>
  <si>
    <t xml:space="preserve">angelicadevia@ensumauxisoacha.edu.co</t>
  </si>
  <si>
    <t xml:space="preserve">ENSMA-25</t>
  </si>
  <si>
    <t xml:space="preserve">Magaly Antonia Montilva Mora</t>
  </si>
  <si>
    <t xml:space="preserve">magalymontilva@ensumauxisoacha.edu.co</t>
  </si>
  <si>
    <t xml:space="preserve">Creación de materiales</t>
  </si>
  <si>
    <t xml:space="preserve">ENSMA-26</t>
  </si>
  <si>
    <t xml:space="preserve">Luis Fernando Fuentes P.</t>
  </si>
  <si>
    <t xml:space="preserve">administrador@ensumauxisoacha.edu.co</t>
  </si>
  <si>
    <t xml:space="preserve">Creación de materiales, Evaluación y retroalimentación, Ética e integridad, Uso con estudiantes, Herramientas específicas</t>
  </si>
  <si>
    <t xml:space="preserve">ENSMA-27</t>
  </si>
  <si>
    <t xml:space="preserve">Javier Gustavo Rodríguez Gutiérrez</t>
  </si>
  <si>
    <t xml:space="preserve">Javiergustavoodriguez@ensumauxisoacha.edu co</t>
  </si>
  <si>
    <t xml:space="preserve">Creación de materiales, Ética e integridad, Uso con estudiantes, Herramientas específicas</t>
  </si>
  <si>
    <t xml:space="preserve">ENSMA-28</t>
  </si>
  <si>
    <t xml:space="preserve">Mayuri Andrea Soche Vargas</t>
  </si>
  <si>
    <t xml:space="preserve">andreasoche@ensumauxisoacha.edu.co</t>
  </si>
  <si>
    <t xml:space="preserve">Fundamentos, Creación de materiales, Evaluación y retroalimentación</t>
  </si>
  <si>
    <t xml:space="preserve">ENSMA-29</t>
  </si>
  <si>
    <t xml:space="preserve">Irina Isabel Guacary Castro</t>
  </si>
  <si>
    <t xml:space="preserve">Coordinacionpfc@ensumauxisoacha.edu.co</t>
  </si>
  <si>
    <t xml:space="preserve">Media</t>
  </si>
  <si>
    <t xml:space="preserve">ENSMA-30</t>
  </si>
  <si>
    <t xml:space="preserve">CHIRLEY YESENIA PARADA YANQUEN</t>
  </si>
  <si>
    <t xml:space="preserve">cienciassociales@ensumauxisoacha.edu.co</t>
  </si>
  <si>
    <t xml:space="preserve">Tablero de la línea base — Competencias digitales docentes ENSMA</t>
  </si>
  <si>
    <t xml:space="preserve">Los cálculos se actualizan automáticamente al pegar las respuestas en la hoja «Datos».</t>
  </si>
  <si>
    <t xml:space="preserve">Dimensión</t>
  </si>
  <si>
    <t xml:space="preserve">Media institucional</t>
  </si>
  <si>
    <t xml:space="preserve">Nivel predominante</t>
  </si>
  <si>
    <t xml:space="preserve">Actitud</t>
  </si>
  <si>
    <t xml:space="preserve">Información</t>
  </si>
  <si>
    <t xml:space="preserve">Comunicación</t>
  </si>
  <si>
    <t xml:space="preserve">Seguridad</t>
  </si>
  <si>
    <t xml:space="preserve">Integración pedagógica</t>
  </si>
  <si>
    <t xml:space="preserve">Inteligencia artificial</t>
  </si>
  <si>
    <t xml:space="preserve">Desempeño demostrado (bloque objetivo)</t>
  </si>
  <si>
    <t xml:space="preserve">Media de aciertos (%)</t>
  </si>
  <si>
    <t xml:space="preserve">Bajo (&lt;40%)</t>
  </si>
  <si>
    <t xml:space="preserve">Medio (40–69%)</t>
  </si>
  <si>
    <t xml:space="preserve">Alto (≥70%)</t>
  </si>
  <si>
    <t xml:space="preserve">Dificultad por ítem objetivo — % de aciertos (insumo para el Diplomado)</t>
  </si>
  <si>
    <t xml:space="preserve">OBJ1 · Evaluar fuentes</t>
  </si>
  <si>
    <t xml:space="preserve">OBJ2 · Búsqueda exacta</t>
  </si>
  <si>
    <t xml:space="preserve">OBJ3 · Phishing</t>
  </si>
  <si>
    <t xml:space="preserve">OBJ4 · Contraseñas</t>
  </si>
  <si>
    <t xml:space="preserve">OBJ5 · Datos de menores</t>
  </si>
  <si>
    <t xml:space="preserve">OBJ6 · Alucinación IA</t>
  </si>
  <si>
    <t xml:space="preserve">OBJ7 · Privacidad en IA</t>
  </si>
  <si>
    <t xml:space="preserve">OBJ8 · Prompting</t>
  </si>
  <si>
    <t xml:space="preserve">OBJ9 · Integridad académica</t>
  </si>
  <si>
    <t xml:space="preserve">Percepción frente a desempeño</t>
  </si>
  <si>
    <t xml:space="preserve">Consistente</t>
  </si>
  <si>
    <t xml:space="preserve">Sobreconfía</t>
  </si>
  <si>
    <t xml:space="preserve">Subvalora</t>
  </si>
  <si>
    <t xml:space="preserve">Disposición media a formarse en IA (1–5)</t>
  </si>
  <si>
    <t xml:space="preserve">Media por dimensión según nivel de enseñanza (leer con cautela por N pequeño)</t>
  </si>
  <si>
    <t xml:space="preserve">Perfil individual del docente</t>
  </si>
  <si>
    <t xml:space="preserve">Seleccione un docente:</t>
  </si>
  <si>
    <t xml:space="preserve">Docente A</t>
  </si>
  <si>
    <t xml:space="preserve">Media (1–5)</t>
  </si>
  <si>
    <t xml:space="preserve">Nivel MEN</t>
  </si>
  <si>
    <t xml:space="preserve">Media Actitud</t>
  </si>
  <si>
    <t xml:space="preserve">Media Información</t>
  </si>
  <si>
    <t xml:space="preserve">Media Comunicación</t>
  </si>
  <si>
    <t xml:space="preserve">Media Seguridad</t>
  </si>
  <si>
    <t xml:space="preserve">Media Integración pedagógica</t>
  </si>
  <si>
    <t xml:space="preserve">Media Inteligencia artificial</t>
  </si>
  <si>
    <t xml:space="preserve">Desempeño objetivo (%)</t>
  </si>
  <si>
    <t xml:space="preserve">Disposición a formarse en IA (1–5)</t>
  </si>
  <si>
    <t xml:space="preserve">Señal percepción vs. desempeño</t>
  </si>
  <si>
    <t xml:space="preserve">Fiabilidad — Alfa de Cronbach por dimensión</t>
  </si>
  <si>
    <t xml:space="preserve">α = (k/(k-1)) · (1 − Σ varianza de ítems / varianza del total). Meta ≥ 0,70. Con pocas respuestas el índice es inestable.</t>
  </si>
  <si>
    <t xml:space="preserve">k (ítems)</t>
  </si>
  <si>
    <t xml:space="preserve">Σ var ítems</t>
  </si>
  <si>
    <t xml:space="preserve">Var total</t>
  </si>
  <si>
    <t xml:space="preserve">Alfa</t>
  </si>
  <si>
    <t xml:space="preserve">Lectura</t>
  </si>
  <si>
    <t xml:space="preserve">Referencia — códigos, clave y criterios</t>
  </si>
  <si>
    <t xml:space="preserve">Ítems inversos (se recodifican 6 − valor): ACT3, ACT6</t>
  </si>
  <si>
    <t xml:space="preserve">Cortes de nivel MEN (media de la dimensión):</t>
  </si>
  <si>
    <t xml:space="preserve">1,00 – 2,49</t>
  </si>
  <si>
    <t xml:space="preserve">2,50 – 3,74</t>
  </si>
  <si>
    <t xml:space="preserve">3,75 – 5,00</t>
  </si>
  <si>
    <t xml:space="preserve">Bloque objetivo: 0–39% Bajo · 40–69% Medio · ≥70% Alto</t>
  </si>
  <si>
    <t xml:space="preserve">Códigos de ítem</t>
  </si>
  <si>
    <t xml:space="preserve">ACT1–ACT9</t>
  </si>
  <si>
    <t xml:space="preserve">Actitud frente a la innovación y la tecnología (ACT3, ACT6 inversos)</t>
  </si>
  <si>
    <t xml:space="preserve">INF1–INF5 / INF_FREC</t>
  </si>
  <si>
    <t xml:space="preserve">Información y datos digitales / frecuencia de uso</t>
  </si>
  <si>
    <t xml:space="preserve">COM1–COM5 / COM_FREC</t>
  </si>
  <si>
    <t xml:space="preserve">Comunicación, colaboración y creación / frecuencia de aula virtual</t>
  </si>
  <si>
    <t xml:space="preserve">SEG1–SEG7</t>
  </si>
  <si>
    <t xml:space="preserve">Seguridad y ciudadanía digital</t>
  </si>
  <si>
    <t xml:space="preserve">PED1–PED7</t>
  </si>
  <si>
    <t xml:space="preserve">Integración pedagógica de las TIC</t>
  </si>
  <si>
    <t xml:space="preserve">IA1–IA7 / IA8</t>
  </si>
  <si>
    <t xml:space="preserve">Competencia en IA / disposición a formarse (IA8, no promedia en competencia)</t>
  </si>
  <si>
    <t xml:space="preserve">Temas de IA priorizados (texto, insumo del Diplomado)</t>
  </si>
  <si>
    <t xml:space="preserve">Puntaje del bloque objetivo (0–9), tomado del cuestionario de Google Forms</t>
  </si>
  <si>
    <t xml:space="preserve">OBJ1–OBJ9</t>
  </si>
  <si>
    <t xml:space="preserve">Detalle por ítem objetivo (1 = correcto, 0 = incorrecto), opcional</t>
  </si>
  <si>
    <t xml:space="preserve">Clave del bloque objetivo (respuesta correcta)</t>
  </si>
  <si>
    <t xml:space="preserve">Verifico autoría y fecha, y contrasto con fuentes oficiales antes de usarla.</t>
  </si>
  <si>
    <t xml:space="preserve">Escribir la frase entre comillas.</t>
  </si>
  <si>
    <t xml:space="preserve">No hace clic y verifica por un canal institucional oficial.</t>
  </si>
  <si>
    <t xml:space="preserve">Una contraseña larga y única por servicio, con verificación en dos pasos.</t>
  </si>
  <si>
    <t xml:space="preserve">No hacerlo sin autorización de tratamiento de datos de los acudientes.</t>
  </si>
  <si>
    <t xml:space="preserve">Alucinación del modelo; siempre hay que verificar.</t>
  </si>
  <si>
    <t xml:space="preserve">Datos personales identificables de sus estudiantes.</t>
  </si>
  <si>
    <t xml:space="preserve">Una específica, con contexto, formato y objetivo claros.</t>
  </si>
  <si>
    <t xml:space="preserve">Convertirlo en oportunidad formativa: uso ético, transparencia y citación.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</si>
</sst>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General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BF9000"/>
      <name val="Calibri"/>
      <family val="0"/>
      <charset val="1"/>
    </font>
    <font>
      <b val="true"/>
      <sz val="1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D5E8F0"/>
      </patternFill>
    </fill>
    <fill>
      <patternFill patternType="solid">
        <fgColor rgb="FFE2EFDA"/>
        <bgColor rgb="FFDDEBF7"/>
      </patternFill>
    </fill>
    <fill>
      <patternFill patternType="solid">
        <fgColor rgb="FF2E75B6"/>
        <bgColor rgb="FF4A7EBB"/>
      </patternFill>
    </fill>
    <fill>
      <patternFill patternType="solid">
        <fgColor rgb="FFBF9000"/>
        <bgColor rgb="FF8080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5E8F0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E2EFDA"/>
      <rgbColor rgb="FFF2F2F2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9000"/>
      <rgbColor rgb="FFFF6600"/>
      <rgbColor rgb="FF595959"/>
      <rgbColor rgb="FF4F81BD"/>
      <rgbColor rgb="FF003366"/>
      <rgbColor rgb="FF4A7EBB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 institucional por dimensión (1–5)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Tablero!F5</c:f>
              <c:strCache>
                <c:ptCount val="1"/>
                <c:pt idx="0">
                  <c:v>Media institucional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Tablero!$F$6:$F$11</c:f>
              <c:numCache>
                <c:formatCode>0.00</c:formatCode>
                <c:ptCount val="6"/>
                <c:pt idx="0">
                  <c:v>4.49259259259259</c:v>
                </c:pt>
                <c:pt idx="1">
                  <c:v>4.14666666666667</c:v>
                </c:pt>
                <c:pt idx="2">
                  <c:v>4.23333333333333</c:v>
                </c:pt>
                <c:pt idx="3">
                  <c:v>4.07142857142857</c:v>
                </c:pt>
                <c:pt idx="4">
                  <c:v>3.82857142857143</c:v>
                </c:pt>
                <c:pt idx="5">
                  <c:v>3.93809523809524</c:v>
                </c:pt>
              </c:numCache>
            </c:numRef>
          </c:val>
        </c:ser>
        <c:gapWidth val="150"/>
        <c:overlap val="0"/>
        <c:axId val="91010924"/>
        <c:axId val="77174933"/>
      </c:barChart>
      <c:catAx>
        <c:axId val="910109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74933"/>
        <c:crosses val="autoZero"/>
        <c:auto val="1"/>
        <c:lblAlgn val="ctr"/>
        <c:lblOffset val="100"/>
        <c:noMultiLvlLbl val="0"/>
      </c:catAx>
      <c:valAx>
        <c:axId val="77174933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10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por nivel 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Tablero!C5</c:f>
              <c:strCache>
                <c:ptCount val="1"/>
                <c:pt idx="0">
                  <c:v>Explorador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Tablero!$C$6:$C$11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Tablero!D5</c:f>
              <c:strCache>
                <c:ptCount val="1"/>
                <c:pt idx="0">
                  <c:v>Integrador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Tablero!$D$6:$D$11</c:f>
              <c:numCache>
                <c:formatCode>General</c:formatCode>
                <c:ptCount val="6"/>
                <c:pt idx="0">
                  <c:v>1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</c:ser>
        <c:ser>
          <c:idx val="2"/>
          <c:order val="2"/>
          <c:tx>
            <c:strRef>
              <c:f>Tablero!E5</c:f>
              <c:strCache>
                <c:ptCount val="1"/>
                <c:pt idx="0">
                  <c:v>Innovador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Tablero!$B$6:$B$11</c:f>
              <c:strCache>
                <c:ptCount val="6"/>
                <c:pt idx="0">
                  <c:v>Actitud</c:v>
                </c:pt>
                <c:pt idx="1">
                  <c:v>Información</c:v>
                </c:pt>
                <c:pt idx="2">
                  <c:v>Comunicación</c:v>
                </c:pt>
                <c:pt idx="3">
                  <c:v>Seguridad</c:v>
                </c:pt>
                <c:pt idx="4">
                  <c:v>Integración pedagógica</c:v>
                </c:pt>
                <c:pt idx="5">
                  <c:v>Inteligencia artificial</c:v>
                </c:pt>
              </c:strCache>
            </c:strRef>
          </c:cat>
          <c:val>
            <c:numRef>
              <c:f>Tablero!$E$6:$E$11</c:f>
              <c:numCache>
                <c:formatCode>General</c:formatCode>
                <c:ptCount val="6"/>
                <c:pt idx="0">
                  <c:v>29</c:v>
                </c:pt>
                <c:pt idx="1">
                  <c:v>22</c:v>
                </c:pt>
                <c:pt idx="2">
                  <c:v>25</c:v>
                </c:pt>
                <c:pt idx="3">
                  <c:v>19</c:v>
                </c:pt>
                <c:pt idx="4">
                  <c:v>18</c:v>
                </c:pt>
                <c:pt idx="5">
                  <c:v>20</c:v>
                </c:pt>
              </c:numCache>
            </c:numRef>
          </c:val>
        </c:ser>
        <c:gapWidth val="150"/>
        <c:overlap val="100"/>
        <c:axId val="14518653"/>
        <c:axId val="72767757"/>
      </c:barChart>
      <c:catAx>
        <c:axId val="145186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67757"/>
        <c:crosses val="autoZero"/>
        <c:auto val="1"/>
        <c:lblAlgn val="ctr"/>
        <c:lblOffset val="100"/>
        <c:noMultiLvlLbl val="0"/>
      </c:catAx>
      <c:valAx>
        <c:axId val="72767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18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Perfil del docente vs. institución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Perfil!C6</c:f>
              <c:strCache>
                <c:ptCount val="1"/>
                <c:pt idx="0">
                  <c:v>Media (1–5)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Perfil!$B$7:$B$12</c:f>
              <c:strCache>
                <c:ptCount val="6"/>
                <c:pt idx="0">
                  <c:v>Media Actitud</c:v>
                </c:pt>
                <c:pt idx="1">
                  <c:v>Media Información</c:v>
                </c:pt>
                <c:pt idx="2">
                  <c:v>Media Comunicación</c:v>
                </c:pt>
                <c:pt idx="3">
                  <c:v>Media Seguridad</c:v>
                </c:pt>
                <c:pt idx="4">
                  <c:v>Media Integración pedagógica</c:v>
                </c:pt>
                <c:pt idx="5">
                  <c:v>Media Inteligencia artificial</c:v>
                </c:pt>
              </c:strCache>
            </c:strRef>
          </c:cat>
          <c:val>
            <c:numRef>
              <c:f>Perfil!$C$7:$C$12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Perfil!E6</c:f>
              <c:strCache>
                <c:ptCount val="1"/>
                <c:pt idx="0">
                  <c:v>Media institucional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Perfil!$B$7:$B$12</c:f>
              <c:strCache>
                <c:ptCount val="6"/>
                <c:pt idx="0">
                  <c:v>Media Actitud</c:v>
                </c:pt>
                <c:pt idx="1">
                  <c:v>Media Información</c:v>
                </c:pt>
                <c:pt idx="2">
                  <c:v>Media Comunicación</c:v>
                </c:pt>
                <c:pt idx="3">
                  <c:v>Media Seguridad</c:v>
                </c:pt>
                <c:pt idx="4">
                  <c:v>Media Integración pedagógica</c:v>
                </c:pt>
                <c:pt idx="5">
                  <c:v>Media Inteligencia artificial</c:v>
                </c:pt>
              </c:strCache>
            </c:strRef>
          </c:cat>
          <c:val>
            <c:numRef>
              <c:f>Perfil!$E$7:$E$12</c:f>
              <c:numCache>
                <c:formatCode>0.00</c:formatCode>
                <c:ptCount val="6"/>
                <c:pt idx="0">
                  <c:v>4.49259259259259</c:v>
                </c:pt>
                <c:pt idx="1">
                  <c:v>4.14666666666667</c:v>
                </c:pt>
                <c:pt idx="2">
                  <c:v>4.23333333333333</c:v>
                </c:pt>
                <c:pt idx="3">
                  <c:v>4.07142857142857</c:v>
                </c:pt>
                <c:pt idx="4">
                  <c:v>3.82857142857143</c:v>
                </c:pt>
                <c:pt idx="5">
                  <c:v>3.93809523809524</c:v>
                </c:pt>
              </c:numCache>
            </c:numRef>
          </c:val>
        </c:ser>
        <c:axId val="1582319"/>
        <c:axId val="51501659"/>
      </c:radarChart>
      <c:catAx>
        <c:axId val="15823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01659"/>
        <c:crosses val="autoZero"/>
        <c:auto val="1"/>
        <c:lblAlgn val="ctr"/>
        <c:lblOffset val="100"/>
        <c:noMultiLvlLbl val="0"/>
      </c:catAx>
      <c:valAx>
        <c:axId val="51501659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231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16</xdr:col>
      <xdr:colOff>147240</xdr:colOff>
      <xdr:row>16</xdr:row>
      <xdr:rowOff>33840</xdr:rowOff>
    </xdr:to>
    <xdr:graphicFrame>
      <xdr:nvGraphicFramePr>
        <xdr:cNvPr id="0" name="Chart 1"/>
        <xdr:cNvGraphicFramePr/>
      </xdr:nvGraphicFramePr>
      <xdr:xfrm>
        <a:off x="9351720" y="761040"/>
        <a:ext cx="5039280" cy="251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181440</xdr:rowOff>
    </xdr:from>
    <xdr:to>
      <xdr:col>16</xdr:col>
      <xdr:colOff>147240</xdr:colOff>
      <xdr:row>31</xdr:row>
      <xdr:rowOff>33840</xdr:rowOff>
    </xdr:to>
    <xdr:graphicFrame>
      <xdr:nvGraphicFramePr>
        <xdr:cNvPr id="1" name="Chart 2"/>
        <xdr:cNvGraphicFramePr/>
      </xdr:nvGraphicFramePr>
      <xdr:xfrm>
        <a:off x="9351720" y="3610440"/>
        <a:ext cx="503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160560</xdr:rowOff>
    </xdr:from>
    <xdr:to>
      <xdr:col>13</xdr:col>
      <xdr:colOff>38520</xdr:colOff>
      <xdr:row>21</xdr:row>
      <xdr:rowOff>161640</xdr:rowOff>
    </xdr:to>
    <xdr:graphicFrame>
      <xdr:nvGraphicFramePr>
        <xdr:cNvPr id="2" name="Chart 1"/>
        <xdr:cNvGraphicFramePr/>
      </xdr:nvGraphicFramePr>
      <xdr:xfrm>
        <a:off x="7284600" y="951120"/>
        <a:ext cx="431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9" min="3" style="1" width="12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27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7" customFormat="false" ht="27.75" hidden="false" customHeight="true" outlineLevel="0" collapsed="false">
      <c r="B7" s="4" t="s">
        <v>4</v>
      </c>
      <c r="C7" s="4"/>
      <c r="D7" s="4"/>
      <c r="E7" s="4"/>
      <c r="F7" s="4"/>
      <c r="G7" s="4"/>
      <c r="H7" s="4"/>
      <c r="I7" s="4"/>
    </row>
    <row r="8" customFormat="false" ht="27.75" hidden="false" customHeight="true" outlineLevel="0" collapsed="false">
      <c r="B8" s="4" t="s">
        <v>5</v>
      </c>
      <c r="C8" s="4"/>
      <c r="D8" s="4"/>
      <c r="E8" s="4"/>
      <c r="F8" s="4"/>
      <c r="G8" s="4"/>
      <c r="H8" s="4"/>
      <c r="I8" s="4"/>
    </row>
    <row r="9" customFormat="false" ht="27.75" hidden="false" customHeight="true" outlineLevel="0" collapsed="false">
      <c r="B9" s="4" t="s">
        <v>6</v>
      </c>
      <c r="C9" s="4"/>
      <c r="D9" s="4"/>
      <c r="E9" s="4"/>
      <c r="F9" s="4"/>
      <c r="G9" s="4"/>
      <c r="H9" s="4"/>
      <c r="I9" s="4"/>
    </row>
    <row r="10" customFormat="false" ht="27.75" hidden="false" customHeight="true" outlineLevel="0" collapsed="false">
      <c r="B10" s="4" t="s">
        <v>7</v>
      </c>
      <c r="C10" s="4"/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B11" s="4" t="s">
        <v>8</v>
      </c>
      <c r="C11" s="4"/>
      <c r="D11" s="4"/>
      <c r="E11" s="4"/>
      <c r="F11" s="4"/>
      <c r="G11" s="4"/>
      <c r="H11" s="4"/>
      <c r="I11" s="4"/>
    </row>
    <row r="12" customFormat="false" ht="27.75" hidden="false" customHeight="true" outlineLevel="0" collapsed="false">
      <c r="B12" s="4" t="s">
        <v>9</v>
      </c>
      <c r="C12" s="4"/>
      <c r="D12" s="4"/>
      <c r="E12" s="4"/>
      <c r="F12" s="4"/>
      <c r="G12" s="4"/>
      <c r="H12" s="4"/>
      <c r="I12" s="4"/>
    </row>
    <row r="14" customFormat="false" ht="15" hidden="false" customHeight="true" outlineLevel="0" collapsed="false">
      <c r="B14" s="5" t="s">
        <v>10</v>
      </c>
    </row>
    <row r="15" customFormat="false" ht="15" hidden="false" customHeight="true" outlineLevel="0" collapsed="false">
      <c r="B15" s="6" t="s">
        <v>11</v>
      </c>
      <c r="C15" s="6"/>
    </row>
    <row r="16" customFormat="false" ht="15" hidden="false" customHeight="true" outlineLevel="0" collapsed="false">
      <c r="B16" s="7" t="s">
        <v>12</v>
      </c>
      <c r="C16" s="7"/>
    </row>
    <row r="17" customFormat="false" ht="15" hidden="false" customHeight="true" outlineLevel="0" collapsed="false">
      <c r="B17" s="8" t="s">
        <v>13</v>
      </c>
      <c r="C17" s="8"/>
    </row>
  </sheetData>
  <mergeCells count="11">
    <mergeCell ref="B5:I5"/>
    <mergeCell ref="B6:I6"/>
    <mergeCell ref="B7:I7"/>
    <mergeCell ref="B8:I8"/>
    <mergeCell ref="B9:I9"/>
    <mergeCell ref="B10:I10"/>
    <mergeCell ref="B11:I11"/>
    <mergeCell ref="B12:I12"/>
    <mergeCell ref="B15:C15"/>
    <mergeCell ref="B16:C16"/>
    <mergeCell ref="B17:C17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9" min="4" style="1" width="16"/>
    <col collapsed="false" customWidth="true" hidden="false" outlineLevel="0" max="53" min="53" style="1" width="16"/>
    <col collapsed="false" customWidth="true" hidden="false" outlineLevel="0" max="84" min="79" style="1" width="13"/>
    <col collapsed="false" customWidth="true" hidden="false" outlineLevel="0" max="86" min="86" style="1" width="13"/>
    <col collapsed="false" customWidth="true" hidden="false" outlineLevel="0" max="88" min="88" style="1" width="13"/>
  </cols>
  <sheetData>
    <row r="1" customFormat="false" ht="27.75" hidden="false" customHeight="true" outlineLevel="0" collapsed="false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10" t="s">
        <v>77</v>
      </c>
      <c r="BM1" s="10" t="s">
        <v>78</v>
      </c>
      <c r="BN1" s="10" t="s">
        <v>79</v>
      </c>
      <c r="BO1" s="10" t="s">
        <v>80</v>
      </c>
      <c r="BP1" s="10" t="s">
        <v>81</v>
      </c>
      <c r="BQ1" s="10" t="s">
        <v>82</v>
      </c>
      <c r="BR1" s="10" t="s">
        <v>83</v>
      </c>
      <c r="BS1" s="10" t="s">
        <v>84</v>
      </c>
      <c r="BT1" s="10" t="s">
        <v>85</v>
      </c>
      <c r="BU1" s="10" t="s">
        <v>86</v>
      </c>
      <c r="BV1" s="10" t="s">
        <v>87</v>
      </c>
      <c r="BW1" s="10" t="s">
        <v>88</v>
      </c>
      <c r="BX1" s="10" t="s">
        <v>89</v>
      </c>
      <c r="BY1" s="10" t="s">
        <v>90</v>
      </c>
      <c r="BZ1" s="10" t="s">
        <v>91</v>
      </c>
      <c r="CA1" s="10" t="s">
        <v>92</v>
      </c>
      <c r="CB1" s="10" t="s">
        <v>93</v>
      </c>
      <c r="CC1" s="10" t="s">
        <v>94</v>
      </c>
      <c r="CD1" s="10" t="s">
        <v>95</v>
      </c>
      <c r="CE1" s="10" t="s">
        <v>96</v>
      </c>
      <c r="CF1" s="10" t="s">
        <v>97</v>
      </c>
      <c r="CG1" s="10" t="s">
        <v>98</v>
      </c>
      <c r="CH1" s="10" t="s">
        <v>99</v>
      </c>
      <c r="CI1" s="10" t="s">
        <v>100</v>
      </c>
      <c r="CJ1" s="10" t="s">
        <v>101</v>
      </c>
    </row>
    <row r="2" customFormat="false" ht="27.75" hidden="false" customHeight="true" outlineLevel="0" collapsed="false">
      <c r="A2" s="11" t="s">
        <v>102</v>
      </c>
      <c r="B2" s="11" t="s">
        <v>103</v>
      </c>
      <c r="C2" s="11" t="s">
        <v>104</v>
      </c>
      <c r="D2" s="11" t="s">
        <v>105</v>
      </c>
      <c r="E2" s="11" t="s">
        <v>106</v>
      </c>
      <c r="F2" s="11" t="s">
        <v>107</v>
      </c>
      <c r="G2" s="11" t="s">
        <v>108</v>
      </c>
      <c r="H2" s="11" t="s">
        <v>109</v>
      </c>
      <c r="I2" s="11" t="s">
        <v>110</v>
      </c>
      <c r="J2" s="11" t="n">
        <v>5</v>
      </c>
      <c r="K2" s="11" t="n">
        <v>5</v>
      </c>
      <c r="L2" s="11" t="n">
        <v>5</v>
      </c>
      <c r="M2" s="11" t="n">
        <v>5</v>
      </c>
      <c r="N2" s="11" t="n">
        <v>5</v>
      </c>
      <c r="O2" s="11" t="n">
        <v>5</v>
      </c>
      <c r="P2" s="11" t="n">
        <v>5</v>
      </c>
      <c r="Q2" s="11" t="n">
        <v>5</v>
      </c>
      <c r="R2" s="11" t="n">
        <v>5</v>
      </c>
      <c r="S2" s="11" t="n">
        <v>4</v>
      </c>
      <c r="T2" s="11" t="n">
        <v>5</v>
      </c>
      <c r="U2" s="11" t="n">
        <v>4</v>
      </c>
      <c r="V2" s="11" t="n">
        <v>3</v>
      </c>
      <c r="W2" s="11" t="n">
        <v>4</v>
      </c>
      <c r="X2" s="11" t="s">
        <v>111</v>
      </c>
      <c r="Y2" s="11" t="n">
        <v>5</v>
      </c>
      <c r="Z2" s="11" t="n">
        <v>5</v>
      </c>
      <c r="AA2" s="11" t="n">
        <v>5</v>
      </c>
      <c r="AB2" s="11" t="n">
        <v>5</v>
      </c>
      <c r="AC2" s="11" t="n">
        <v>5</v>
      </c>
      <c r="AD2" s="11" t="s">
        <v>112</v>
      </c>
      <c r="AE2" s="11" t="n">
        <v>5</v>
      </c>
      <c r="AF2" s="11" t="n">
        <v>3</v>
      </c>
      <c r="AG2" s="11" t="n">
        <v>3</v>
      </c>
      <c r="AH2" s="11" t="n">
        <v>4</v>
      </c>
      <c r="AI2" s="11" t="n">
        <v>4</v>
      </c>
      <c r="AJ2" s="11" t="n">
        <v>5</v>
      </c>
      <c r="AK2" s="11" t="n">
        <v>4</v>
      </c>
      <c r="AL2" s="11" t="n">
        <v>4</v>
      </c>
      <c r="AM2" s="11" t="n">
        <v>4</v>
      </c>
      <c r="AN2" s="11" t="n">
        <v>4</v>
      </c>
      <c r="AO2" s="11" t="n">
        <v>4</v>
      </c>
      <c r="AP2" s="11" t="n">
        <v>4</v>
      </c>
      <c r="AQ2" s="11" t="n">
        <v>4</v>
      </c>
      <c r="AR2" s="11" t="n">
        <v>4</v>
      </c>
      <c r="AS2" s="11" t="n">
        <v>5</v>
      </c>
      <c r="AT2" s="11" t="n">
        <v>5</v>
      </c>
      <c r="AU2" s="11" t="n">
        <v>4</v>
      </c>
      <c r="AV2" s="11" t="n">
        <v>5</v>
      </c>
      <c r="AW2" s="11" t="n">
        <v>4</v>
      </c>
      <c r="AX2" s="11" t="n">
        <v>4</v>
      </c>
      <c r="AY2" s="11" t="n">
        <v>3</v>
      </c>
      <c r="AZ2" s="11" t="n">
        <v>5</v>
      </c>
      <c r="BA2" s="11" t="s">
        <v>113</v>
      </c>
      <c r="BB2" s="11" t="n">
        <v>9</v>
      </c>
      <c r="BC2" s="11" t="n">
        <v>1</v>
      </c>
      <c r="BD2" s="11" t="n">
        <v>1</v>
      </c>
      <c r="BE2" s="11" t="n">
        <v>1</v>
      </c>
      <c r="BF2" s="11" t="n">
        <v>1</v>
      </c>
      <c r="BG2" s="11" t="n">
        <v>1</v>
      </c>
      <c r="BH2" s="11" t="n">
        <v>1</v>
      </c>
      <c r="BI2" s="11" t="n">
        <v>1</v>
      </c>
      <c r="BJ2" s="11" t="n">
        <v>1</v>
      </c>
      <c r="BK2" s="11" t="n">
        <v>1</v>
      </c>
      <c r="BL2" s="11" t="n">
        <f aca="false">IF($B2="","",6-L2)</f>
        <v>1</v>
      </c>
      <c r="BM2" s="11" t="n">
        <f aca="false">IF($B2="","",6-O2)</f>
        <v>1</v>
      </c>
      <c r="BN2" s="11" t="n">
        <f aca="false">IF($B2="","",J2+K2+BL2+M2+N2+BM2+P2+Q2+R2)</f>
        <v>37</v>
      </c>
      <c r="BO2" s="11" t="n">
        <f aca="false">IF($B2="","",SUM(S2:W2))</f>
        <v>20</v>
      </c>
      <c r="BP2" s="11" t="n">
        <f aca="false">IF($B2="","",SUM(Y2:AC2))</f>
        <v>25</v>
      </c>
      <c r="BQ2" s="11" t="n">
        <f aca="false">IF($B2="","",SUM(AE2:AK2))</f>
        <v>28</v>
      </c>
      <c r="BR2" s="11" t="n">
        <f aca="false">IF($B2="","",SUM(AL2:AR2))</f>
        <v>28</v>
      </c>
      <c r="BS2" s="11" t="n">
        <f aca="false">IF($B2="","",SUM(AS2:AY2))</f>
        <v>30</v>
      </c>
      <c r="BT2" s="12" t="n">
        <f aca="false">IF($B2="","",BN2/9)</f>
        <v>4.11111111111111</v>
      </c>
      <c r="BU2" s="12" t="n">
        <f aca="false">IF($B2="","",BO2/5)</f>
        <v>4</v>
      </c>
      <c r="BV2" s="12" t="n">
        <f aca="false">IF($B2="","",BP2/5)</f>
        <v>5</v>
      </c>
      <c r="BW2" s="12" t="n">
        <f aca="false">IF($B2="","",BQ2/7)</f>
        <v>4</v>
      </c>
      <c r="BX2" s="12" t="n">
        <f aca="false">IF($B2="","",BR2/7)</f>
        <v>4</v>
      </c>
      <c r="BY2" s="12" t="n">
        <f aca="false">IF($B2="","",BS2/7)</f>
        <v>4.28571428571429</v>
      </c>
      <c r="BZ2" s="11" t="n">
        <f aca="false">IF($B2="","",AZ2)</f>
        <v>5</v>
      </c>
      <c r="CA2" s="11" t="str">
        <f aca="false">IF($B2="","",IF(BT2&lt;2.5,"Explorador",IF(BT2&lt;3.75,"Integrador","Innovador")))</f>
        <v>Innovador</v>
      </c>
      <c r="CB2" s="11" t="str">
        <f aca="false">IF($B2="","",IF(BU2&lt;2.5,"Explorador",IF(BU2&lt;3.75,"Integrador","Innovador")))</f>
        <v>Innovador</v>
      </c>
      <c r="CC2" s="11" t="str">
        <f aca="false">IF($B2="","",IF(BV2&lt;2.5,"Explorador",IF(BV2&lt;3.75,"Integrador","Innovador")))</f>
        <v>Innovador</v>
      </c>
      <c r="CD2" s="11" t="str">
        <f aca="false">IF($B2="","",IF(BW2&lt;2.5,"Explorador",IF(BW2&lt;3.75,"Integrador","Innovador")))</f>
        <v>Innovador</v>
      </c>
      <c r="CE2" s="11" t="str">
        <f aca="false">IF($B2="","",IF(BX2&lt;2.5,"Explorador",IF(BX2&lt;3.75,"Integrador","Innovador")))</f>
        <v>Innovador</v>
      </c>
      <c r="CF2" s="11" t="str">
        <f aca="false">IF($B2="","",IF(BY2&lt;2.5,"Explorador",IF(BY2&lt;3.75,"Integrador","Innovador")))</f>
        <v>Innovador</v>
      </c>
      <c r="CG2" s="13" t="n">
        <f aca="false">IF($B2="","",BB2/9)</f>
        <v>1</v>
      </c>
      <c r="CH2" s="11" t="str">
        <f aca="false">IF($B2="","",IF(CG2&lt;0.4,"Bajo",IF(CG2&lt;0.7,"Medio","Alto")))</f>
        <v>Alto</v>
      </c>
      <c r="CI2" s="13" t="n">
        <f aca="false">IF($B2="","",((AVERAGE(BU2,BW2,BY2))-1)/4)</f>
        <v>0.773809523809524</v>
      </c>
      <c r="CJ2" s="11" t="str">
        <f aca="false">IF($B2="","",IF(CG2-CI2&gt;0.25,"Subvalora",IF(CI2-CG2&gt;0.25,"Sobreconfía","Consistente")))</f>
        <v>Consistente</v>
      </c>
    </row>
    <row r="3" customFormat="false" ht="27.75" hidden="false" customHeight="true" outlineLevel="0" collapsed="false">
      <c r="A3" s="11" t="s">
        <v>114</v>
      </c>
      <c r="B3" s="11" t="s">
        <v>115</v>
      </c>
      <c r="C3" s="11" t="s">
        <v>116</v>
      </c>
      <c r="D3" s="11" t="s">
        <v>117</v>
      </c>
      <c r="E3" s="11" t="s">
        <v>118</v>
      </c>
      <c r="F3" s="11" t="s">
        <v>107</v>
      </c>
      <c r="G3" s="11" t="s">
        <v>119</v>
      </c>
      <c r="H3" s="11" t="s">
        <v>109</v>
      </c>
      <c r="I3" s="11" t="s">
        <v>120</v>
      </c>
      <c r="J3" s="11" t="n">
        <v>4</v>
      </c>
      <c r="K3" s="11" t="n">
        <v>5</v>
      </c>
      <c r="L3" s="11" t="n">
        <v>3</v>
      </c>
      <c r="M3" s="11" t="n">
        <v>4</v>
      </c>
      <c r="N3" s="11" t="n">
        <v>5</v>
      </c>
      <c r="O3" s="11" t="n">
        <v>3</v>
      </c>
      <c r="P3" s="11" t="n">
        <v>5</v>
      </c>
      <c r="Q3" s="11" t="n">
        <v>4</v>
      </c>
      <c r="R3" s="11" t="n">
        <v>5</v>
      </c>
      <c r="S3" s="11" t="n">
        <v>3</v>
      </c>
      <c r="T3" s="11" t="n">
        <v>4</v>
      </c>
      <c r="U3" s="11" t="n">
        <v>4</v>
      </c>
      <c r="V3" s="11" t="n">
        <v>5</v>
      </c>
      <c r="W3" s="11" t="n">
        <v>1</v>
      </c>
      <c r="X3" s="11" t="s">
        <v>121</v>
      </c>
      <c r="Y3" s="11" t="n">
        <v>5</v>
      </c>
      <c r="Z3" s="11" t="n">
        <v>5</v>
      </c>
      <c r="AA3" s="11" t="n">
        <v>5</v>
      </c>
      <c r="AB3" s="11" t="n">
        <v>5</v>
      </c>
      <c r="AC3" s="11" t="n">
        <v>5</v>
      </c>
      <c r="AD3" s="11" t="s">
        <v>112</v>
      </c>
      <c r="AE3" s="11" t="n">
        <v>4</v>
      </c>
      <c r="AF3" s="11" t="n">
        <v>5</v>
      </c>
      <c r="AG3" s="11" t="n">
        <v>5</v>
      </c>
      <c r="AH3" s="11" t="n">
        <v>3</v>
      </c>
      <c r="AI3" s="11" t="n">
        <v>5</v>
      </c>
      <c r="AJ3" s="11" t="n">
        <v>5</v>
      </c>
      <c r="AK3" s="11" t="n">
        <v>5</v>
      </c>
      <c r="AL3" s="11" t="n">
        <v>4</v>
      </c>
      <c r="AM3" s="11" t="n">
        <v>4</v>
      </c>
      <c r="AN3" s="11" t="n">
        <v>4</v>
      </c>
      <c r="AO3" s="11" t="n">
        <v>4</v>
      </c>
      <c r="AP3" s="11" t="n">
        <v>4</v>
      </c>
      <c r="AQ3" s="11" t="n">
        <v>4</v>
      </c>
      <c r="AR3" s="11" t="n">
        <v>4</v>
      </c>
      <c r="AS3" s="11" t="n">
        <v>4</v>
      </c>
      <c r="AT3" s="11" t="n">
        <v>5</v>
      </c>
      <c r="AU3" s="11" t="n">
        <v>5</v>
      </c>
      <c r="AV3" s="11" t="n">
        <v>5</v>
      </c>
      <c r="AW3" s="11" t="n">
        <v>3</v>
      </c>
      <c r="AX3" s="11" t="n">
        <v>5</v>
      </c>
      <c r="AY3" s="11" t="n">
        <v>4</v>
      </c>
      <c r="AZ3" s="11" t="n">
        <v>5</v>
      </c>
      <c r="BA3" s="11" t="s">
        <v>122</v>
      </c>
      <c r="BB3" s="11" t="n">
        <v>7</v>
      </c>
      <c r="BC3" s="11" t="n">
        <v>1</v>
      </c>
      <c r="BD3" s="11" t="n">
        <v>1</v>
      </c>
      <c r="BE3" s="11" t="n">
        <v>1</v>
      </c>
      <c r="BF3" s="11" t="n">
        <v>0</v>
      </c>
      <c r="BG3" s="11" t="n">
        <v>1</v>
      </c>
      <c r="BH3" s="11" t="n">
        <v>1</v>
      </c>
      <c r="BI3" s="11" t="n">
        <v>1</v>
      </c>
      <c r="BJ3" s="11" t="n">
        <v>0</v>
      </c>
      <c r="BK3" s="11" t="n">
        <v>1</v>
      </c>
      <c r="BL3" s="11" t="n">
        <f aca="false">IF($B3="","",6-L3)</f>
        <v>3</v>
      </c>
      <c r="BM3" s="11" t="n">
        <f aca="false">IF($B3="","",6-O3)</f>
        <v>3</v>
      </c>
      <c r="BN3" s="11" t="n">
        <f aca="false">IF($B3="","",J3+K3+BL3+M3+N3+BM3+P3+Q3+R3)</f>
        <v>38</v>
      </c>
      <c r="BO3" s="11" t="n">
        <f aca="false">IF($B3="","",SUM(S3:W3))</f>
        <v>17</v>
      </c>
      <c r="BP3" s="11" t="n">
        <f aca="false">IF($B3="","",SUM(Y3:AC3))</f>
        <v>25</v>
      </c>
      <c r="BQ3" s="11" t="n">
        <f aca="false">IF($B3="","",SUM(AE3:AK3))</f>
        <v>32</v>
      </c>
      <c r="BR3" s="11" t="n">
        <f aca="false">IF($B3="","",SUM(AL3:AR3))</f>
        <v>28</v>
      </c>
      <c r="BS3" s="11" t="n">
        <f aca="false">IF($B3="","",SUM(AS3:AY3))</f>
        <v>31</v>
      </c>
      <c r="BT3" s="12" t="n">
        <f aca="false">IF($B3="","",BN3/9)</f>
        <v>4.22222222222222</v>
      </c>
      <c r="BU3" s="12" t="n">
        <f aca="false">IF($B3="","",BO3/5)</f>
        <v>3.4</v>
      </c>
      <c r="BV3" s="12" t="n">
        <f aca="false">IF($B3="","",BP3/5)</f>
        <v>5</v>
      </c>
      <c r="BW3" s="12" t="n">
        <f aca="false">IF($B3="","",BQ3/7)</f>
        <v>4.57142857142857</v>
      </c>
      <c r="BX3" s="12" t="n">
        <f aca="false">IF($B3="","",BR3/7)</f>
        <v>4</v>
      </c>
      <c r="BY3" s="12" t="n">
        <f aca="false">IF($B3="","",BS3/7)</f>
        <v>4.42857142857143</v>
      </c>
      <c r="BZ3" s="11" t="n">
        <f aca="false">IF($B3="","",AZ3)</f>
        <v>5</v>
      </c>
      <c r="CA3" s="11" t="str">
        <f aca="false">IF($B3="","",IF(BT3&lt;2.5,"Explorador",IF(BT3&lt;3.75,"Integrador","Innovador")))</f>
        <v>Innovador</v>
      </c>
      <c r="CB3" s="11" t="str">
        <f aca="false">IF($B3="","",IF(BU3&lt;2.5,"Explorador",IF(BU3&lt;3.75,"Integrador","Innovador")))</f>
        <v>Integrador</v>
      </c>
      <c r="CC3" s="11" t="str">
        <f aca="false">IF($B3="","",IF(BV3&lt;2.5,"Explorador",IF(BV3&lt;3.75,"Integrador","Innovador")))</f>
        <v>Innovador</v>
      </c>
      <c r="CD3" s="11" t="str">
        <f aca="false">IF($B3="","",IF(BW3&lt;2.5,"Explorador",IF(BW3&lt;3.75,"Integrador","Innovador")))</f>
        <v>Innovador</v>
      </c>
      <c r="CE3" s="11" t="str">
        <f aca="false">IF($B3="","",IF(BX3&lt;2.5,"Explorador",IF(BX3&lt;3.75,"Integrador","Innovador")))</f>
        <v>Innovador</v>
      </c>
      <c r="CF3" s="11" t="str">
        <f aca="false">IF($B3="","",IF(BY3&lt;2.5,"Explorador",IF(BY3&lt;3.75,"Integrador","Innovador")))</f>
        <v>Innovador</v>
      </c>
      <c r="CG3" s="13" t="n">
        <f aca="false">IF($B3="","",BB3/9)</f>
        <v>0.777777777777778</v>
      </c>
      <c r="CH3" s="11" t="str">
        <f aca="false">IF($B3="","",IF(CG3&lt;0.4,"Bajo",IF(CG3&lt;0.7,"Medio","Alto")))</f>
        <v>Alto</v>
      </c>
      <c r="CI3" s="13" t="n">
        <f aca="false">IF($B3="","",((AVERAGE(BU3,BW3,BY3))-1)/4)</f>
        <v>0.783333333333333</v>
      </c>
      <c r="CJ3" s="11" t="str">
        <f aca="false">IF($B3="","",IF(CG3-CI3&gt;0.25,"Subvalora",IF(CI3-CG3&gt;0.25,"Sobreconfía","Consistente")))</f>
        <v>Consistente</v>
      </c>
    </row>
    <row r="4" customFormat="false" ht="41.25" hidden="false" customHeight="true" outlineLevel="0" collapsed="false">
      <c r="A4" s="11" t="s">
        <v>123</v>
      </c>
      <c r="B4" s="11" t="s">
        <v>124</v>
      </c>
      <c r="C4" s="11" t="s">
        <v>125</v>
      </c>
      <c r="D4" s="11" t="s">
        <v>126</v>
      </c>
      <c r="E4" s="11" t="s">
        <v>127</v>
      </c>
      <c r="F4" s="11" t="s">
        <v>107</v>
      </c>
      <c r="G4" s="11" t="s">
        <v>108</v>
      </c>
      <c r="H4" s="11" t="s">
        <v>128</v>
      </c>
      <c r="I4" s="11" t="s">
        <v>129</v>
      </c>
      <c r="J4" s="11" t="n">
        <v>5</v>
      </c>
      <c r="K4" s="11" t="n">
        <v>5</v>
      </c>
      <c r="L4" s="11" t="n">
        <v>1</v>
      </c>
      <c r="M4" s="11" t="n">
        <v>5</v>
      </c>
      <c r="N4" s="11" t="n">
        <v>5</v>
      </c>
      <c r="O4" s="11" t="n">
        <v>2</v>
      </c>
      <c r="P4" s="11" t="n">
        <v>4</v>
      </c>
      <c r="Q4" s="11" t="n">
        <v>5</v>
      </c>
      <c r="R4" s="11" t="n">
        <v>4</v>
      </c>
      <c r="S4" s="11" t="n">
        <v>5</v>
      </c>
      <c r="T4" s="11" t="n">
        <v>5</v>
      </c>
      <c r="U4" s="11" t="n">
        <v>5</v>
      </c>
      <c r="V4" s="11" t="n">
        <v>5</v>
      </c>
      <c r="W4" s="11" t="n">
        <v>4</v>
      </c>
      <c r="X4" s="11" t="s">
        <v>111</v>
      </c>
      <c r="Y4" s="11" t="n">
        <v>5</v>
      </c>
      <c r="Z4" s="11" t="n">
        <v>5</v>
      </c>
      <c r="AA4" s="11" t="n">
        <v>5</v>
      </c>
      <c r="AB4" s="11" t="n">
        <v>4</v>
      </c>
      <c r="AC4" s="11" t="n">
        <v>5</v>
      </c>
      <c r="AD4" s="11" t="s">
        <v>121</v>
      </c>
      <c r="AE4" s="11" t="n">
        <v>5</v>
      </c>
      <c r="AF4" s="11" t="n">
        <v>3</v>
      </c>
      <c r="AG4" s="11" t="n">
        <v>3</v>
      </c>
      <c r="AH4" s="11" t="n">
        <v>3</v>
      </c>
      <c r="AI4" s="11" t="n">
        <v>4</v>
      </c>
      <c r="AJ4" s="11" t="n">
        <v>4</v>
      </c>
      <c r="AK4" s="11" t="n">
        <v>3</v>
      </c>
      <c r="AL4" s="11" t="n">
        <v>4</v>
      </c>
      <c r="AM4" s="11" t="n">
        <v>4</v>
      </c>
      <c r="AN4" s="11" t="n">
        <v>5</v>
      </c>
      <c r="AO4" s="11" t="n">
        <v>4</v>
      </c>
      <c r="AP4" s="11" t="n">
        <v>3</v>
      </c>
      <c r="AQ4" s="11" t="n">
        <v>4</v>
      </c>
      <c r="AR4" s="11" t="n">
        <v>3</v>
      </c>
      <c r="AS4" s="11" t="n">
        <v>4</v>
      </c>
      <c r="AT4" s="11" t="n">
        <v>4</v>
      </c>
      <c r="AU4" s="11" t="n">
        <v>4</v>
      </c>
      <c r="AV4" s="11" t="n">
        <v>4</v>
      </c>
      <c r="AW4" s="11" t="n">
        <v>4</v>
      </c>
      <c r="AX4" s="11" t="n">
        <v>4</v>
      </c>
      <c r="AY4" s="11" t="n">
        <v>3</v>
      </c>
      <c r="AZ4" s="11" t="n">
        <v>5</v>
      </c>
      <c r="BA4" s="11" t="s">
        <v>113</v>
      </c>
      <c r="BB4" s="11" t="n">
        <v>8</v>
      </c>
      <c r="BC4" s="11" t="n">
        <v>1</v>
      </c>
      <c r="BD4" s="11" t="n">
        <v>1</v>
      </c>
      <c r="BE4" s="11" t="n">
        <v>1</v>
      </c>
      <c r="BF4" s="11" t="n">
        <v>0</v>
      </c>
      <c r="BG4" s="11" t="n">
        <v>1</v>
      </c>
      <c r="BH4" s="11" t="n">
        <v>1</v>
      </c>
      <c r="BI4" s="11" t="n">
        <v>1</v>
      </c>
      <c r="BJ4" s="11" t="n">
        <v>1</v>
      </c>
      <c r="BK4" s="11" t="n">
        <v>1</v>
      </c>
      <c r="BL4" s="11" t="n">
        <f aca="false">IF($B4="","",6-L4)</f>
        <v>5</v>
      </c>
      <c r="BM4" s="11" t="n">
        <f aca="false">IF($B4="","",6-O4)</f>
        <v>4</v>
      </c>
      <c r="BN4" s="11" t="n">
        <f aca="false">IF($B4="","",J4+K4+BL4+M4+N4+BM4+P4+Q4+R4)</f>
        <v>42</v>
      </c>
      <c r="BO4" s="11" t="n">
        <f aca="false">IF($B4="","",SUM(S4:W4))</f>
        <v>24</v>
      </c>
      <c r="BP4" s="11" t="n">
        <f aca="false">IF($B4="","",SUM(Y4:AC4))</f>
        <v>24</v>
      </c>
      <c r="BQ4" s="11" t="n">
        <f aca="false">IF($B4="","",SUM(AE4:AK4))</f>
        <v>25</v>
      </c>
      <c r="BR4" s="11" t="n">
        <f aca="false">IF($B4="","",SUM(AL4:AR4))</f>
        <v>27</v>
      </c>
      <c r="BS4" s="11" t="n">
        <f aca="false">IF($B4="","",SUM(AS4:AY4))</f>
        <v>27</v>
      </c>
      <c r="BT4" s="12" t="n">
        <f aca="false">IF($B4="","",BN4/9)</f>
        <v>4.66666666666667</v>
      </c>
      <c r="BU4" s="12" t="n">
        <f aca="false">IF($B4="","",BO4/5)</f>
        <v>4.8</v>
      </c>
      <c r="BV4" s="12" t="n">
        <f aca="false">IF($B4="","",BP4/5)</f>
        <v>4.8</v>
      </c>
      <c r="BW4" s="12" t="n">
        <f aca="false">IF($B4="","",BQ4/7)</f>
        <v>3.57142857142857</v>
      </c>
      <c r="BX4" s="12" t="n">
        <f aca="false">IF($B4="","",BR4/7)</f>
        <v>3.85714285714286</v>
      </c>
      <c r="BY4" s="12" t="n">
        <f aca="false">IF($B4="","",BS4/7)</f>
        <v>3.85714285714286</v>
      </c>
      <c r="BZ4" s="11" t="n">
        <f aca="false">IF($B4="","",AZ4)</f>
        <v>5</v>
      </c>
      <c r="CA4" s="11" t="str">
        <f aca="false">IF($B4="","",IF(BT4&lt;2.5,"Explorador",IF(BT4&lt;3.75,"Integrador","Innovador")))</f>
        <v>Innovador</v>
      </c>
      <c r="CB4" s="11" t="str">
        <f aca="false">IF($B4="","",IF(BU4&lt;2.5,"Explorador",IF(BU4&lt;3.75,"Integrador","Innovador")))</f>
        <v>Innovador</v>
      </c>
      <c r="CC4" s="11" t="str">
        <f aca="false">IF($B4="","",IF(BV4&lt;2.5,"Explorador",IF(BV4&lt;3.75,"Integrador","Innovador")))</f>
        <v>Innovador</v>
      </c>
      <c r="CD4" s="11" t="str">
        <f aca="false">IF($B4="","",IF(BW4&lt;2.5,"Explorador",IF(BW4&lt;3.75,"Integrador","Innovador")))</f>
        <v>Integrador</v>
      </c>
      <c r="CE4" s="11" t="str">
        <f aca="false">IF($B4="","",IF(BX4&lt;2.5,"Explorador",IF(BX4&lt;3.75,"Integrador","Innovador")))</f>
        <v>Innovador</v>
      </c>
      <c r="CF4" s="11" t="str">
        <f aca="false">IF($B4="","",IF(BY4&lt;2.5,"Explorador",IF(BY4&lt;3.75,"Integrador","Innovador")))</f>
        <v>Innovador</v>
      </c>
      <c r="CG4" s="13" t="n">
        <f aca="false">IF($B4="","",BB4/9)</f>
        <v>0.888888888888889</v>
      </c>
      <c r="CH4" s="11" t="str">
        <f aca="false">IF($B4="","",IF(CG4&lt;0.4,"Bajo",IF(CG4&lt;0.7,"Medio","Alto")))</f>
        <v>Alto</v>
      </c>
      <c r="CI4" s="13" t="n">
        <f aca="false">IF($B4="","",((AVERAGE(BU4,BW4,BY4))-1)/4)</f>
        <v>0.769047619047619</v>
      </c>
      <c r="CJ4" s="11" t="str">
        <f aca="false">IF($B4="","",IF(CG4-CI4&gt;0.25,"Subvalora",IF(CI4-CG4&gt;0.25,"Sobreconfía","Consistente")))</f>
        <v>Consistente</v>
      </c>
    </row>
    <row r="5" customFormat="false" ht="41.25" hidden="false" customHeight="true" outlineLevel="0" collapsed="false">
      <c r="A5" s="11" t="s">
        <v>130</v>
      </c>
      <c r="B5" s="11" t="s">
        <v>131</v>
      </c>
      <c r="C5" s="11" t="s">
        <v>132</v>
      </c>
      <c r="D5" s="11" t="s">
        <v>105</v>
      </c>
      <c r="E5" s="11" t="s">
        <v>118</v>
      </c>
      <c r="F5" s="11" t="s">
        <v>107</v>
      </c>
      <c r="G5" s="11" t="s">
        <v>108</v>
      </c>
      <c r="H5" s="11" t="s">
        <v>109</v>
      </c>
      <c r="I5" s="11" t="s">
        <v>120</v>
      </c>
      <c r="J5" s="11" t="n">
        <v>4</v>
      </c>
      <c r="K5" s="11" t="n">
        <v>5</v>
      </c>
      <c r="L5" s="11" t="n">
        <v>1</v>
      </c>
      <c r="M5" s="11" t="n">
        <v>1</v>
      </c>
      <c r="N5" s="11" t="n">
        <v>5</v>
      </c>
      <c r="O5" s="11" t="n">
        <v>2</v>
      </c>
      <c r="P5" s="11" t="n">
        <v>2</v>
      </c>
      <c r="Q5" s="11" t="n">
        <v>5</v>
      </c>
      <c r="R5" s="11" t="n">
        <v>4</v>
      </c>
      <c r="S5" s="11" t="n">
        <v>5</v>
      </c>
      <c r="T5" s="11" t="n">
        <v>5</v>
      </c>
      <c r="U5" s="11" t="n">
        <v>3</v>
      </c>
      <c r="V5" s="11" t="n">
        <v>5</v>
      </c>
      <c r="W5" s="11" t="n">
        <v>4</v>
      </c>
      <c r="X5" s="11" t="s">
        <v>121</v>
      </c>
      <c r="Y5" s="11" t="n">
        <v>5</v>
      </c>
      <c r="Z5" s="11" t="n">
        <v>5</v>
      </c>
      <c r="AA5" s="11" t="n">
        <v>5</v>
      </c>
      <c r="AB5" s="11" t="n">
        <v>4</v>
      </c>
      <c r="AC5" s="11" t="n">
        <v>3</v>
      </c>
      <c r="AD5" s="11" t="s">
        <v>121</v>
      </c>
      <c r="AE5" s="11" t="n">
        <v>3</v>
      </c>
      <c r="AF5" s="11" t="n">
        <v>5</v>
      </c>
      <c r="AG5" s="11" t="n">
        <v>4</v>
      </c>
      <c r="AH5" s="11" t="n">
        <v>5</v>
      </c>
      <c r="AI5" s="11" t="n">
        <v>5</v>
      </c>
      <c r="AJ5" s="11" t="n">
        <v>5</v>
      </c>
      <c r="AK5" s="11" t="n">
        <v>5</v>
      </c>
      <c r="AL5" s="11" t="n">
        <v>5</v>
      </c>
      <c r="AM5" s="11" t="n">
        <v>4</v>
      </c>
      <c r="AN5" s="11" t="n">
        <v>4</v>
      </c>
      <c r="AO5" s="11" t="n">
        <v>2</v>
      </c>
      <c r="AP5" s="11" t="n">
        <v>4</v>
      </c>
      <c r="AQ5" s="11" t="n">
        <v>3</v>
      </c>
      <c r="AR5" s="11" t="n">
        <v>4</v>
      </c>
      <c r="AS5" s="11" t="n">
        <v>4</v>
      </c>
      <c r="AT5" s="11" t="n">
        <v>4</v>
      </c>
      <c r="AU5" s="11" t="n">
        <v>3</v>
      </c>
      <c r="AV5" s="11" t="n">
        <v>5</v>
      </c>
      <c r="AW5" s="11" t="n">
        <v>4</v>
      </c>
      <c r="AX5" s="11" t="n">
        <v>2</v>
      </c>
      <c r="AY5" s="11" t="n">
        <v>4</v>
      </c>
      <c r="AZ5" s="11" t="n">
        <v>5</v>
      </c>
      <c r="BA5" s="11" t="s">
        <v>133</v>
      </c>
      <c r="BB5" s="11" t="n">
        <v>9</v>
      </c>
      <c r="BC5" s="11" t="n">
        <v>1</v>
      </c>
      <c r="BD5" s="11" t="n">
        <v>1</v>
      </c>
      <c r="BE5" s="11" t="n">
        <v>1</v>
      </c>
      <c r="BF5" s="11" t="n">
        <v>1</v>
      </c>
      <c r="BG5" s="11" t="n">
        <v>1</v>
      </c>
      <c r="BH5" s="11" t="n">
        <v>1</v>
      </c>
      <c r="BI5" s="11" t="n">
        <v>1</v>
      </c>
      <c r="BJ5" s="11" t="n">
        <v>1</v>
      </c>
      <c r="BK5" s="11" t="n">
        <v>1</v>
      </c>
      <c r="BL5" s="11" t="n">
        <f aca="false">IF($B5="","",6-L5)</f>
        <v>5</v>
      </c>
      <c r="BM5" s="11" t="n">
        <f aca="false">IF($B5="","",6-O5)</f>
        <v>4</v>
      </c>
      <c r="BN5" s="11" t="n">
        <f aca="false">IF($B5="","",J5+K5+BL5+M5+N5+BM5+P5+Q5+R5)</f>
        <v>35</v>
      </c>
      <c r="BO5" s="11" t="n">
        <f aca="false">IF($B5="","",SUM(S5:W5))</f>
        <v>22</v>
      </c>
      <c r="BP5" s="11" t="n">
        <f aca="false">IF($B5="","",SUM(Y5:AC5))</f>
        <v>22</v>
      </c>
      <c r="BQ5" s="11" t="n">
        <f aca="false">IF($B5="","",SUM(AE5:AK5))</f>
        <v>32</v>
      </c>
      <c r="BR5" s="11" t="n">
        <f aca="false">IF($B5="","",SUM(AL5:AR5))</f>
        <v>26</v>
      </c>
      <c r="BS5" s="11" t="n">
        <f aca="false">IF($B5="","",SUM(AS5:AY5))</f>
        <v>26</v>
      </c>
      <c r="BT5" s="12" t="n">
        <f aca="false">IF($B5="","",BN5/9)</f>
        <v>3.88888888888889</v>
      </c>
      <c r="BU5" s="12" t="n">
        <f aca="false">IF($B5="","",BO5/5)</f>
        <v>4.4</v>
      </c>
      <c r="BV5" s="12" t="n">
        <f aca="false">IF($B5="","",BP5/5)</f>
        <v>4.4</v>
      </c>
      <c r="BW5" s="12" t="n">
        <f aca="false">IF($B5="","",BQ5/7)</f>
        <v>4.57142857142857</v>
      </c>
      <c r="BX5" s="12" t="n">
        <f aca="false">IF($B5="","",BR5/7)</f>
        <v>3.71428571428571</v>
      </c>
      <c r="BY5" s="12" t="n">
        <f aca="false">IF($B5="","",BS5/7)</f>
        <v>3.71428571428571</v>
      </c>
      <c r="BZ5" s="11" t="n">
        <f aca="false">IF($B5="","",AZ5)</f>
        <v>5</v>
      </c>
      <c r="CA5" s="11" t="str">
        <f aca="false">IF($B5="","",IF(BT5&lt;2.5,"Explorador",IF(BT5&lt;3.75,"Integrador","Innovador")))</f>
        <v>Innovador</v>
      </c>
      <c r="CB5" s="11" t="str">
        <f aca="false">IF($B5="","",IF(BU5&lt;2.5,"Explorador",IF(BU5&lt;3.75,"Integrador","Innovador")))</f>
        <v>Innovador</v>
      </c>
      <c r="CC5" s="11" t="str">
        <f aca="false">IF($B5="","",IF(BV5&lt;2.5,"Explorador",IF(BV5&lt;3.75,"Integrador","Innovador")))</f>
        <v>Innovador</v>
      </c>
      <c r="CD5" s="11" t="str">
        <f aca="false">IF($B5="","",IF(BW5&lt;2.5,"Explorador",IF(BW5&lt;3.75,"Integrador","Innovador")))</f>
        <v>Innovador</v>
      </c>
      <c r="CE5" s="11" t="str">
        <f aca="false">IF($B5="","",IF(BX5&lt;2.5,"Explorador",IF(BX5&lt;3.75,"Integrador","Innovador")))</f>
        <v>Integrador</v>
      </c>
      <c r="CF5" s="11" t="str">
        <f aca="false">IF($B5="","",IF(BY5&lt;2.5,"Explorador",IF(BY5&lt;3.75,"Integrador","Innovador")))</f>
        <v>Integrador</v>
      </c>
      <c r="CG5" s="13" t="n">
        <f aca="false">IF($B5="","",BB5/9)</f>
        <v>1</v>
      </c>
      <c r="CH5" s="11" t="str">
        <f aca="false">IF($B5="","",IF(CG5&lt;0.4,"Bajo",IF(CG5&lt;0.7,"Medio","Alto")))</f>
        <v>Alto</v>
      </c>
      <c r="CI5" s="13" t="n">
        <f aca="false">IF($B5="","",((AVERAGE(BU5,BW5,BY5))-1)/4)</f>
        <v>0.807142857142857</v>
      </c>
      <c r="CJ5" s="11" t="str">
        <f aca="false">IF($B5="","",IF(CG5-CI5&gt;0.25,"Subvalora",IF(CI5-CG5&gt;0.25,"Sobreconfía","Consistente")))</f>
        <v>Consistente</v>
      </c>
    </row>
    <row r="6" customFormat="false" ht="41.25" hidden="false" customHeight="true" outlineLevel="0" collapsed="false">
      <c r="A6" s="11" t="s">
        <v>134</v>
      </c>
      <c r="B6" s="11" t="s">
        <v>135</v>
      </c>
      <c r="C6" s="11" t="s">
        <v>136</v>
      </c>
      <c r="D6" s="11" t="s">
        <v>126</v>
      </c>
      <c r="E6" s="11" t="s">
        <v>137</v>
      </c>
      <c r="F6" s="11" t="s">
        <v>138</v>
      </c>
      <c r="G6" s="11" t="s">
        <v>108</v>
      </c>
      <c r="H6" s="11" t="s">
        <v>109</v>
      </c>
      <c r="I6" s="11" t="s">
        <v>120</v>
      </c>
      <c r="J6" s="11" t="n">
        <v>5</v>
      </c>
      <c r="K6" s="11" t="n">
        <v>5</v>
      </c>
      <c r="L6" s="11" t="n">
        <v>1</v>
      </c>
      <c r="M6" s="11" t="n">
        <v>5</v>
      </c>
      <c r="N6" s="11" t="n">
        <v>5</v>
      </c>
      <c r="O6" s="11" t="n">
        <v>1</v>
      </c>
      <c r="P6" s="11" t="n">
        <v>5</v>
      </c>
      <c r="Q6" s="11" t="n">
        <v>5</v>
      </c>
      <c r="R6" s="11" t="n">
        <v>5</v>
      </c>
      <c r="S6" s="11" t="n">
        <v>4</v>
      </c>
      <c r="T6" s="11" t="n">
        <v>5</v>
      </c>
      <c r="U6" s="11" t="n">
        <v>5</v>
      </c>
      <c r="V6" s="11" t="n">
        <v>3</v>
      </c>
      <c r="W6" s="11" t="n">
        <v>5</v>
      </c>
      <c r="X6" s="11" t="s">
        <v>111</v>
      </c>
      <c r="Y6" s="11" t="n">
        <v>4</v>
      </c>
      <c r="Z6" s="11" t="n">
        <v>2</v>
      </c>
      <c r="AA6" s="11" t="n">
        <v>5</v>
      </c>
      <c r="AB6" s="11" t="n">
        <v>3</v>
      </c>
      <c r="AC6" s="11" t="n">
        <v>2</v>
      </c>
      <c r="AD6" s="11" t="s">
        <v>112</v>
      </c>
      <c r="AE6" s="11" t="n">
        <v>5</v>
      </c>
      <c r="AF6" s="11" t="n">
        <v>5</v>
      </c>
      <c r="AG6" s="11" t="n">
        <v>4</v>
      </c>
      <c r="AH6" s="11" t="n">
        <v>3</v>
      </c>
      <c r="AI6" s="11" t="n">
        <v>5</v>
      </c>
      <c r="AJ6" s="11" t="n">
        <v>4</v>
      </c>
      <c r="AK6" s="11" t="n">
        <v>5</v>
      </c>
      <c r="AL6" s="11" t="n">
        <v>4</v>
      </c>
      <c r="AM6" s="11" t="n">
        <v>4</v>
      </c>
      <c r="AN6" s="11" t="n">
        <v>3</v>
      </c>
      <c r="AO6" s="11" t="n">
        <v>2</v>
      </c>
      <c r="AP6" s="11" t="n">
        <v>5</v>
      </c>
      <c r="AQ6" s="11" t="n">
        <v>5</v>
      </c>
      <c r="AR6" s="11" t="n">
        <v>5</v>
      </c>
      <c r="AS6" s="11" t="n">
        <v>5</v>
      </c>
      <c r="AT6" s="11" t="n">
        <v>5</v>
      </c>
      <c r="AU6" s="11" t="n">
        <v>5</v>
      </c>
      <c r="AV6" s="11" t="n">
        <v>5</v>
      </c>
      <c r="AW6" s="11" t="n">
        <v>5</v>
      </c>
      <c r="AX6" s="11" t="n">
        <v>5</v>
      </c>
      <c r="AY6" s="11" t="n">
        <v>4</v>
      </c>
      <c r="AZ6" s="11" t="n">
        <v>5</v>
      </c>
      <c r="BA6" s="11" t="s">
        <v>139</v>
      </c>
      <c r="BB6" s="11" t="n">
        <v>9</v>
      </c>
      <c r="BC6" s="11" t="n">
        <v>1</v>
      </c>
      <c r="BD6" s="11" t="n">
        <v>1</v>
      </c>
      <c r="BE6" s="11" t="n">
        <v>1</v>
      </c>
      <c r="BF6" s="11" t="n">
        <v>1</v>
      </c>
      <c r="BG6" s="11" t="n">
        <v>1</v>
      </c>
      <c r="BH6" s="11" t="n">
        <v>1</v>
      </c>
      <c r="BI6" s="11" t="n">
        <v>1</v>
      </c>
      <c r="BJ6" s="11" t="n">
        <v>1</v>
      </c>
      <c r="BK6" s="11" t="n">
        <v>1</v>
      </c>
      <c r="BL6" s="11" t="n">
        <f aca="false">IF($B6="","",6-L6)</f>
        <v>5</v>
      </c>
      <c r="BM6" s="11" t="n">
        <f aca="false">IF($B6="","",6-O6)</f>
        <v>5</v>
      </c>
      <c r="BN6" s="11" t="n">
        <f aca="false">IF($B6="","",J6+K6+BL6+M6+N6+BM6+P6+Q6+R6)</f>
        <v>45</v>
      </c>
      <c r="BO6" s="11" t="n">
        <f aca="false">IF($B6="","",SUM(S6:W6))</f>
        <v>22</v>
      </c>
      <c r="BP6" s="11" t="n">
        <f aca="false">IF($B6="","",SUM(Y6:AC6))</f>
        <v>16</v>
      </c>
      <c r="BQ6" s="11" t="n">
        <f aca="false">IF($B6="","",SUM(AE6:AK6))</f>
        <v>31</v>
      </c>
      <c r="BR6" s="11" t="n">
        <f aca="false">IF($B6="","",SUM(AL6:AR6))</f>
        <v>28</v>
      </c>
      <c r="BS6" s="11" t="n">
        <f aca="false">IF($B6="","",SUM(AS6:AY6))</f>
        <v>34</v>
      </c>
      <c r="BT6" s="12" t="n">
        <f aca="false">IF($B6="","",BN6/9)</f>
        <v>5</v>
      </c>
      <c r="BU6" s="12" t="n">
        <f aca="false">IF($B6="","",BO6/5)</f>
        <v>4.4</v>
      </c>
      <c r="BV6" s="12" t="n">
        <f aca="false">IF($B6="","",BP6/5)</f>
        <v>3.2</v>
      </c>
      <c r="BW6" s="12" t="n">
        <f aca="false">IF($B6="","",BQ6/7)</f>
        <v>4.42857142857143</v>
      </c>
      <c r="BX6" s="12" t="n">
        <f aca="false">IF($B6="","",BR6/7)</f>
        <v>4</v>
      </c>
      <c r="BY6" s="12" t="n">
        <f aca="false">IF($B6="","",BS6/7)</f>
        <v>4.85714285714286</v>
      </c>
      <c r="BZ6" s="11" t="n">
        <f aca="false">IF($B6="","",AZ6)</f>
        <v>5</v>
      </c>
      <c r="CA6" s="11" t="str">
        <f aca="false">IF($B6="","",IF(BT6&lt;2.5,"Explorador",IF(BT6&lt;3.75,"Integrador","Innovador")))</f>
        <v>Innovador</v>
      </c>
      <c r="CB6" s="11" t="str">
        <f aca="false">IF($B6="","",IF(BU6&lt;2.5,"Explorador",IF(BU6&lt;3.75,"Integrador","Innovador")))</f>
        <v>Innovador</v>
      </c>
      <c r="CC6" s="11" t="str">
        <f aca="false">IF($B6="","",IF(BV6&lt;2.5,"Explorador",IF(BV6&lt;3.75,"Integrador","Innovador")))</f>
        <v>Integrador</v>
      </c>
      <c r="CD6" s="11" t="str">
        <f aca="false">IF($B6="","",IF(BW6&lt;2.5,"Explorador",IF(BW6&lt;3.75,"Integrador","Innovador")))</f>
        <v>Innovador</v>
      </c>
      <c r="CE6" s="11" t="str">
        <f aca="false">IF($B6="","",IF(BX6&lt;2.5,"Explorador",IF(BX6&lt;3.75,"Integrador","Innovador")))</f>
        <v>Innovador</v>
      </c>
      <c r="CF6" s="11" t="str">
        <f aca="false">IF($B6="","",IF(BY6&lt;2.5,"Explorador",IF(BY6&lt;3.75,"Integrador","Innovador")))</f>
        <v>Innovador</v>
      </c>
      <c r="CG6" s="13" t="n">
        <f aca="false">IF($B6="","",BB6/9)</f>
        <v>1</v>
      </c>
      <c r="CH6" s="11" t="str">
        <f aca="false">IF($B6="","",IF(CG6&lt;0.4,"Bajo",IF(CG6&lt;0.7,"Medio","Alto")))</f>
        <v>Alto</v>
      </c>
      <c r="CI6" s="13" t="n">
        <f aca="false">IF($B6="","",((AVERAGE(BU6,BW6,BY6))-1)/4)</f>
        <v>0.890476190476191</v>
      </c>
      <c r="CJ6" s="11" t="str">
        <f aca="false">IF($B6="","",IF(CG6-CI6&gt;0.25,"Subvalora",IF(CI6-CG6&gt;0.25,"Sobreconfía","Consistente")))</f>
        <v>Consistente</v>
      </c>
    </row>
    <row r="7" customFormat="false" ht="27.75" hidden="false" customHeight="true" outlineLevel="0" collapsed="false">
      <c r="A7" s="11" t="s">
        <v>140</v>
      </c>
      <c r="B7" s="11" t="s">
        <v>141</v>
      </c>
      <c r="C7" s="11" t="s">
        <v>142</v>
      </c>
      <c r="D7" s="11" t="s">
        <v>126</v>
      </c>
      <c r="E7" s="11" t="s">
        <v>143</v>
      </c>
      <c r="F7" s="11" t="s">
        <v>107</v>
      </c>
      <c r="G7" s="11" t="s">
        <v>108</v>
      </c>
      <c r="H7" s="11" t="s">
        <v>144</v>
      </c>
      <c r="I7" s="11" t="s">
        <v>110</v>
      </c>
      <c r="J7" s="11" t="n">
        <v>4</v>
      </c>
      <c r="K7" s="11" t="n">
        <v>5</v>
      </c>
      <c r="L7" s="11" t="n">
        <v>1</v>
      </c>
      <c r="M7" s="11" t="n">
        <v>5</v>
      </c>
      <c r="N7" s="11" t="n">
        <v>5</v>
      </c>
      <c r="O7" s="11" t="n">
        <v>2</v>
      </c>
      <c r="P7" s="11" t="n">
        <v>4</v>
      </c>
      <c r="Q7" s="11" t="n">
        <v>4</v>
      </c>
      <c r="R7" s="11" t="n">
        <v>5</v>
      </c>
      <c r="S7" s="11" t="n">
        <v>3</v>
      </c>
      <c r="T7" s="11" t="n">
        <v>4</v>
      </c>
      <c r="U7" s="11" t="n">
        <v>4</v>
      </c>
      <c r="V7" s="11" t="n">
        <v>5</v>
      </c>
      <c r="W7" s="11" t="n">
        <v>2</v>
      </c>
      <c r="X7" s="11" t="s">
        <v>121</v>
      </c>
      <c r="Y7" s="11" t="n">
        <v>5</v>
      </c>
      <c r="Z7" s="11" t="n">
        <v>5</v>
      </c>
      <c r="AA7" s="11" t="n">
        <v>4</v>
      </c>
      <c r="AB7" s="11" t="n">
        <v>4</v>
      </c>
      <c r="AC7" s="11" t="n">
        <v>1</v>
      </c>
      <c r="AD7" s="11" t="s">
        <v>112</v>
      </c>
      <c r="AE7" s="11" t="n">
        <v>5</v>
      </c>
      <c r="AF7" s="11" t="n">
        <v>4</v>
      </c>
      <c r="AG7" s="11" t="n">
        <v>4</v>
      </c>
      <c r="AH7" s="11" t="n">
        <v>2</v>
      </c>
      <c r="AI7" s="11" t="n">
        <v>5</v>
      </c>
      <c r="AJ7" s="11" t="n">
        <v>5</v>
      </c>
      <c r="AK7" s="11" t="n">
        <v>4</v>
      </c>
      <c r="AL7" s="11" t="n">
        <v>4</v>
      </c>
      <c r="AM7" s="11" t="n">
        <v>4</v>
      </c>
      <c r="AN7" s="11" t="n">
        <v>1</v>
      </c>
      <c r="AO7" s="11" t="n">
        <v>1</v>
      </c>
      <c r="AP7" s="11" t="n">
        <v>4</v>
      </c>
      <c r="AQ7" s="11" t="n">
        <v>4</v>
      </c>
      <c r="AR7" s="11" t="n">
        <v>1</v>
      </c>
      <c r="AS7" s="11" t="n">
        <v>5</v>
      </c>
      <c r="AT7" s="11" t="n">
        <v>4</v>
      </c>
      <c r="AU7" s="11" t="n">
        <v>4</v>
      </c>
      <c r="AV7" s="11" t="n">
        <v>3</v>
      </c>
      <c r="AW7" s="11" t="n">
        <v>4</v>
      </c>
      <c r="AX7" s="11" t="n">
        <v>4</v>
      </c>
      <c r="AY7" s="11" t="n">
        <v>4</v>
      </c>
      <c r="AZ7" s="11" t="n">
        <v>4</v>
      </c>
      <c r="BA7" s="11" t="s">
        <v>133</v>
      </c>
      <c r="BB7" s="11" t="n">
        <v>9</v>
      </c>
      <c r="BC7" s="11" t="n">
        <v>1</v>
      </c>
      <c r="BD7" s="11" t="n">
        <v>1</v>
      </c>
      <c r="BE7" s="11" t="n">
        <v>1</v>
      </c>
      <c r="BF7" s="11" t="n">
        <v>1</v>
      </c>
      <c r="BG7" s="11" t="n">
        <v>1</v>
      </c>
      <c r="BH7" s="11" t="n">
        <v>1</v>
      </c>
      <c r="BI7" s="11" t="n">
        <v>1</v>
      </c>
      <c r="BJ7" s="11" t="n">
        <v>1</v>
      </c>
      <c r="BK7" s="11" t="n">
        <v>1</v>
      </c>
      <c r="BL7" s="11" t="n">
        <f aca="false">IF($B7="","",6-L7)</f>
        <v>5</v>
      </c>
      <c r="BM7" s="11" t="n">
        <f aca="false">IF($B7="","",6-O7)</f>
        <v>4</v>
      </c>
      <c r="BN7" s="11" t="n">
        <f aca="false">IF($B7="","",J7+K7+BL7+M7+N7+BM7+P7+Q7+R7)</f>
        <v>41</v>
      </c>
      <c r="BO7" s="11" t="n">
        <f aca="false">IF($B7="","",SUM(S7:W7))</f>
        <v>18</v>
      </c>
      <c r="BP7" s="11" t="n">
        <f aca="false">IF($B7="","",SUM(Y7:AC7))</f>
        <v>19</v>
      </c>
      <c r="BQ7" s="11" t="n">
        <f aca="false">IF($B7="","",SUM(AE7:AK7))</f>
        <v>29</v>
      </c>
      <c r="BR7" s="11" t="n">
        <f aca="false">IF($B7="","",SUM(AL7:AR7))</f>
        <v>19</v>
      </c>
      <c r="BS7" s="11" t="n">
        <f aca="false">IF($B7="","",SUM(AS7:AY7))</f>
        <v>28</v>
      </c>
      <c r="BT7" s="12" t="n">
        <f aca="false">IF($B7="","",BN7/9)</f>
        <v>4.55555555555556</v>
      </c>
      <c r="BU7" s="12" t="n">
        <f aca="false">IF($B7="","",BO7/5)</f>
        <v>3.6</v>
      </c>
      <c r="BV7" s="12" t="n">
        <f aca="false">IF($B7="","",BP7/5)</f>
        <v>3.8</v>
      </c>
      <c r="BW7" s="12" t="n">
        <f aca="false">IF($B7="","",BQ7/7)</f>
        <v>4.14285714285714</v>
      </c>
      <c r="BX7" s="12" t="n">
        <f aca="false">IF($B7="","",BR7/7)</f>
        <v>2.71428571428571</v>
      </c>
      <c r="BY7" s="12" t="n">
        <f aca="false">IF($B7="","",BS7/7)</f>
        <v>4</v>
      </c>
      <c r="BZ7" s="11" t="n">
        <f aca="false">IF($B7="","",AZ7)</f>
        <v>4</v>
      </c>
      <c r="CA7" s="11" t="str">
        <f aca="false">IF($B7="","",IF(BT7&lt;2.5,"Explorador",IF(BT7&lt;3.75,"Integrador","Innovador")))</f>
        <v>Innovador</v>
      </c>
      <c r="CB7" s="11" t="str">
        <f aca="false">IF($B7="","",IF(BU7&lt;2.5,"Explorador",IF(BU7&lt;3.75,"Integrador","Innovador")))</f>
        <v>Integrador</v>
      </c>
      <c r="CC7" s="11" t="str">
        <f aca="false">IF($B7="","",IF(BV7&lt;2.5,"Explorador",IF(BV7&lt;3.75,"Integrador","Innovador")))</f>
        <v>Innovador</v>
      </c>
      <c r="CD7" s="11" t="str">
        <f aca="false">IF($B7="","",IF(BW7&lt;2.5,"Explorador",IF(BW7&lt;3.75,"Integrador","Innovador")))</f>
        <v>Innovador</v>
      </c>
      <c r="CE7" s="11" t="str">
        <f aca="false">IF($B7="","",IF(BX7&lt;2.5,"Explorador",IF(BX7&lt;3.75,"Integrador","Innovador")))</f>
        <v>Integrador</v>
      </c>
      <c r="CF7" s="11" t="str">
        <f aca="false">IF($B7="","",IF(BY7&lt;2.5,"Explorador",IF(BY7&lt;3.75,"Integrador","Innovador")))</f>
        <v>Innovador</v>
      </c>
      <c r="CG7" s="13" t="n">
        <f aca="false">IF($B7="","",BB7/9)</f>
        <v>1</v>
      </c>
      <c r="CH7" s="11" t="str">
        <f aca="false">IF($B7="","",IF(CG7&lt;0.4,"Bajo",IF(CG7&lt;0.7,"Medio","Alto")))</f>
        <v>Alto</v>
      </c>
      <c r="CI7" s="13" t="n">
        <f aca="false">IF($B7="","",((AVERAGE(BU7,BW7,BY7))-1)/4)</f>
        <v>0.728571428571429</v>
      </c>
      <c r="CJ7" s="11" t="str">
        <f aca="false">IF($B7="","",IF(CG7-CI7&gt;0.25,"Subvalora",IF(CI7-CG7&gt;0.25,"Sobreconfía","Consistente")))</f>
        <v>Subvalora</v>
      </c>
    </row>
    <row r="8" customFormat="false" ht="27.75" hidden="false" customHeight="true" outlineLevel="0" collapsed="false">
      <c r="A8" s="11" t="s">
        <v>145</v>
      </c>
      <c r="B8" s="11" t="s">
        <v>146</v>
      </c>
      <c r="C8" s="11" t="s">
        <v>147</v>
      </c>
      <c r="D8" s="11" t="s">
        <v>105</v>
      </c>
      <c r="E8" s="11" t="s">
        <v>106</v>
      </c>
      <c r="F8" s="11" t="s">
        <v>148</v>
      </c>
      <c r="G8" s="11" t="s">
        <v>108</v>
      </c>
      <c r="H8" s="11" t="s">
        <v>109</v>
      </c>
      <c r="I8" s="11" t="s">
        <v>120</v>
      </c>
      <c r="J8" s="11" t="n">
        <v>5</v>
      </c>
      <c r="K8" s="11" t="n">
        <v>4</v>
      </c>
      <c r="L8" s="11" t="n">
        <v>3</v>
      </c>
      <c r="M8" s="11" t="n">
        <v>5</v>
      </c>
      <c r="N8" s="11" t="n">
        <v>5</v>
      </c>
      <c r="O8" s="11" t="n">
        <v>3</v>
      </c>
      <c r="P8" s="11" t="n">
        <v>5</v>
      </c>
      <c r="Q8" s="11" t="n">
        <v>4</v>
      </c>
      <c r="R8" s="11" t="n">
        <v>5</v>
      </c>
      <c r="S8" s="11" t="n">
        <v>3</v>
      </c>
      <c r="T8" s="11" t="n">
        <v>4</v>
      </c>
      <c r="U8" s="11" t="n">
        <v>4</v>
      </c>
      <c r="V8" s="11" t="n">
        <v>3</v>
      </c>
      <c r="W8" s="11" t="n">
        <v>2</v>
      </c>
      <c r="X8" s="11" t="s">
        <v>111</v>
      </c>
      <c r="Y8" s="11" t="n">
        <v>5</v>
      </c>
      <c r="Z8" s="11" t="n">
        <v>5</v>
      </c>
      <c r="AA8" s="11" t="n">
        <v>5</v>
      </c>
      <c r="AB8" s="11" t="n">
        <v>5</v>
      </c>
      <c r="AC8" s="11" t="n">
        <v>3</v>
      </c>
      <c r="AD8" s="11" t="s">
        <v>112</v>
      </c>
      <c r="AE8" s="11" t="n">
        <v>4</v>
      </c>
      <c r="AF8" s="11" t="n">
        <v>2</v>
      </c>
      <c r="AG8" s="11" t="n">
        <v>2</v>
      </c>
      <c r="AH8" s="11" t="n">
        <v>2</v>
      </c>
      <c r="AI8" s="11" t="n">
        <v>3</v>
      </c>
      <c r="AJ8" s="11" t="n">
        <v>2</v>
      </c>
      <c r="AK8" s="11" t="n">
        <v>3</v>
      </c>
      <c r="AL8" s="11" t="n">
        <v>5</v>
      </c>
      <c r="AM8" s="11" t="n">
        <v>5</v>
      </c>
      <c r="AN8" s="11" t="n">
        <v>4</v>
      </c>
      <c r="AO8" s="11" t="n">
        <v>5</v>
      </c>
      <c r="AP8" s="11" t="n">
        <v>5</v>
      </c>
      <c r="AQ8" s="11" t="n">
        <v>4</v>
      </c>
      <c r="AR8" s="11" t="n">
        <v>3</v>
      </c>
      <c r="AS8" s="11" t="n">
        <v>3</v>
      </c>
      <c r="AT8" s="11" t="n">
        <v>4</v>
      </c>
      <c r="AU8" s="11" t="n">
        <v>3</v>
      </c>
      <c r="AV8" s="11" t="n">
        <v>4</v>
      </c>
      <c r="AW8" s="11" t="n">
        <v>3</v>
      </c>
      <c r="AX8" s="11" t="n">
        <v>3</v>
      </c>
      <c r="AY8" s="11" t="n">
        <v>2</v>
      </c>
      <c r="AZ8" s="11" t="n">
        <v>4</v>
      </c>
      <c r="BA8" s="11" t="s">
        <v>149</v>
      </c>
      <c r="BB8" s="11" t="n">
        <v>9</v>
      </c>
      <c r="BC8" s="11" t="n">
        <v>1</v>
      </c>
      <c r="BD8" s="11" t="n">
        <v>1</v>
      </c>
      <c r="BE8" s="11" t="n">
        <v>1</v>
      </c>
      <c r="BF8" s="11" t="n">
        <v>1</v>
      </c>
      <c r="BG8" s="11" t="n">
        <v>1</v>
      </c>
      <c r="BH8" s="11" t="n">
        <v>1</v>
      </c>
      <c r="BI8" s="11" t="n">
        <v>1</v>
      </c>
      <c r="BJ8" s="11" t="n">
        <v>1</v>
      </c>
      <c r="BK8" s="11" t="n">
        <v>1</v>
      </c>
      <c r="BL8" s="11" t="n">
        <f aca="false">IF($B8="","",6-L8)</f>
        <v>3</v>
      </c>
      <c r="BM8" s="11" t="n">
        <f aca="false">IF($B8="","",6-O8)</f>
        <v>3</v>
      </c>
      <c r="BN8" s="11" t="n">
        <f aca="false">IF($B8="","",J8+K8+BL8+M8+N8+BM8+P8+Q8+R8)</f>
        <v>39</v>
      </c>
      <c r="BO8" s="11" t="n">
        <f aca="false">IF($B8="","",SUM(S8:W8))</f>
        <v>16</v>
      </c>
      <c r="BP8" s="11" t="n">
        <f aca="false">IF($B8="","",SUM(Y8:AC8))</f>
        <v>23</v>
      </c>
      <c r="BQ8" s="11" t="n">
        <f aca="false">IF($B8="","",SUM(AE8:AK8))</f>
        <v>18</v>
      </c>
      <c r="BR8" s="11" t="n">
        <f aca="false">IF($B8="","",SUM(AL8:AR8))</f>
        <v>31</v>
      </c>
      <c r="BS8" s="11" t="n">
        <f aca="false">IF($B8="","",SUM(AS8:AY8))</f>
        <v>22</v>
      </c>
      <c r="BT8" s="12" t="n">
        <f aca="false">IF($B8="","",BN8/9)</f>
        <v>4.33333333333333</v>
      </c>
      <c r="BU8" s="12" t="n">
        <f aca="false">IF($B8="","",BO8/5)</f>
        <v>3.2</v>
      </c>
      <c r="BV8" s="12" t="n">
        <f aca="false">IF($B8="","",BP8/5)</f>
        <v>4.6</v>
      </c>
      <c r="BW8" s="12" t="n">
        <f aca="false">IF($B8="","",BQ8/7)</f>
        <v>2.57142857142857</v>
      </c>
      <c r="BX8" s="12" t="n">
        <f aca="false">IF($B8="","",BR8/7)</f>
        <v>4.42857142857143</v>
      </c>
      <c r="BY8" s="12" t="n">
        <f aca="false">IF($B8="","",BS8/7)</f>
        <v>3.14285714285714</v>
      </c>
      <c r="BZ8" s="11" t="n">
        <f aca="false">IF($B8="","",AZ8)</f>
        <v>4</v>
      </c>
      <c r="CA8" s="11" t="str">
        <f aca="false">IF($B8="","",IF(BT8&lt;2.5,"Explorador",IF(BT8&lt;3.75,"Integrador","Innovador")))</f>
        <v>Innovador</v>
      </c>
      <c r="CB8" s="11" t="str">
        <f aca="false">IF($B8="","",IF(BU8&lt;2.5,"Explorador",IF(BU8&lt;3.75,"Integrador","Innovador")))</f>
        <v>Integrador</v>
      </c>
      <c r="CC8" s="11" t="str">
        <f aca="false">IF($B8="","",IF(BV8&lt;2.5,"Explorador",IF(BV8&lt;3.75,"Integrador","Innovador")))</f>
        <v>Innovador</v>
      </c>
      <c r="CD8" s="11" t="str">
        <f aca="false">IF($B8="","",IF(BW8&lt;2.5,"Explorador",IF(BW8&lt;3.75,"Integrador","Innovador")))</f>
        <v>Integrador</v>
      </c>
      <c r="CE8" s="11" t="str">
        <f aca="false">IF($B8="","",IF(BX8&lt;2.5,"Explorador",IF(BX8&lt;3.75,"Integrador","Innovador")))</f>
        <v>Innovador</v>
      </c>
      <c r="CF8" s="11" t="str">
        <f aca="false">IF($B8="","",IF(BY8&lt;2.5,"Explorador",IF(BY8&lt;3.75,"Integrador","Innovador")))</f>
        <v>Integrador</v>
      </c>
      <c r="CG8" s="13" t="n">
        <f aca="false">IF($B8="","",BB8/9)</f>
        <v>1</v>
      </c>
      <c r="CH8" s="11" t="str">
        <f aca="false">IF($B8="","",IF(CG8&lt;0.4,"Bajo",IF(CG8&lt;0.7,"Medio","Alto")))</f>
        <v>Alto</v>
      </c>
      <c r="CI8" s="13" t="n">
        <f aca="false">IF($B8="","",((AVERAGE(BU8,BW8,BY8))-1)/4)</f>
        <v>0.492857142857143</v>
      </c>
      <c r="CJ8" s="11" t="str">
        <f aca="false">IF($B8="","",IF(CG8-CI8&gt;0.25,"Subvalora",IF(CI8-CG8&gt;0.25,"Sobreconfía","Consistente")))</f>
        <v>Subvalora</v>
      </c>
    </row>
    <row r="9" customFormat="false" ht="41.25" hidden="false" customHeight="true" outlineLevel="0" collapsed="false">
      <c r="A9" s="11" t="s">
        <v>150</v>
      </c>
      <c r="B9" s="11" t="s">
        <v>151</v>
      </c>
      <c r="C9" s="11" t="s">
        <v>152</v>
      </c>
      <c r="D9" s="11" t="s">
        <v>105</v>
      </c>
      <c r="E9" s="11" t="s">
        <v>153</v>
      </c>
      <c r="F9" s="11" t="s">
        <v>148</v>
      </c>
      <c r="G9" s="11" t="s">
        <v>119</v>
      </c>
      <c r="H9" s="11" t="s">
        <v>144</v>
      </c>
      <c r="I9" s="11" t="s">
        <v>120</v>
      </c>
      <c r="J9" s="11" t="n">
        <v>4</v>
      </c>
      <c r="K9" s="11" t="n">
        <v>5</v>
      </c>
      <c r="L9" s="11" t="n">
        <v>1</v>
      </c>
      <c r="M9" s="11" t="n">
        <v>5</v>
      </c>
      <c r="N9" s="11" t="n">
        <v>5</v>
      </c>
      <c r="O9" s="11" t="n">
        <v>1</v>
      </c>
      <c r="P9" s="11" t="n">
        <v>4</v>
      </c>
      <c r="Q9" s="11" t="n">
        <v>5</v>
      </c>
      <c r="R9" s="11" t="n">
        <v>5</v>
      </c>
      <c r="S9" s="11" t="n">
        <v>4</v>
      </c>
      <c r="T9" s="11" t="n">
        <v>4</v>
      </c>
      <c r="U9" s="11" t="n">
        <v>2</v>
      </c>
      <c r="V9" s="11" t="n">
        <v>5</v>
      </c>
      <c r="W9" s="11" t="n">
        <v>3</v>
      </c>
      <c r="X9" s="11" t="s">
        <v>121</v>
      </c>
      <c r="Y9" s="11" t="n">
        <v>5</v>
      </c>
      <c r="Z9" s="11" t="n">
        <v>5</v>
      </c>
      <c r="AA9" s="11" t="n">
        <v>4</v>
      </c>
      <c r="AB9" s="11" t="n">
        <v>3</v>
      </c>
      <c r="AC9" s="11" t="n">
        <v>2</v>
      </c>
      <c r="AD9" s="11" t="s">
        <v>112</v>
      </c>
      <c r="AE9" s="11" t="n">
        <v>4</v>
      </c>
      <c r="AF9" s="11" t="n">
        <v>4</v>
      </c>
      <c r="AG9" s="11" t="n">
        <v>3</v>
      </c>
      <c r="AH9" s="11" t="n">
        <v>1</v>
      </c>
      <c r="AI9" s="11" t="n">
        <v>4</v>
      </c>
      <c r="AJ9" s="11" t="n">
        <v>3</v>
      </c>
      <c r="AK9" s="11" t="n">
        <v>4</v>
      </c>
      <c r="AL9" s="11" t="n">
        <v>3</v>
      </c>
      <c r="AM9" s="11" t="n">
        <v>2</v>
      </c>
      <c r="AN9" s="11" t="n">
        <v>1</v>
      </c>
      <c r="AO9" s="11" t="n">
        <v>1</v>
      </c>
      <c r="AP9" s="11" t="n">
        <v>1</v>
      </c>
      <c r="AQ9" s="11" t="n">
        <v>2</v>
      </c>
      <c r="AR9" s="11" t="n">
        <v>1</v>
      </c>
      <c r="AS9" s="11" t="n">
        <v>4</v>
      </c>
      <c r="AT9" s="11" t="n">
        <v>4</v>
      </c>
      <c r="AU9" s="11" t="n">
        <v>3</v>
      </c>
      <c r="AV9" s="11" t="n">
        <v>4</v>
      </c>
      <c r="AW9" s="11" t="n">
        <v>2</v>
      </c>
      <c r="AX9" s="11" t="n">
        <v>2</v>
      </c>
      <c r="AY9" s="11" t="n">
        <v>2</v>
      </c>
      <c r="AZ9" s="11" t="n">
        <v>4</v>
      </c>
      <c r="BA9" s="11" t="s">
        <v>154</v>
      </c>
      <c r="BB9" s="11" t="n">
        <v>9</v>
      </c>
      <c r="BC9" s="11" t="n">
        <v>1</v>
      </c>
      <c r="BD9" s="11" t="n">
        <v>1</v>
      </c>
      <c r="BE9" s="11" t="n">
        <v>1</v>
      </c>
      <c r="BF9" s="11" t="n">
        <v>1</v>
      </c>
      <c r="BG9" s="11" t="n">
        <v>1</v>
      </c>
      <c r="BH9" s="11" t="n">
        <v>1</v>
      </c>
      <c r="BI9" s="11" t="n">
        <v>1</v>
      </c>
      <c r="BJ9" s="11" t="n">
        <v>1</v>
      </c>
      <c r="BK9" s="11" t="n">
        <v>1</v>
      </c>
      <c r="BL9" s="11" t="n">
        <f aca="false">IF($B9="","",6-L9)</f>
        <v>5</v>
      </c>
      <c r="BM9" s="11" t="n">
        <f aca="false">IF($B9="","",6-O9)</f>
        <v>5</v>
      </c>
      <c r="BN9" s="11" t="n">
        <f aca="false">IF($B9="","",J9+K9+BL9+M9+N9+BM9+P9+Q9+R9)</f>
        <v>43</v>
      </c>
      <c r="BO9" s="11" t="n">
        <f aca="false">IF($B9="","",SUM(S9:W9))</f>
        <v>18</v>
      </c>
      <c r="BP9" s="11" t="n">
        <f aca="false">IF($B9="","",SUM(Y9:AC9))</f>
        <v>19</v>
      </c>
      <c r="BQ9" s="11" t="n">
        <f aca="false">IF($B9="","",SUM(AE9:AK9))</f>
        <v>23</v>
      </c>
      <c r="BR9" s="11" t="n">
        <f aca="false">IF($B9="","",SUM(AL9:AR9))</f>
        <v>11</v>
      </c>
      <c r="BS9" s="11" t="n">
        <f aca="false">IF($B9="","",SUM(AS9:AY9))</f>
        <v>21</v>
      </c>
      <c r="BT9" s="12" t="n">
        <f aca="false">IF($B9="","",BN9/9)</f>
        <v>4.77777777777778</v>
      </c>
      <c r="BU9" s="12" t="n">
        <f aca="false">IF($B9="","",BO9/5)</f>
        <v>3.6</v>
      </c>
      <c r="BV9" s="12" t="n">
        <f aca="false">IF($B9="","",BP9/5)</f>
        <v>3.8</v>
      </c>
      <c r="BW9" s="12" t="n">
        <f aca="false">IF($B9="","",BQ9/7)</f>
        <v>3.28571428571429</v>
      </c>
      <c r="BX9" s="12" t="n">
        <f aca="false">IF($B9="","",BR9/7)</f>
        <v>1.57142857142857</v>
      </c>
      <c r="BY9" s="12" t="n">
        <f aca="false">IF($B9="","",BS9/7)</f>
        <v>3</v>
      </c>
      <c r="BZ9" s="11" t="n">
        <f aca="false">IF($B9="","",AZ9)</f>
        <v>4</v>
      </c>
      <c r="CA9" s="11" t="str">
        <f aca="false">IF($B9="","",IF(BT9&lt;2.5,"Explorador",IF(BT9&lt;3.75,"Integrador","Innovador")))</f>
        <v>Innovador</v>
      </c>
      <c r="CB9" s="11" t="str">
        <f aca="false">IF($B9="","",IF(BU9&lt;2.5,"Explorador",IF(BU9&lt;3.75,"Integrador","Innovador")))</f>
        <v>Integrador</v>
      </c>
      <c r="CC9" s="11" t="str">
        <f aca="false">IF($B9="","",IF(BV9&lt;2.5,"Explorador",IF(BV9&lt;3.75,"Integrador","Innovador")))</f>
        <v>Innovador</v>
      </c>
      <c r="CD9" s="11" t="str">
        <f aca="false">IF($B9="","",IF(BW9&lt;2.5,"Explorador",IF(BW9&lt;3.75,"Integrador","Innovador")))</f>
        <v>Integrador</v>
      </c>
      <c r="CE9" s="11" t="str">
        <f aca="false">IF($B9="","",IF(BX9&lt;2.5,"Explorador",IF(BX9&lt;3.75,"Integrador","Innovador")))</f>
        <v>Explorador</v>
      </c>
      <c r="CF9" s="11" t="str">
        <f aca="false">IF($B9="","",IF(BY9&lt;2.5,"Explorador",IF(BY9&lt;3.75,"Integrador","Innovador")))</f>
        <v>Integrador</v>
      </c>
      <c r="CG9" s="13" t="n">
        <f aca="false">IF($B9="","",BB9/9)</f>
        <v>1</v>
      </c>
      <c r="CH9" s="11" t="str">
        <f aca="false">IF($B9="","",IF(CG9&lt;0.4,"Bajo",IF(CG9&lt;0.7,"Medio","Alto")))</f>
        <v>Alto</v>
      </c>
      <c r="CI9" s="13" t="n">
        <f aca="false">IF($B9="","",((AVERAGE(BU9,BW9,BY9))-1)/4)</f>
        <v>0.573809523809524</v>
      </c>
      <c r="CJ9" s="11" t="str">
        <f aca="false">IF($B9="","",IF(CG9-CI9&gt;0.25,"Subvalora",IF(CI9-CG9&gt;0.25,"Sobreconfía","Consistente")))</f>
        <v>Subvalora</v>
      </c>
    </row>
    <row r="10" customFormat="false" ht="15" hidden="false" customHeight="true" outlineLevel="0" collapsed="false">
      <c r="A10" s="11" t="s">
        <v>155</v>
      </c>
      <c r="B10" s="11" t="s">
        <v>156</v>
      </c>
      <c r="C10" s="11" t="s">
        <v>157</v>
      </c>
      <c r="D10" s="11" t="s">
        <v>126</v>
      </c>
      <c r="E10" s="11" t="s">
        <v>106</v>
      </c>
      <c r="F10" s="11" t="s">
        <v>148</v>
      </c>
      <c r="G10" s="11" t="s">
        <v>108</v>
      </c>
      <c r="H10" s="11" t="s">
        <v>144</v>
      </c>
      <c r="I10" s="11" t="s">
        <v>158</v>
      </c>
      <c r="J10" s="11" t="n">
        <v>4</v>
      </c>
      <c r="K10" s="11" t="n">
        <v>5</v>
      </c>
      <c r="L10" s="11" t="n">
        <v>1</v>
      </c>
      <c r="M10" s="11" t="n">
        <v>3</v>
      </c>
      <c r="N10" s="11" t="n">
        <v>5</v>
      </c>
      <c r="O10" s="11" t="n">
        <v>1</v>
      </c>
      <c r="P10" s="11" t="n">
        <v>5</v>
      </c>
      <c r="Q10" s="11" t="n">
        <v>4</v>
      </c>
      <c r="R10" s="11" t="n">
        <v>5</v>
      </c>
      <c r="S10" s="11" t="n">
        <v>5</v>
      </c>
      <c r="T10" s="11" t="n">
        <v>5</v>
      </c>
      <c r="U10" s="11" t="n">
        <v>5</v>
      </c>
      <c r="V10" s="11" t="n">
        <v>5</v>
      </c>
      <c r="W10" s="11" t="n">
        <v>5</v>
      </c>
      <c r="X10" s="11" t="s">
        <v>121</v>
      </c>
      <c r="Y10" s="11" t="n">
        <v>5</v>
      </c>
      <c r="Z10" s="11" t="n">
        <v>3</v>
      </c>
      <c r="AA10" s="11" t="n">
        <v>5</v>
      </c>
      <c r="AB10" s="11" t="n">
        <v>4</v>
      </c>
      <c r="AC10" s="11" t="n">
        <v>5</v>
      </c>
      <c r="AD10" s="11" t="s">
        <v>112</v>
      </c>
      <c r="AE10" s="11" t="n">
        <v>5</v>
      </c>
      <c r="AF10" s="11" t="n">
        <v>3</v>
      </c>
      <c r="AG10" s="11" t="n">
        <v>4</v>
      </c>
      <c r="AH10" s="11" t="n">
        <v>5</v>
      </c>
      <c r="AI10" s="11" t="n">
        <v>5</v>
      </c>
      <c r="AJ10" s="11" t="n">
        <v>5</v>
      </c>
      <c r="AK10" s="11" t="n">
        <v>3</v>
      </c>
      <c r="AL10" s="11" t="n">
        <v>5</v>
      </c>
      <c r="AM10" s="11" t="n">
        <v>5</v>
      </c>
      <c r="AN10" s="11" t="n">
        <v>5</v>
      </c>
      <c r="AO10" s="11" t="n">
        <v>3</v>
      </c>
      <c r="AP10" s="11" t="n">
        <v>5</v>
      </c>
      <c r="AQ10" s="11" t="n">
        <v>5</v>
      </c>
      <c r="AR10" s="11" t="n">
        <v>5</v>
      </c>
      <c r="AS10" s="11" t="n">
        <v>5</v>
      </c>
      <c r="AT10" s="11" t="n">
        <v>4</v>
      </c>
      <c r="AU10" s="11" t="n">
        <v>5</v>
      </c>
      <c r="AV10" s="11" t="n">
        <v>5</v>
      </c>
      <c r="AW10" s="11" t="n">
        <v>5</v>
      </c>
      <c r="AX10" s="11" t="n">
        <v>5</v>
      </c>
      <c r="AY10" s="11" t="n">
        <v>4</v>
      </c>
      <c r="AZ10" s="11" t="n">
        <v>3</v>
      </c>
      <c r="BA10" s="11" t="s">
        <v>159</v>
      </c>
      <c r="BB10" s="11" t="n">
        <v>9</v>
      </c>
      <c r="BC10" s="11" t="n">
        <v>1</v>
      </c>
      <c r="BD10" s="11" t="n">
        <v>1</v>
      </c>
      <c r="BE10" s="11" t="n">
        <v>1</v>
      </c>
      <c r="BF10" s="11" t="n">
        <v>1</v>
      </c>
      <c r="BG10" s="11" t="n">
        <v>1</v>
      </c>
      <c r="BH10" s="11" t="n">
        <v>1</v>
      </c>
      <c r="BI10" s="11" t="n">
        <v>1</v>
      </c>
      <c r="BJ10" s="11" t="n">
        <v>1</v>
      </c>
      <c r="BK10" s="11" t="n">
        <v>1</v>
      </c>
      <c r="BL10" s="11" t="n">
        <f aca="false">IF($B10="","",6-L10)</f>
        <v>5</v>
      </c>
      <c r="BM10" s="11" t="n">
        <f aca="false">IF($B10="","",6-O10)</f>
        <v>5</v>
      </c>
      <c r="BN10" s="11" t="n">
        <f aca="false">IF($B10="","",J10+K10+BL10+M10+N10+BM10+P10+Q10+R10)</f>
        <v>41</v>
      </c>
      <c r="BO10" s="11" t="n">
        <f aca="false">IF($B10="","",SUM(S10:W10))</f>
        <v>25</v>
      </c>
      <c r="BP10" s="11" t="n">
        <f aca="false">IF($B10="","",SUM(Y10:AC10))</f>
        <v>22</v>
      </c>
      <c r="BQ10" s="11" t="n">
        <f aca="false">IF($B10="","",SUM(AE10:AK10))</f>
        <v>30</v>
      </c>
      <c r="BR10" s="11" t="n">
        <f aca="false">IF($B10="","",SUM(AL10:AR10))</f>
        <v>33</v>
      </c>
      <c r="BS10" s="11" t="n">
        <f aca="false">IF($B10="","",SUM(AS10:AY10))</f>
        <v>33</v>
      </c>
      <c r="BT10" s="12" t="n">
        <f aca="false">IF($B10="","",BN10/9)</f>
        <v>4.55555555555556</v>
      </c>
      <c r="BU10" s="12" t="n">
        <f aca="false">IF($B10="","",BO10/5)</f>
        <v>5</v>
      </c>
      <c r="BV10" s="12" t="n">
        <f aca="false">IF($B10="","",BP10/5)</f>
        <v>4.4</v>
      </c>
      <c r="BW10" s="12" t="n">
        <f aca="false">IF($B10="","",BQ10/7)</f>
        <v>4.28571428571429</v>
      </c>
      <c r="BX10" s="12" t="n">
        <f aca="false">IF($B10="","",BR10/7)</f>
        <v>4.71428571428571</v>
      </c>
      <c r="BY10" s="12" t="n">
        <f aca="false">IF($B10="","",BS10/7)</f>
        <v>4.71428571428571</v>
      </c>
      <c r="BZ10" s="11" t="n">
        <f aca="false">IF($B10="","",AZ10)</f>
        <v>3</v>
      </c>
      <c r="CA10" s="11" t="str">
        <f aca="false">IF($B10="","",IF(BT10&lt;2.5,"Explorador",IF(BT10&lt;3.75,"Integrador","Innovador")))</f>
        <v>Innovador</v>
      </c>
      <c r="CB10" s="11" t="str">
        <f aca="false">IF($B10="","",IF(BU10&lt;2.5,"Explorador",IF(BU10&lt;3.75,"Integrador","Innovador")))</f>
        <v>Innovador</v>
      </c>
      <c r="CC10" s="11" t="str">
        <f aca="false">IF($B10="","",IF(BV10&lt;2.5,"Explorador",IF(BV10&lt;3.75,"Integrador","Innovador")))</f>
        <v>Innovador</v>
      </c>
      <c r="CD10" s="11" t="str">
        <f aca="false">IF($B10="","",IF(BW10&lt;2.5,"Explorador",IF(BW10&lt;3.75,"Integrador","Innovador")))</f>
        <v>Innovador</v>
      </c>
      <c r="CE10" s="11" t="str">
        <f aca="false">IF($B10="","",IF(BX10&lt;2.5,"Explorador",IF(BX10&lt;3.75,"Integrador","Innovador")))</f>
        <v>Innovador</v>
      </c>
      <c r="CF10" s="11" t="str">
        <f aca="false">IF($B10="","",IF(BY10&lt;2.5,"Explorador",IF(BY10&lt;3.75,"Integrador","Innovador")))</f>
        <v>Innovador</v>
      </c>
      <c r="CG10" s="13" t="n">
        <f aca="false">IF($B10="","",BB10/9)</f>
        <v>1</v>
      </c>
      <c r="CH10" s="11" t="str">
        <f aca="false">IF($B10="","",IF(CG10&lt;0.4,"Bajo",IF(CG10&lt;0.7,"Medio","Alto")))</f>
        <v>Alto</v>
      </c>
      <c r="CI10" s="13" t="n">
        <f aca="false">IF($B10="","",((AVERAGE(BU10,BW10,BY10))-1)/4)</f>
        <v>0.916666666666667</v>
      </c>
      <c r="CJ10" s="11" t="str">
        <f aca="false">IF($B10="","",IF(CG10-CI10&gt;0.25,"Subvalora",IF(CI10-CG10&gt;0.25,"Sobreconfía","Consistente")))</f>
        <v>Consistente</v>
      </c>
    </row>
    <row r="11" customFormat="false" ht="15" hidden="false" customHeight="true" outlineLevel="0" collapsed="false">
      <c r="A11" s="11" t="s">
        <v>160</v>
      </c>
      <c r="B11" s="11" t="s">
        <v>161</v>
      </c>
      <c r="C11" s="11" t="s">
        <v>162</v>
      </c>
      <c r="D11" s="11" t="s">
        <v>126</v>
      </c>
      <c r="E11" s="11" t="s">
        <v>163</v>
      </c>
      <c r="F11" s="11" t="s">
        <v>107</v>
      </c>
      <c r="G11" s="11" t="s">
        <v>108</v>
      </c>
      <c r="H11" s="11" t="s">
        <v>144</v>
      </c>
      <c r="I11" s="11" t="s">
        <v>120</v>
      </c>
      <c r="J11" s="11" t="n">
        <v>5</v>
      </c>
      <c r="K11" s="11" t="n">
        <v>4</v>
      </c>
      <c r="L11" s="11" t="n">
        <v>1</v>
      </c>
      <c r="M11" s="11" t="n">
        <v>5</v>
      </c>
      <c r="N11" s="11" t="n">
        <v>5</v>
      </c>
      <c r="O11" s="11" t="n">
        <v>1</v>
      </c>
      <c r="P11" s="11" t="n">
        <v>5</v>
      </c>
      <c r="Q11" s="11" t="n">
        <v>5</v>
      </c>
      <c r="R11" s="11" t="n">
        <v>5</v>
      </c>
      <c r="S11" s="11" t="n">
        <v>5</v>
      </c>
      <c r="T11" s="11" t="n">
        <v>5</v>
      </c>
      <c r="U11" s="11" t="n">
        <v>5</v>
      </c>
      <c r="V11" s="11" t="n">
        <v>5</v>
      </c>
      <c r="W11" s="11" t="n">
        <v>5</v>
      </c>
      <c r="X11" s="11" t="s">
        <v>111</v>
      </c>
      <c r="Y11" s="11" t="n">
        <v>5</v>
      </c>
      <c r="Z11" s="11" t="n">
        <v>5</v>
      </c>
      <c r="AA11" s="11" t="n">
        <v>5</v>
      </c>
      <c r="AB11" s="11" t="n">
        <v>5</v>
      </c>
      <c r="AC11" s="11" t="n">
        <v>5</v>
      </c>
      <c r="AD11" s="11" t="s">
        <v>112</v>
      </c>
      <c r="AE11" s="11" t="n">
        <v>5</v>
      </c>
      <c r="AF11" s="11" t="n">
        <v>5</v>
      </c>
      <c r="AG11" s="11" t="n">
        <v>3</v>
      </c>
      <c r="AH11" s="11" t="n">
        <v>3</v>
      </c>
      <c r="AI11" s="11" t="n">
        <v>5</v>
      </c>
      <c r="AJ11" s="11" t="n">
        <v>5</v>
      </c>
      <c r="AK11" s="11" t="n">
        <v>5</v>
      </c>
      <c r="AL11" s="11" t="n">
        <v>5</v>
      </c>
      <c r="AM11" s="11" t="n">
        <v>4</v>
      </c>
      <c r="AN11" s="11" t="n">
        <v>5</v>
      </c>
      <c r="AO11" s="11" t="n">
        <v>4</v>
      </c>
      <c r="AP11" s="11" t="n">
        <v>5</v>
      </c>
      <c r="AQ11" s="11" t="n">
        <v>5</v>
      </c>
      <c r="AR11" s="11" t="n">
        <v>4</v>
      </c>
      <c r="AS11" s="11" t="n">
        <v>5</v>
      </c>
      <c r="AT11" s="11" t="n">
        <v>4</v>
      </c>
      <c r="AU11" s="11" t="n">
        <v>5</v>
      </c>
      <c r="AV11" s="11" t="n">
        <v>4</v>
      </c>
      <c r="AW11" s="11" t="n">
        <v>5</v>
      </c>
      <c r="AX11" s="11" t="n">
        <v>5</v>
      </c>
      <c r="AY11" s="11" t="n">
        <v>4</v>
      </c>
      <c r="AZ11" s="11" t="n">
        <v>5</v>
      </c>
      <c r="BA11" s="11" t="s">
        <v>133</v>
      </c>
      <c r="BB11" s="11" t="n">
        <v>9</v>
      </c>
      <c r="BC11" s="11" t="n">
        <v>1</v>
      </c>
      <c r="BD11" s="11" t="n">
        <v>1</v>
      </c>
      <c r="BE11" s="11" t="n">
        <v>1</v>
      </c>
      <c r="BF11" s="11" t="n">
        <v>1</v>
      </c>
      <c r="BG11" s="11" t="n">
        <v>1</v>
      </c>
      <c r="BH11" s="11" t="n">
        <v>1</v>
      </c>
      <c r="BI11" s="11" t="n">
        <v>1</v>
      </c>
      <c r="BJ11" s="11" t="n">
        <v>1</v>
      </c>
      <c r="BK11" s="11" t="n">
        <v>1</v>
      </c>
      <c r="BL11" s="11" t="n">
        <f aca="false">IF($B11="","",6-L11)</f>
        <v>5</v>
      </c>
      <c r="BM11" s="11" t="n">
        <f aca="false">IF($B11="","",6-O11)</f>
        <v>5</v>
      </c>
      <c r="BN11" s="11" t="n">
        <f aca="false">IF($B11="","",J11+K11+BL11+M11+N11+BM11+P11+Q11+R11)</f>
        <v>44</v>
      </c>
      <c r="BO11" s="11" t="n">
        <f aca="false">IF($B11="","",SUM(S11:W11))</f>
        <v>25</v>
      </c>
      <c r="BP11" s="11" t="n">
        <f aca="false">IF($B11="","",SUM(Y11:AC11))</f>
        <v>25</v>
      </c>
      <c r="BQ11" s="11" t="n">
        <f aca="false">IF($B11="","",SUM(AE11:AK11))</f>
        <v>31</v>
      </c>
      <c r="BR11" s="11" t="n">
        <f aca="false">IF($B11="","",SUM(AL11:AR11))</f>
        <v>32</v>
      </c>
      <c r="BS11" s="11" t="n">
        <f aca="false">IF($B11="","",SUM(AS11:AY11))</f>
        <v>32</v>
      </c>
      <c r="BT11" s="12" t="n">
        <f aca="false">IF($B11="","",BN11/9)</f>
        <v>4.88888888888889</v>
      </c>
      <c r="BU11" s="12" t="n">
        <f aca="false">IF($B11="","",BO11/5)</f>
        <v>5</v>
      </c>
      <c r="BV11" s="12" t="n">
        <f aca="false">IF($B11="","",BP11/5)</f>
        <v>5</v>
      </c>
      <c r="BW11" s="12" t="n">
        <f aca="false">IF($B11="","",BQ11/7)</f>
        <v>4.42857142857143</v>
      </c>
      <c r="BX11" s="12" t="n">
        <f aca="false">IF($B11="","",BR11/7)</f>
        <v>4.57142857142857</v>
      </c>
      <c r="BY11" s="12" t="n">
        <f aca="false">IF($B11="","",BS11/7)</f>
        <v>4.57142857142857</v>
      </c>
      <c r="BZ11" s="11" t="n">
        <f aca="false">IF($B11="","",AZ11)</f>
        <v>5</v>
      </c>
      <c r="CA11" s="11" t="str">
        <f aca="false">IF($B11="","",IF(BT11&lt;2.5,"Explorador",IF(BT11&lt;3.75,"Integrador","Innovador")))</f>
        <v>Innovador</v>
      </c>
      <c r="CB11" s="11" t="str">
        <f aca="false">IF($B11="","",IF(BU11&lt;2.5,"Explorador",IF(BU11&lt;3.75,"Integrador","Innovador")))</f>
        <v>Innovador</v>
      </c>
      <c r="CC11" s="11" t="str">
        <f aca="false">IF($B11="","",IF(BV11&lt;2.5,"Explorador",IF(BV11&lt;3.75,"Integrador","Innovador")))</f>
        <v>Innovador</v>
      </c>
      <c r="CD11" s="11" t="str">
        <f aca="false">IF($B11="","",IF(BW11&lt;2.5,"Explorador",IF(BW11&lt;3.75,"Integrador","Innovador")))</f>
        <v>Innovador</v>
      </c>
      <c r="CE11" s="11" t="str">
        <f aca="false">IF($B11="","",IF(BX11&lt;2.5,"Explorador",IF(BX11&lt;3.75,"Integrador","Innovador")))</f>
        <v>Innovador</v>
      </c>
      <c r="CF11" s="11" t="str">
        <f aca="false">IF($B11="","",IF(BY11&lt;2.5,"Explorador",IF(BY11&lt;3.75,"Integrador","Innovador")))</f>
        <v>Innovador</v>
      </c>
      <c r="CG11" s="13" t="n">
        <f aca="false">IF($B11="","",BB11/9)</f>
        <v>1</v>
      </c>
      <c r="CH11" s="11" t="str">
        <f aca="false">IF($B11="","",IF(CG11&lt;0.4,"Bajo",IF(CG11&lt;0.7,"Medio","Alto")))</f>
        <v>Alto</v>
      </c>
      <c r="CI11" s="13" t="n">
        <f aca="false">IF($B11="","",((AVERAGE(BU11,BW11,BY11))-1)/4)</f>
        <v>0.916666666666667</v>
      </c>
      <c r="CJ11" s="11" t="str">
        <f aca="false">IF($B11="","",IF(CG11-CI11&gt;0.25,"Subvalora",IF(CI11-CG11&gt;0.25,"Sobreconfía","Consistente")))</f>
        <v>Consistente</v>
      </c>
    </row>
    <row r="12" customFormat="false" ht="15" hidden="false" customHeight="true" outlineLevel="0" collapsed="false">
      <c r="A12" s="11" t="s">
        <v>164</v>
      </c>
      <c r="B12" s="11" t="s">
        <v>165</v>
      </c>
      <c r="C12" s="11" t="s">
        <v>166</v>
      </c>
      <c r="D12" s="11" t="s">
        <v>105</v>
      </c>
      <c r="E12" s="11" t="s">
        <v>163</v>
      </c>
      <c r="F12" s="11" t="s">
        <v>107</v>
      </c>
      <c r="G12" s="11" t="s">
        <v>108</v>
      </c>
      <c r="H12" s="11" t="s">
        <v>109</v>
      </c>
      <c r="I12" s="11" t="s">
        <v>129</v>
      </c>
      <c r="J12" s="11" t="n">
        <v>5</v>
      </c>
      <c r="K12" s="11" t="n">
        <v>5</v>
      </c>
      <c r="L12" s="11" t="n">
        <v>1</v>
      </c>
      <c r="M12" s="11" t="n">
        <v>5</v>
      </c>
      <c r="N12" s="11" t="n">
        <v>3</v>
      </c>
      <c r="O12" s="11" t="n">
        <v>1</v>
      </c>
      <c r="P12" s="11" t="n">
        <v>4</v>
      </c>
      <c r="Q12" s="11" t="n">
        <v>4</v>
      </c>
      <c r="R12" s="11" t="n">
        <v>5</v>
      </c>
      <c r="S12" s="11" t="n">
        <v>4</v>
      </c>
      <c r="T12" s="11" t="n">
        <v>5</v>
      </c>
      <c r="U12" s="11" t="n">
        <v>4</v>
      </c>
      <c r="V12" s="11" t="n">
        <v>4</v>
      </c>
      <c r="W12" s="11" t="n">
        <v>5</v>
      </c>
      <c r="X12" s="11" t="s">
        <v>111</v>
      </c>
      <c r="Y12" s="11" t="n">
        <v>5</v>
      </c>
      <c r="Z12" s="11" t="n">
        <v>5</v>
      </c>
      <c r="AA12" s="11" t="n">
        <v>5</v>
      </c>
      <c r="AB12" s="11" t="n">
        <v>5</v>
      </c>
      <c r="AC12" s="11" t="n">
        <v>4</v>
      </c>
      <c r="AD12" s="11" t="s">
        <v>121</v>
      </c>
      <c r="AE12" s="11" t="n">
        <v>5</v>
      </c>
      <c r="AF12" s="11" t="n">
        <v>5</v>
      </c>
      <c r="AG12" s="11" t="n">
        <v>5</v>
      </c>
      <c r="AH12" s="11" t="n">
        <v>5</v>
      </c>
      <c r="AI12" s="11" t="n">
        <v>5</v>
      </c>
      <c r="AJ12" s="11" t="n">
        <v>5</v>
      </c>
      <c r="AK12" s="11" t="n">
        <v>5</v>
      </c>
      <c r="AL12" s="11" t="n">
        <v>5</v>
      </c>
      <c r="AM12" s="11" t="n">
        <v>5</v>
      </c>
      <c r="AN12" s="11" t="n">
        <v>5</v>
      </c>
      <c r="AO12" s="11" t="n">
        <v>4</v>
      </c>
      <c r="AP12" s="11" t="n">
        <v>5</v>
      </c>
      <c r="AQ12" s="11" t="n">
        <v>5</v>
      </c>
      <c r="AR12" s="11" t="n">
        <v>4</v>
      </c>
      <c r="AS12" s="11" t="n">
        <v>5</v>
      </c>
      <c r="AT12" s="11" t="n">
        <v>5</v>
      </c>
      <c r="AU12" s="11" t="n">
        <v>4</v>
      </c>
      <c r="AV12" s="11" t="n">
        <v>4</v>
      </c>
      <c r="AW12" s="11" t="n">
        <v>4</v>
      </c>
      <c r="AX12" s="11" t="n">
        <v>5</v>
      </c>
      <c r="AY12" s="11" t="n">
        <v>4</v>
      </c>
      <c r="AZ12" s="11" t="n">
        <v>5</v>
      </c>
      <c r="BA12" s="11" t="s">
        <v>167</v>
      </c>
      <c r="BB12" s="11" t="n">
        <v>9</v>
      </c>
      <c r="BC12" s="11" t="n">
        <v>1</v>
      </c>
      <c r="BD12" s="11" t="n">
        <v>1</v>
      </c>
      <c r="BE12" s="11" t="n">
        <v>1</v>
      </c>
      <c r="BF12" s="11" t="n">
        <v>1</v>
      </c>
      <c r="BG12" s="11" t="n">
        <v>1</v>
      </c>
      <c r="BH12" s="11" t="n">
        <v>1</v>
      </c>
      <c r="BI12" s="11" t="n">
        <v>1</v>
      </c>
      <c r="BJ12" s="11" t="n">
        <v>1</v>
      </c>
      <c r="BK12" s="11" t="n">
        <v>1</v>
      </c>
      <c r="BL12" s="11" t="n">
        <f aca="false">IF($B12="","",6-L12)</f>
        <v>5</v>
      </c>
      <c r="BM12" s="11" t="n">
        <f aca="false">IF($B12="","",6-O12)</f>
        <v>5</v>
      </c>
      <c r="BN12" s="11" t="n">
        <f aca="false">IF($B12="","",J12+K12+BL12+M12+N12+BM12+P12+Q12+R12)</f>
        <v>41</v>
      </c>
      <c r="BO12" s="11" t="n">
        <f aca="false">IF($B12="","",SUM(S12:W12))</f>
        <v>22</v>
      </c>
      <c r="BP12" s="11" t="n">
        <f aca="false">IF($B12="","",SUM(Y12:AC12))</f>
        <v>24</v>
      </c>
      <c r="BQ12" s="11" t="n">
        <f aca="false">IF($B12="","",SUM(AE12:AK12))</f>
        <v>35</v>
      </c>
      <c r="BR12" s="11" t="n">
        <f aca="false">IF($B12="","",SUM(AL12:AR12))</f>
        <v>33</v>
      </c>
      <c r="BS12" s="11" t="n">
        <f aca="false">IF($B12="","",SUM(AS12:AY12))</f>
        <v>31</v>
      </c>
      <c r="BT12" s="12" t="n">
        <f aca="false">IF($B12="","",BN12/9)</f>
        <v>4.55555555555556</v>
      </c>
      <c r="BU12" s="12" t="n">
        <f aca="false">IF($B12="","",BO12/5)</f>
        <v>4.4</v>
      </c>
      <c r="BV12" s="12" t="n">
        <f aca="false">IF($B12="","",BP12/5)</f>
        <v>4.8</v>
      </c>
      <c r="BW12" s="12" t="n">
        <f aca="false">IF($B12="","",BQ12/7)</f>
        <v>5</v>
      </c>
      <c r="BX12" s="12" t="n">
        <f aca="false">IF($B12="","",BR12/7)</f>
        <v>4.71428571428571</v>
      </c>
      <c r="BY12" s="12" t="n">
        <f aca="false">IF($B12="","",BS12/7)</f>
        <v>4.42857142857143</v>
      </c>
      <c r="BZ12" s="11" t="n">
        <f aca="false">IF($B12="","",AZ12)</f>
        <v>5</v>
      </c>
      <c r="CA12" s="11" t="str">
        <f aca="false">IF($B12="","",IF(BT12&lt;2.5,"Explorador",IF(BT12&lt;3.75,"Integrador","Innovador")))</f>
        <v>Innovador</v>
      </c>
      <c r="CB12" s="11" t="str">
        <f aca="false">IF($B12="","",IF(BU12&lt;2.5,"Explorador",IF(BU12&lt;3.75,"Integrador","Innovador")))</f>
        <v>Innovador</v>
      </c>
      <c r="CC12" s="11" t="str">
        <f aca="false">IF($B12="","",IF(BV12&lt;2.5,"Explorador",IF(BV12&lt;3.75,"Integrador","Innovador")))</f>
        <v>Innovador</v>
      </c>
      <c r="CD12" s="11" t="str">
        <f aca="false">IF($B12="","",IF(BW12&lt;2.5,"Explorador",IF(BW12&lt;3.75,"Integrador","Innovador")))</f>
        <v>Innovador</v>
      </c>
      <c r="CE12" s="11" t="str">
        <f aca="false">IF($B12="","",IF(BX12&lt;2.5,"Explorador",IF(BX12&lt;3.75,"Integrador","Innovador")))</f>
        <v>Innovador</v>
      </c>
      <c r="CF12" s="11" t="str">
        <f aca="false">IF($B12="","",IF(BY12&lt;2.5,"Explorador",IF(BY12&lt;3.75,"Integrador","Innovador")))</f>
        <v>Innovador</v>
      </c>
      <c r="CG12" s="13" t="n">
        <f aca="false">IF($B12="","",BB12/9)</f>
        <v>1</v>
      </c>
      <c r="CH12" s="11" t="str">
        <f aca="false">IF($B12="","",IF(CG12&lt;0.4,"Bajo",IF(CG12&lt;0.7,"Medio","Alto")))</f>
        <v>Alto</v>
      </c>
      <c r="CI12" s="13" t="n">
        <f aca="false">IF($B12="","",((AVERAGE(BU12,BW12,BY12))-1)/4)</f>
        <v>0.902380952380953</v>
      </c>
      <c r="CJ12" s="11" t="str">
        <f aca="false">IF($B12="","",IF(CG12-CI12&gt;0.25,"Subvalora",IF(CI12-CG12&gt;0.25,"Sobreconfía","Consistente")))</f>
        <v>Consistente</v>
      </c>
    </row>
    <row r="13" customFormat="false" ht="15" hidden="false" customHeight="true" outlineLevel="0" collapsed="false">
      <c r="A13" s="11" t="s">
        <v>168</v>
      </c>
      <c r="B13" s="11" t="s">
        <v>169</v>
      </c>
      <c r="C13" s="11" t="s">
        <v>170</v>
      </c>
      <c r="D13" s="11" t="s">
        <v>126</v>
      </c>
      <c r="E13" s="11" t="s">
        <v>153</v>
      </c>
      <c r="F13" s="11" t="s">
        <v>148</v>
      </c>
      <c r="G13" s="11" t="s">
        <v>119</v>
      </c>
      <c r="H13" s="11" t="s">
        <v>128</v>
      </c>
      <c r="I13" s="11" t="s">
        <v>120</v>
      </c>
      <c r="J13" s="11" t="n">
        <v>5</v>
      </c>
      <c r="K13" s="11" t="n">
        <v>5</v>
      </c>
      <c r="L13" s="11" t="n">
        <v>4</v>
      </c>
      <c r="M13" s="11" t="n">
        <v>5</v>
      </c>
      <c r="N13" s="11" t="n">
        <v>5</v>
      </c>
      <c r="O13" s="11" t="n">
        <v>2</v>
      </c>
      <c r="P13" s="11" t="n">
        <v>5</v>
      </c>
      <c r="Q13" s="11" t="n">
        <v>5</v>
      </c>
      <c r="R13" s="11" t="n">
        <v>5</v>
      </c>
      <c r="S13" s="11" t="n">
        <v>5</v>
      </c>
      <c r="T13" s="11" t="n">
        <v>5</v>
      </c>
      <c r="U13" s="11" t="n">
        <v>5</v>
      </c>
      <c r="V13" s="11" t="n">
        <v>4</v>
      </c>
      <c r="W13" s="11" t="n">
        <v>3</v>
      </c>
      <c r="X13" s="11" t="s">
        <v>171</v>
      </c>
      <c r="Y13" s="11" t="n">
        <v>5</v>
      </c>
      <c r="Z13" s="11" t="n">
        <v>3</v>
      </c>
      <c r="AA13" s="11" t="n">
        <v>2</v>
      </c>
      <c r="AB13" s="11" t="n">
        <v>2</v>
      </c>
      <c r="AC13" s="11" t="n">
        <v>3</v>
      </c>
      <c r="AD13" s="11" t="s">
        <v>171</v>
      </c>
      <c r="AE13" s="11" t="n">
        <v>5</v>
      </c>
      <c r="AF13" s="11" t="n">
        <v>5</v>
      </c>
      <c r="AG13" s="11" t="n">
        <v>3</v>
      </c>
      <c r="AH13" s="11" t="n">
        <v>2</v>
      </c>
      <c r="AI13" s="11" t="n">
        <v>3</v>
      </c>
      <c r="AJ13" s="11" t="n">
        <v>3</v>
      </c>
      <c r="AK13" s="11" t="n">
        <v>3</v>
      </c>
      <c r="AL13" s="11" t="n">
        <v>4</v>
      </c>
      <c r="AM13" s="11" t="n">
        <v>4</v>
      </c>
      <c r="AN13" s="11" t="n">
        <v>3</v>
      </c>
      <c r="AO13" s="11" t="n">
        <v>3</v>
      </c>
      <c r="AP13" s="11" t="n">
        <v>3</v>
      </c>
      <c r="AQ13" s="11" t="n">
        <v>3</v>
      </c>
      <c r="AR13" s="11" t="n">
        <v>2</v>
      </c>
      <c r="AS13" s="11" t="n">
        <v>4</v>
      </c>
      <c r="AT13" s="11" t="n">
        <v>5</v>
      </c>
      <c r="AU13" s="11" t="n">
        <v>5</v>
      </c>
      <c r="AV13" s="11" t="n">
        <v>4</v>
      </c>
      <c r="AW13" s="11" t="n">
        <v>4</v>
      </c>
      <c r="AX13" s="11" t="n">
        <v>4</v>
      </c>
      <c r="AY13" s="11" t="n">
        <v>3</v>
      </c>
      <c r="AZ13" s="11" t="n">
        <v>3</v>
      </c>
      <c r="BA13" s="11" t="s">
        <v>133</v>
      </c>
      <c r="BB13" s="11" t="n">
        <v>8</v>
      </c>
      <c r="BC13" s="11" t="n">
        <v>1</v>
      </c>
      <c r="BD13" s="11" t="n">
        <v>1</v>
      </c>
      <c r="BE13" s="11" t="n">
        <v>1</v>
      </c>
      <c r="BF13" s="11" t="n">
        <v>0</v>
      </c>
      <c r="BG13" s="11" t="n">
        <v>1</v>
      </c>
      <c r="BH13" s="11" t="n">
        <v>1</v>
      </c>
      <c r="BI13" s="11" t="n">
        <v>1</v>
      </c>
      <c r="BJ13" s="11" t="n">
        <v>1</v>
      </c>
      <c r="BK13" s="11" t="n">
        <v>1</v>
      </c>
      <c r="BL13" s="11" t="n">
        <f aca="false">IF($B13="","",6-L13)</f>
        <v>2</v>
      </c>
      <c r="BM13" s="11" t="n">
        <f aca="false">IF($B13="","",6-O13)</f>
        <v>4</v>
      </c>
      <c r="BN13" s="11" t="n">
        <f aca="false">IF($B13="","",J13+K13+BL13+M13+N13+BM13+P13+Q13+R13)</f>
        <v>41</v>
      </c>
      <c r="BO13" s="11" t="n">
        <f aca="false">IF($B13="","",SUM(S13:W13))</f>
        <v>22</v>
      </c>
      <c r="BP13" s="11" t="n">
        <f aca="false">IF($B13="","",SUM(Y13:AC13))</f>
        <v>15</v>
      </c>
      <c r="BQ13" s="11" t="n">
        <f aca="false">IF($B13="","",SUM(AE13:AK13))</f>
        <v>24</v>
      </c>
      <c r="BR13" s="11" t="n">
        <f aca="false">IF($B13="","",SUM(AL13:AR13))</f>
        <v>22</v>
      </c>
      <c r="BS13" s="11" t="n">
        <f aca="false">IF($B13="","",SUM(AS13:AY13))</f>
        <v>29</v>
      </c>
      <c r="BT13" s="12" t="n">
        <f aca="false">IF($B13="","",BN13/9)</f>
        <v>4.55555555555556</v>
      </c>
      <c r="BU13" s="12" t="n">
        <f aca="false">IF($B13="","",BO13/5)</f>
        <v>4.4</v>
      </c>
      <c r="BV13" s="12" t="n">
        <f aca="false">IF($B13="","",BP13/5)</f>
        <v>3</v>
      </c>
      <c r="BW13" s="12" t="n">
        <f aca="false">IF($B13="","",BQ13/7)</f>
        <v>3.42857142857143</v>
      </c>
      <c r="BX13" s="12" t="n">
        <f aca="false">IF($B13="","",BR13/7)</f>
        <v>3.14285714285714</v>
      </c>
      <c r="BY13" s="12" t="n">
        <f aca="false">IF($B13="","",BS13/7)</f>
        <v>4.14285714285714</v>
      </c>
      <c r="BZ13" s="11" t="n">
        <f aca="false">IF($B13="","",AZ13)</f>
        <v>3</v>
      </c>
      <c r="CA13" s="11" t="str">
        <f aca="false">IF($B13="","",IF(BT13&lt;2.5,"Explorador",IF(BT13&lt;3.75,"Integrador","Innovador")))</f>
        <v>Innovador</v>
      </c>
      <c r="CB13" s="11" t="str">
        <f aca="false">IF($B13="","",IF(BU13&lt;2.5,"Explorador",IF(BU13&lt;3.75,"Integrador","Innovador")))</f>
        <v>Innovador</v>
      </c>
      <c r="CC13" s="11" t="str">
        <f aca="false">IF($B13="","",IF(BV13&lt;2.5,"Explorador",IF(BV13&lt;3.75,"Integrador","Innovador")))</f>
        <v>Integrador</v>
      </c>
      <c r="CD13" s="11" t="str">
        <f aca="false">IF($B13="","",IF(BW13&lt;2.5,"Explorador",IF(BW13&lt;3.75,"Integrador","Innovador")))</f>
        <v>Integrador</v>
      </c>
      <c r="CE13" s="11" t="str">
        <f aca="false">IF($B13="","",IF(BX13&lt;2.5,"Explorador",IF(BX13&lt;3.75,"Integrador","Innovador")))</f>
        <v>Integrador</v>
      </c>
      <c r="CF13" s="11" t="str">
        <f aca="false">IF($B13="","",IF(BY13&lt;2.5,"Explorador",IF(BY13&lt;3.75,"Integrador","Innovador")))</f>
        <v>Innovador</v>
      </c>
      <c r="CG13" s="13" t="n">
        <f aca="false">IF($B13="","",BB13/9)</f>
        <v>0.888888888888889</v>
      </c>
      <c r="CH13" s="11" t="str">
        <f aca="false">IF($B13="","",IF(CG13&lt;0.4,"Bajo",IF(CG13&lt;0.7,"Medio","Alto")))</f>
        <v>Alto</v>
      </c>
      <c r="CI13" s="13" t="n">
        <f aca="false">IF($B13="","",((AVERAGE(BU13,BW13,BY13))-1)/4)</f>
        <v>0.747619047619048</v>
      </c>
      <c r="CJ13" s="11" t="str">
        <f aca="false">IF($B13="","",IF(CG13-CI13&gt;0.25,"Subvalora",IF(CI13-CG13&gt;0.25,"Sobreconfía","Consistente")))</f>
        <v>Consistente</v>
      </c>
    </row>
    <row r="14" customFormat="false" ht="15" hidden="false" customHeight="true" outlineLevel="0" collapsed="false">
      <c r="A14" s="11" t="s">
        <v>172</v>
      </c>
      <c r="B14" s="11" t="s">
        <v>173</v>
      </c>
      <c r="C14" s="11" t="s">
        <v>174</v>
      </c>
      <c r="D14" s="11" t="s">
        <v>105</v>
      </c>
      <c r="E14" s="11" t="s">
        <v>175</v>
      </c>
      <c r="F14" s="11" t="s">
        <v>107</v>
      </c>
      <c r="G14" s="11" t="s">
        <v>108</v>
      </c>
      <c r="H14" s="11" t="s">
        <v>109</v>
      </c>
      <c r="I14" s="11" t="s">
        <v>120</v>
      </c>
      <c r="J14" s="11" t="n">
        <v>5</v>
      </c>
      <c r="K14" s="11" t="n">
        <v>5</v>
      </c>
      <c r="L14" s="11" t="n">
        <v>2</v>
      </c>
      <c r="M14" s="11" t="n">
        <v>5</v>
      </c>
      <c r="N14" s="11" t="n">
        <v>5</v>
      </c>
      <c r="O14" s="11" t="n">
        <v>1</v>
      </c>
      <c r="P14" s="11" t="n">
        <v>4</v>
      </c>
      <c r="Q14" s="11" t="n">
        <v>4</v>
      </c>
      <c r="R14" s="11" t="n">
        <v>5</v>
      </c>
      <c r="S14" s="11" t="n">
        <v>4</v>
      </c>
      <c r="T14" s="11" t="n">
        <v>5</v>
      </c>
      <c r="U14" s="11" t="n">
        <v>5</v>
      </c>
      <c r="V14" s="11" t="n">
        <v>5</v>
      </c>
      <c r="W14" s="11" t="n">
        <v>5</v>
      </c>
      <c r="X14" s="11" t="s">
        <v>121</v>
      </c>
      <c r="Y14" s="11" t="n">
        <v>5</v>
      </c>
      <c r="Z14" s="11" t="n">
        <v>4</v>
      </c>
      <c r="AA14" s="11" t="n">
        <v>4</v>
      </c>
      <c r="AB14" s="11" t="n">
        <v>4</v>
      </c>
      <c r="AC14" s="11" t="n">
        <v>4</v>
      </c>
      <c r="AD14" s="11" t="s">
        <v>111</v>
      </c>
      <c r="AE14" s="11" t="n">
        <v>5</v>
      </c>
      <c r="AF14" s="11" t="n">
        <v>5</v>
      </c>
      <c r="AG14" s="11" t="n">
        <v>4</v>
      </c>
      <c r="AH14" s="11" t="n">
        <v>3</v>
      </c>
      <c r="AI14" s="11" t="n">
        <v>5</v>
      </c>
      <c r="AJ14" s="11" t="n">
        <v>5</v>
      </c>
      <c r="AK14" s="11" t="n">
        <v>5</v>
      </c>
      <c r="AL14" s="11" t="n">
        <v>5</v>
      </c>
      <c r="AM14" s="11" t="n">
        <v>4</v>
      </c>
      <c r="AN14" s="11" t="n">
        <v>4</v>
      </c>
      <c r="AO14" s="11" t="n">
        <v>4</v>
      </c>
      <c r="AP14" s="11" t="n">
        <v>4</v>
      </c>
      <c r="AQ14" s="11" t="n">
        <v>4</v>
      </c>
      <c r="AR14" s="11" t="n">
        <v>5</v>
      </c>
      <c r="AS14" s="11" t="n">
        <v>4</v>
      </c>
      <c r="AT14" s="11" t="n">
        <v>4</v>
      </c>
      <c r="AU14" s="11" t="n">
        <v>4</v>
      </c>
      <c r="AV14" s="11" t="n">
        <v>5</v>
      </c>
      <c r="AW14" s="11" t="n">
        <v>4</v>
      </c>
      <c r="AX14" s="11" t="n">
        <v>4</v>
      </c>
      <c r="AY14" s="11" t="n">
        <v>4</v>
      </c>
      <c r="AZ14" s="11" t="n">
        <v>5</v>
      </c>
      <c r="BA14" s="11" t="s">
        <v>176</v>
      </c>
      <c r="BB14" s="11" t="n">
        <v>9</v>
      </c>
      <c r="BC14" s="11" t="n">
        <v>1</v>
      </c>
      <c r="BD14" s="11" t="n">
        <v>1</v>
      </c>
      <c r="BE14" s="11" t="n">
        <v>1</v>
      </c>
      <c r="BF14" s="11" t="n">
        <v>1</v>
      </c>
      <c r="BG14" s="11" t="n">
        <v>1</v>
      </c>
      <c r="BH14" s="11" t="n">
        <v>1</v>
      </c>
      <c r="BI14" s="11" t="n">
        <v>1</v>
      </c>
      <c r="BJ14" s="11" t="n">
        <v>1</v>
      </c>
      <c r="BK14" s="11" t="n">
        <v>1</v>
      </c>
      <c r="BL14" s="11" t="n">
        <f aca="false">IF($B14="","",6-L14)</f>
        <v>4</v>
      </c>
      <c r="BM14" s="11" t="n">
        <f aca="false">IF($B14="","",6-O14)</f>
        <v>5</v>
      </c>
      <c r="BN14" s="11" t="n">
        <f aca="false">IF($B14="","",J14+K14+BL14+M14+N14+BM14+P14+Q14+R14)</f>
        <v>42</v>
      </c>
      <c r="BO14" s="11" t="n">
        <f aca="false">IF($B14="","",SUM(S14:W14))</f>
        <v>24</v>
      </c>
      <c r="BP14" s="11" t="n">
        <f aca="false">IF($B14="","",SUM(Y14:AC14))</f>
        <v>21</v>
      </c>
      <c r="BQ14" s="11" t="n">
        <f aca="false">IF($B14="","",SUM(AE14:AK14))</f>
        <v>32</v>
      </c>
      <c r="BR14" s="11" t="n">
        <f aca="false">IF($B14="","",SUM(AL14:AR14))</f>
        <v>30</v>
      </c>
      <c r="BS14" s="11" t="n">
        <f aca="false">IF($B14="","",SUM(AS14:AY14))</f>
        <v>29</v>
      </c>
      <c r="BT14" s="12" t="n">
        <f aca="false">IF($B14="","",BN14/9)</f>
        <v>4.66666666666667</v>
      </c>
      <c r="BU14" s="12" t="n">
        <f aca="false">IF($B14="","",BO14/5)</f>
        <v>4.8</v>
      </c>
      <c r="BV14" s="12" t="n">
        <f aca="false">IF($B14="","",BP14/5)</f>
        <v>4.2</v>
      </c>
      <c r="BW14" s="12" t="n">
        <f aca="false">IF($B14="","",BQ14/7)</f>
        <v>4.57142857142857</v>
      </c>
      <c r="BX14" s="12" t="n">
        <f aca="false">IF($B14="","",BR14/7)</f>
        <v>4.28571428571429</v>
      </c>
      <c r="BY14" s="12" t="n">
        <f aca="false">IF($B14="","",BS14/7)</f>
        <v>4.14285714285714</v>
      </c>
      <c r="BZ14" s="11" t="n">
        <f aca="false">IF($B14="","",AZ14)</f>
        <v>5</v>
      </c>
      <c r="CA14" s="11" t="str">
        <f aca="false">IF($B14="","",IF(BT14&lt;2.5,"Explorador",IF(BT14&lt;3.75,"Integrador","Innovador")))</f>
        <v>Innovador</v>
      </c>
      <c r="CB14" s="11" t="str">
        <f aca="false">IF($B14="","",IF(BU14&lt;2.5,"Explorador",IF(BU14&lt;3.75,"Integrador","Innovador")))</f>
        <v>Innovador</v>
      </c>
      <c r="CC14" s="11" t="str">
        <f aca="false">IF($B14="","",IF(BV14&lt;2.5,"Explorador",IF(BV14&lt;3.75,"Integrador","Innovador")))</f>
        <v>Innovador</v>
      </c>
      <c r="CD14" s="11" t="str">
        <f aca="false">IF($B14="","",IF(BW14&lt;2.5,"Explorador",IF(BW14&lt;3.75,"Integrador","Innovador")))</f>
        <v>Innovador</v>
      </c>
      <c r="CE14" s="11" t="str">
        <f aca="false">IF($B14="","",IF(BX14&lt;2.5,"Explorador",IF(BX14&lt;3.75,"Integrador","Innovador")))</f>
        <v>Innovador</v>
      </c>
      <c r="CF14" s="11" t="str">
        <f aca="false">IF($B14="","",IF(BY14&lt;2.5,"Explorador",IF(BY14&lt;3.75,"Integrador","Innovador")))</f>
        <v>Innovador</v>
      </c>
      <c r="CG14" s="13" t="n">
        <f aca="false">IF($B14="","",BB14/9)</f>
        <v>1</v>
      </c>
      <c r="CH14" s="11" t="str">
        <f aca="false">IF($B14="","",IF(CG14&lt;0.4,"Bajo",IF(CG14&lt;0.7,"Medio","Alto")))</f>
        <v>Alto</v>
      </c>
      <c r="CI14" s="13" t="n">
        <f aca="false">IF($B14="","",((AVERAGE(BU14,BW14,BY14))-1)/4)</f>
        <v>0.876190476190476</v>
      </c>
      <c r="CJ14" s="11" t="str">
        <f aca="false">IF($B14="","",IF(CG14-CI14&gt;0.25,"Subvalora",IF(CI14-CG14&gt;0.25,"Sobreconfía","Consistente")))</f>
        <v>Consistente</v>
      </c>
    </row>
    <row r="15" customFormat="false" ht="15" hidden="false" customHeight="true" outlineLevel="0" collapsed="false">
      <c r="A15" s="11" t="s">
        <v>177</v>
      </c>
      <c r="B15" s="11" t="s">
        <v>178</v>
      </c>
      <c r="C15" s="11" t="s">
        <v>179</v>
      </c>
      <c r="D15" s="11" t="s">
        <v>105</v>
      </c>
      <c r="E15" s="11" t="s">
        <v>163</v>
      </c>
      <c r="F15" s="11" t="s">
        <v>148</v>
      </c>
      <c r="G15" s="11" t="s">
        <v>108</v>
      </c>
      <c r="H15" s="11" t="s">
        <v>144</v>
      </c>
      <c r="I15" s="11" t="s">
        <v>120</v>
      </c>
      <c r="J15" s="11" t="n">
        <v>5</v>
      </c>
      <c r="K15" s="11" t="n">
        <v>5</v>
      </c>
      <c r="L15" s="11" t="n">
        <v>1</v>
      </c>
      <c r="M15" s="11" t="n">
        <v>5</v>
      </c>
      <c r="N15" s="11" t="n">
        <v>5</v>
      </c>
      <c r="O15" s="11" t="n">
        <v>1</v>
      </c>
      <c r="P15" s="11" t="n">
        <v>4</v>
      </c>
      <c r="Q15" s="11" t="n">
        <v>5</v>
      </c>
      <c r="R15" s="11" t="n">
        <v>5</v>
      </c>
      <c r="S15" s="11" t="n">
        <v>4</v>
      </c>
      <c r="T15" s="11" t="n">
        <v>4</v>
      </c>
      <c r="U15" s="11" t="n">
        <v>3</v>
      </c>
      <c r="V15" s="11" t="n">
        <v>2</v>
      </c>
      <c r="W15" s="11" t="n">
        <v>2</v>
      </c>
      <c r="X15" s="11" t="s">
        <v>111</v>
      </c>
      <c r="Y15" s="11" t="n">
        <v>5</v>
      </c>
      <c r="Z15" s="11" t="n">
        <v>5</v>
      </c>
      <c r="AA15" s="11" t="n">
        <v>4</v>
      </c>
      <c r="AB15" s="11" t="n">
        <v>4</v>
      </c>
      <c r="AC15" s="11" t="n">
        <v>4</v>
      </c>
      <c r="AD15" s="11" t="s">
        <v>171</v>
      </c>
      <c r="AE15" s="11" t="n">
        <v>4</v>
      </c>
      <c r="AF15" s="11" t="n">
        <v>4</v>
      </c>
      <c r="AG15" s="11" t="n">
        <v>4</v>
      </c>
      <c r="AH15" s="11" t="n">
        <v>3</v>
      </c>
      <c r="AI15" s="11" t="n">
        <v>4</v>
      </c>
      <c r="AJ15" s="11" t="n">
        <v>3</v>
      </c>
      <c r="AK15" s="11" t="n">
        <v>3</v>
      </c>
      <c r="AL15" s="11" t="n">
        <v>3</v>
      </c>
      <c r="AM15" s="11" t="n">
        <v>3</v>
      </c>
      <c r="AN15" s="11" t="n">
        <v>3</v>
      </c>
      <c r="AO15" s="11" t="n">
        <v>3</v>
      </c>
      <c r="AP15" s="11" t="n">
        <v>3</v>
      </c>
      <c r="AQ15" s="11" t="n">
        <v>3</v>
      </c>
      <c r="AR15" s="11" t="n">
        <v>3</v>
      </c>
      <c r="AS15" s="11" t="n">
        <v>3</v>
      </c>
      <c r="AT15" s="11" t="n">
        <v>4</v>
      </c>
      <c r="AU15" s="11" t="n">
        <v>4</v>
      </c>
      <c r="AV15" s="11" t="n">
        <v>4</v>
      </c>
      <c r="AW15" s="11" t="n">
        <v>3</v>
      </c>
      <c r="AX15" s="11" t="n">
        <v>4</v>
      </c>
      <c r="AY15" s="11" t="n">
        <v>5</v>
      </c>
      <c r="AZ15" s="11" t="n">
        <v>5</v>
      </c>
      <c r="BA15" s="11" t="s">
        <v>133</v>
      </c>
      <c r="BB15" s="11" t="n">
        <v>8</v>
      </c>
      <c r="BC15" s="11" t="n">
        <v>1</v>
      </c>
      <c r="BD15" s="11" t="n">
        <v>1</v>
      </c>
      <c r="BE15" s="11" t="n">
        <v>1</v>
      </c>
      <c r="BF15" s="11" t="n">
        <v>1</v>
      </c>
      <c r="BG15" s="11" t="n">
        <v>1</v>
      </c>
      <c r="BH15" s="11" t="n">
        <v>0</v>
      </c>
      <c r="BI15" s="11" t="n">
        <v>1</v>
      </c>
      <c r="BJ15" s="11" t="n">
        <v>1</v>
      </c>
      <c r="BK15" s="11" t="n">
        <v>1</v>
      </c>
      <c r="BL15" s="11" t="n">
        <f aca="false">IF($B15="","",6-L15)</f>
        <v>5</v>
      </c>
      <c r="BM15" s="11" t="n">
        <f aca="false">IF($B15="","",6-O15)</f>
        <v>5</v>
      </c>
      <c r="BN15" s="11" t="n">
        <f aca="false">IF($B15="","",J15+K15+BL15+M15+N15+BM15+P15+Q15+R15)</f>
        <v>44</v>
      </c>
      <c r="BO15" s="11" t="n">
        <f aca="false">IF($B15="","",SUM(S15:W15))</f>
        <v>15</v>
      </c>
      <c r="BP15" s="11" t="n">
        <f aca="false">IF($B15="","",SUM(Y15:AC15))</f>
        <v>22</v>
      </c>
      <c r="BQ15" s="11" t="n">
        <f aca="false">IF($B15="","",SUM(AE15:AK15))</f>
        <v>25</v>
      </c>
      <c r="BR15" s="11" t="n">
        <f aca="false">IF($B15="","",SUM(AL15:AR15))</f>
        <v>21</v>
      </c>
      <c r="BS15" s="11" t="n">
        <f aca="false">IF($B15="","",SUM(AS15:AY15))</f>
        <v>27</v>
      </c>
      <c r="BT15" s="12" t="n">
        <f aca="false">IF($B15="","",BN15/9)</f>
        <v>4.88888888888889</v>
      </c>
      <c r="BU15" s="12" t="n">
        <f aca="false">IF($B15="","",BO15/5)</f>
        <v>3</v>
      </c>
      <c r="BV15" s="12" t="n">
        <f aca="false">IF($B15="","",BP15/5)</f>
        <v>4.4</v>
      </c>
      <c r="BW15" s="12" t="n">
        <f aca="false">IF($B15="","",BQ15/7)</f>
        <v>3.57142857142857</v>
      </c>
      <c r="BX15" s="12" t="n">
        <f aca="false">IF($B15="","",BR15/7)</f>
        <v>3</v>
      </c>
      <c r="BY15" s="12" t="n">
        <f aca="false">IF($B15="","",BS15/7)</f>
        <v>3.85714285714286</v>
      </c>
      <c r="BZ15" s="11" t="n">
        <f aca="false">IF($B15="","",AZ15)</f>
        <v>5</v>
      </c>
      <c r="CA15" s="11" t="str">
        <f aca="false">IF($B15="","",IF(BT15&lt;2.5,"Explorador",IF(BT15&lt;3.75,"Integrador","Innovador")))</f>
        <v>Innovador</v>
      </c>
      <c r="CB15" s="11" t="str">
        <f aca="false">IF($B15="","",IF(BU15&lt;2.5,"Explorador",IF(BU15&lt;3.75,"Integrador","Innovador")))</f>
        <v>Integrador</v>
      </c>
      <c r="CC15" s="11" t="str">
        <f aca="false">IF($B15="","",IF(BV15&lt;2.5,"Explorador",IF(BV15&lt;3.75,"Integrador","Innovador")))</f>
        <v>Innovador</v>
      </c>
      <c r="CD15" s="11" t="str">
        <f aca="false">IF($B15="","",IF(BW15&lt;2.5,"Explorador",IF(BW15&lt;3.75,"Integrador","Innovador")))</f>
        <v>Integrador</v>
      </c>
      <c r="CE15" s="11" t="str">
        <f aca="false">IF($B15="","",IF(BX15&lt;2.5,"Explorador",IF(BX15&lt;3.75,"Integrador","Innovador")))</f>
        <v>Integrador</v>
      </c>
      <c r="CF15" s="11" t="str">
        <f aca="false">IF($B15="","",IF(BY15&lt;2.5,"Explorador",IF(BY15&lt;3.75,"Integrador","Innovador")))</f>
        <v>Innovador</v>
      </c>
      <c r="CG15" s="13" t="n">
        <f aca="false">IF($B15="","",BB15/9)</f>
        <v>0.888888888888889</v>
      </c>
      <c r="CH15" s="11" t="str">
        <f aca="false">IF($B15="","",IF(CG15&lt;0.4,"Bajo",IF(CG15&lt;0.7,"Medio","Alto")))</f>
        <v>Alto</v>
      </c>
      <c r="CI15" s="13" t="n">
        <f aca="false">IF($B15="","",((AVERAGE(BU15,BW15,BY15))-1)/4)</f>
        <v>0.619047619047619</v>
      </c>
      <c r="CJ15" s="11" t="str">
        <f aca="false">IF($B15="","",IF(CG15-CI15&gt;0.25,"Subvalora",IF(CI15-CG15&gt;0.25,"Sobreconfía","Consistente")))</f>
        <v>Subvalora</v>
      </c>
    </row>
    <row r="16" customFormat="false" ht="15" hidden="false" customHeight="true" outlineLevel="0" collapsed="false">
      <c r="A16" s="11" t="s">
        <v>180</v>
      </c>
      <c r="B16" s="11" t="s">
        <v>181</v>
      </c>
      <c r="C16" s="11" t="s">
        <v>182</v>
      </c>
      <c r="D16" s="11" t="s">
        <v>117</v>
      </c>
      <c r="E16" s="11" t="s">
        <v>137</v>
      </c>
      <c r="F16" s="11" t="s">
        <v>148</v>
      </c>
      <c r="G16" s="11" t="s">
        <v>108</v>
      </c>
      <c r="H16" s="11" t="s">
        <v>144</v>
      </c>
      <c r="I16" s="11" t="s">
        <v>120</v>
      </c>
      <c r="J16" s="11" t="n">
        <v>4</v>
      </c>
      <c r="K16" s="11" t="n">
        <v>4</v>
      </c>
      <c r="L16" s="11" t="n">
        <v>2</v>
      </c>
      <c r="M16" s="11" t="n">
        <v>5</v>
      </c>
      <c r="N16" s="11" t="n">
        <v>5</v>
      </c>
      <c r="O16" s="11" t="n">
        <v>1</v>
      </c>
      <c r="P16" s="11" t="n">
        <v>5</v>
      </c>
      <c r="Q16" s="11" t="n">
        <v>5</v>
      </c>
      <c r="R16" s="11" t="n">
        <v>5</v>
      </c>
      <c r="S16" s="11" t="n">
        <v>4</v>
      </c>
      <c r="T16" s="11" t="n">
        <v>4</v>
      </c>
      <c r="U16" s="11" t="n">
        <v>5</v>
      </c>
      <c r="V16" s="11" t="n">
        <v>3</v>
      </c>
      <c r="W16" s="11" t="n">
        <v>4</v>
      </c>
      <c r="X16" s="11" t="s">
        <v>121</v>
      </c>
      <c r="Y16" s="11" t="n">
        <v>5</v>
      </c>
      <c r="Z16" s="11" t="n">
        <v>5</v>
      </c>
      <c r="AA16" s="11" t="n">
        <v>5</v>
      </c>
      <c r="AB16" s="11" t="n">
        <v>2</v>
      </c>
      <c r="AC16" s="11" t="n">
        <v>3</v>
      </c>
      <c r="AD16" s="11" t="s">
        <v>112</v>
      </c>
      <c r="AE16" s="11" t="n">
        <v>3</v>
      </c>
      <c r="AF16" s="11" t="n">
        <v>4</v>
      </c>
      <c r="AG16" s="11" t="n">
        <v>4</v>
      </c>
      <c r="AH16" s="11" t="n">
        <v>2</v>
      </c>
      <c r="AI16" s="11" t="n">
        <v>5</v>
      </c>
      <c r="AJ16" s="11" t="n">
        <v>3</v>
      </c>
      <c r="AK16" s="11" t="n">
        <v>5</v>
      </c>
      <c r="AL16" s="11" t="n">
        <v>3</v>
      </c>
      <c r="AM16" s="11" t="n">
        <v>3</v>
      </c>
      <c r="AN16" s="11" t="n">
        <v>3</v>
      </c>
      <c r="AO16" s="11" t="n">
        <v>2</v>
      </c>
      <c r="AP16" s="11" t="n">
        <v>4</v>
      </c>
      <c r="AQ16" s="11" t="n">
        <v>3</v>
      </c>
      <c r="AR16" s="11" t="n">
        <v>2</v>
      </c>
      <c r="AS16" s="11" t="n">
        <v>4</v>
      </c>
      <c r="AT16" s="11" t="n">
        <v>4</v>
      </c>
      <c r="AU16" s="11" t="n">
        <v>4</v>
      </c>
      <c r="AV16" s="11" t="n">
        <v>2</v>
      </c>
      <c r="AW16" s="11" t="n">
        <v>4</v>
      </c>
      <c r="AX16" s="11" t="n">
        <v>2</v>
      </c>
      <c r="AY16" s="11" t="n">
        <v>1</v>
      </c>
      <c r="AZ16" s="11" t="n">
        <v>5</v>
      </c>
      <c r="BA16" s="11" t="s">
        <v>113</v>
      </c>
      <c r="BB16" s="11" t="n">
        <v>9</v>
      </c>
      <c r="BC16" s="11" t="n">
        <v>1</v>
      </c>
      <c r="BD16" s="11" t="n">
        <v>1</v>
      </c>
      <c r="BE16" s="11" t="n">
        <v>1</v>
      </c>
      <c r="BF16" s="11" t="n">
        <v>1</v>
      </c>
      <c r="BG16" s="11" t="n">
        <v>1</v>
      </c>
      <c r="BH16" s="11" t="n">
        <v>1</v>
      </c>
      <c r="BI16" s="11" t="n">
        <v>1</v>
      </c>
      <c r="BJ16" s="11" t="n">
        <v>1</v>
      </c>
      <c r="BK16" s="11" t="n">
        <v>1</v>
      </c>
      <c r="BL16" s="11" t="n">
        <f aca="false">IF($B16="","",6-L16)</f>
        <v>4</v>
      </c>
      <c r="BM16" s="11" t="n">
        <f aca="false">IF($B16="","",6-O16)</f>
        <v>5</v>
      </c>
      <c r="BN16" s="11" t="n">
        <f aca="false">IF($B16="","",J16+K16+BL16+M16+N16+BM16+P16+Q16+R16)</f>
        <v>42</v>
      </c>
      <c r="BO16" s="11" t="n">
        <f aca="false">IF($B16="","",SUM(S16:W16))</f>
        <v>20</v>
      </c>
      <c r="BP16" s="11" t="n">
        <f aca="false">IF($B16="","",SUM(Y16:AC16))</f>
        <v>20</v>
      </c>
      <c r="BQ16" s="11" t="n">
        <f aca="false">IF($B16="","",SUM(AE16:AK16))</f>
        <v>26</v>
      </c>
      <c r="BR16" s="11" t="n">
        <f aca="false">IF($B16="","",SUM(AL16:AR16))</f>
        <v>20</v>
      </c>
      <c r="BS16" s="11" t="n">
        <f aca="false">IF($B16="","",SUM(AS16:AY16))</f>
        <v>21</v>
      </c>
      <c r="BT16" s="12" t="n">
        <f aca="false">IF($B16="","",BN16/9)</f>
        <v>4.66666666666667</v>
      </c>
      <c r="BU16" s="12" t="n">
        <f aca="false">IF($B16="","",BO16/5)</f>
        <v>4</v>
      </c>
      <c r="BV16" s="12" t="n">
        <f aca="false">IF($B16="","",BP16/5)</f>
        <v>4</v>
      </c>
      <c r="BW16" s="12" t="n">
        <f aca="false">IF($B16="","",BQ16/7)</f>
        <v>3.71428571428571</v>
      </c>
      <c r="BX16" s="12" t="n">
        <f aca="false">IF($B16="","",BR16/7)</f>
        <v>2.85714285714286</v>
      </c>
      <c r="BY16" s="12" t="n">
        <f aca="false">IF($B16="","",BS16/7)</f>
        <v>3</v>
      </c>
      <c r="BZ16" s="11" t="n">
        <f aca="false">IF($B16="","",AZ16)</f>
        <v>5</v>
      </c>
      <c r="CA16" s="11" t="str">
        <f aca="false">IF($B16="","",IF(BT16&lt;2.5,"Explorador",IF(BT16&lt;3.75,"Integrador","Innovador")))</f>
        <v>Innovador</v>
      </c>
      <c r="CB16" s="11" t="str">
        <f aca="false">IF($B16="","",IF(BU16&lt;2.5,"Explorador",IF(BU16&lt;3.75,"Integrador","Innovador")))</f>
        <v>Innovador</v>
      </c>
      <c r="CC16" s="11" t="str">
        <f aca="false">IF($B16="","",IF(BV16&lt;2.5,"Explorador",IF(BV16&lt;3.75,"Integrador","Innovador")))</f>
        <v>Innovador</v>
      </c>
      <c r="CD16" s="11" t="str">
        <f aca="false">IF($B16="","",IF(BW16&lt;2.5,"Explorador",IF(BW16&lt;3.75,"Integrador","Innovador")))</f>
        <v>Integrador</v>
      </c>
      <c r="CE16" s="11" t="str">
        <f aca="false">IF($B16="","",IF(BX16&lt;2.5,"Explorador",IF(BX16&lt;3.75,"Integrador","Innovador")))</f>
        <v>Integrador</v>
      </c>
      <c r="CF16" s="11" t="str">
        <f aca="false">IF($B16="","",IF(BY16&lt;2.5,"Explorador",IF(BY16&lt;3.75,"Integrador","Innovador")))</f>
        <v>Integrador</v>
      </c>
      <c r="CG16" s="13" t="n">
        <f aca="false">IF($B16="","",BB16/9)</f>
        <v>1</v>
      </c>
      <c r="CH16" s="11" t="str">
        <f aca="false">IF($B16="","",IF(CG16&lt;0.4,"Bajo",IF(CG16&lt;0.7,"Medio","Alto")))</f>
        <v>Alto</v>
      </c>
      <c r="CI16" s="13" t="n">
        <f aca="false">IF($B16="","",((AVERAGE(BU16,BW16,BY16))-1)/4)</f>
        <v>0.642857142857143</v>
      </c>
      <c r="CJ16" s="11" t="str">
        <f aca="false">IF($B16="","",IF(CG16-CI16&gt;0.25,"Subvalora",IF(CI16-CG16&gt;0.25,"Sobreconfía","Consistente")))</f>
        <v>Subvalora</v>
      </c>
    </row>
    <row r="17" customFormat="false" ht="15" hidden="false" customHeight="true" outlineLevel="0" collapsed="false">
      <c r="A17" s="11" t="s">
        <v>183</v>
      </c>
      <c r="B17" s="11" t="s">
        <v>184</v>
      </c>
      <c r="C17" s="11" t="s">
        <v>185</v>
      </c>
      <c r="D17" s="11" t="s">
        <v>117</v>
      </c>
      <c r="E17" s="11" t="s">
        <v>117</v>
      </c>
      <c r="F17" s="11" t="s">
        <v>107</v>
      </c>
      <c r="G17" s="11" t="s">
        <v>108</v>
      </c>
      <c r="H17" s="11" t="s">
        <v>144</v>
      </c>
      <c r="I17" s="11" t="s">
        <v>110</v>
      </c>
      <c r="J17" s="11" t="n">
        <v>5</v>
      </c>
      <c r="K17" s="11" t="n">
        <v>5</v>
      </c>
      <c r="L17" s="11" t="n">
        <v>3</v>
      </c>
      <c r="M17" s="11" t="n">
        <v>5</v>
      </c>
      <c r="N17" s="11" t="n">
        <v>5</v>
      </c>
      <c r="O17" s="11" t="n">
        <v>1</v>
      </c>
      <c r="P17" s="11" t="n">
        <v>5</v>
      </c>
      <c r="Q17" s="11" t="n">
        <v>4</v>
      </c>
      <c r="R17" s="11" t="n">
        <v>5</v>
      </c>
      <c r="S17" s="11" t="n">
        <v>4</v>
      </c>
      <c r="T17" s="11" t="n">
        <v>4</v>
      </c>
      <c r="U17" s="11" t="n">
        <v>5</v>
      </c>
      <c r="V17" s="11" t="n">
        <v>5</v>
      </c>
      <c r="W17" s="11" t="n">
        <v>3</v>
      </c>
      <c r="X17" s="11" t="s">
        <v>111</v>
      </c>
      <c r="Y17" s="11" t="n">
        <v>5</v>
      </c>
      <c r="Z17" s="11" t="n">
        <v>5</v>
      </c>
      <c r="AA17" s="11" t="n">
        <v>5</v>
      </c>
      <c r="AB17" s="11" t="n">
        <v>5</v>
      </c>
      <c r="AC17" s="11" t="n">
        <v>5</v>
      </c>
      <c r="AD17" s="11" t="s">
        <v>121</v>
      </c>
      <c r="AE17" s="11" t="n">
        <v>5</v>
      </c>
      <c r="AF17" s="11" t="n">
        <v>4</v>
      </c>
      <c r="AG17" s="11" t="n">
        <v>5</v>
      </c>
      <c r="AH17" s="11" t="n">
        <v>3</v>
      </c>
      <c r="AI17" s="11" t="n">
        <v>5</v>
      </c>
      <c r="AJ17" s="11" t="n">
        <v>5</v>
      </c>
      <c r="AK17" s="11" t="n">
        <v>5</v>
      </c>
      <c r="AL17" s="11" t="n">
        <v>5</v>
      </c>
      <c r="AM17" s="11" t="n">
        <v>4</v>
      </c>
      <c r="AN17" s="11" t="n">
        <v>4</v>
      </c>
      <c r="AO17" s="11" t="n">
        <v>4</v>
      </c>
      <c r="AP17" s="11" t="n">
        <v>5</v>
      </c>
      <c r="AQ17" s="11" t="n">
        <v>4</v>
      </c>
      <c r="AR17" s="11" t="n">
        <v>3</v>
      </c>
      <c r="AS17" s="11" t="n">
        <v>5</v>
      </c>
      <c r="AT17" s="11" t="n">
        <v>5</v>
      </c>
      <c r="AU17" s="11" t="n">
        <v>3</v>
      </c>
      <c r="AV17" s="11" t="n">
        <v>5</v>
      </c>
      <c r="AW17" s="11" t="n">
        <v>4</v>
      </c>
      <c r="AX17" s="11" t="n">
        <v>5</v>
      </c>
      <c r="AY17" s="11" t="n">
        <v>4</v>
      </c>
      <c r="AZ17" s="11" t="n">
        <v>5</v>
      </c>
      <c r="BA17" s="11" t="s">
        <v>186</v>
      </c>
      <c r="BB17" s="11" t="n">
        <v>8</v>
      </c>
      <c r="BC17" s="11" t="n">
        <v>1</v>
      </c>
      <c r="BD17" s="11" t="n">
        <v>0</v>
      </c>
      <c r="BE17" s="11" t="n">
        <v>1</v>
      </c>
      <c r="BF17" s="11" t="n">
        <v>1</v>
      </c>
      <c r="BG17" s="11" t="n">
        <v>1</v>
      </c>
      <c r="BH17" s="11" t="n">
        <v>1</v>
      </c>
      <c r="BI17" s="11" t="n">
        <v>1</v>
      </c>
      <c r="BJ17" s="11" t="n">
        <v>1</v>
      </c>
      <c r="BK17" s="11" t="n">
        <v>1</v>
      </c>
      <c r="BL17" s="11" t="n">
        <f aca="false">IF($B17="","",6-L17)</f>
        <v>3</v>
      </c>
      <c r="BM17" s="11" t="n">
        <f aca="false">IF($B17="","",6-O17)</f>
        <v>5</v>
      </c>
      <c r="BN17" s="11" t="n">
        <f aca="false">IF($B17="","",J17+K17+BL17+M17+N17+BM17+P17+Q17+R17)</f>
        <v>42</v>
      </c>
      <c r="BO17" s="11" t="n">
        <f aca="false">IF($B17="","",SUM(S17:W17))</f>
        <v>21</v>
      </c>
      <c r="BP17" s="11" t="n">
        <f aca="false">IF($B17="","",SUM(Y17:AC17))</f>
        <v>25</v>
      </c>
      <c r="BQ17" s="11" t="n">
        <f aca="false">IF($B17="","",SUM(AE17:AK17))</f>
        <v>32</v>
      </c>
      <c r="BR17" s="11" t="n">
        <f aca="false">IF($B17="","",SUM(AL17:AR17))</f>
        <v>29</v>
      </c>
      <c r="BS17" s="11" t="n">
        <f aca="false">IF($B17="","",SUM(AS17:AY17))</f>
        <v>31</v>
      </c>
      <c r="BT17" s="12" t="n">
        <f aca="false">IF($B17="","",BN17/9)</f>
        <v>4.66666666666667</v>
      </c>
      <c r="BU17" s="12" t="n">
        <f aca="false">IF($B17="","",BO17/5)</f>
        <v>4.2</v>
      </c>
      <c r="BV17" s="12" t="n">
        <f aca="false">IF($B17="","",BP17/5)</f>
        <v>5</v>
      </c>
      <c r="BW17" s="12" t="n">
        <f aca="false">IF($B17="","",BQ17/7)</f>
        <v>4.57142857142857</v>
      </c>
      <c r="BX17" s="12" t="n">
        <f aca="false">IF($B17="","",BR17/7)</f>
        <v>4.14285714285714</v>
      </c>
      <c r="BY17" s="12" t="n">
        <f aca="false">IF($B17="","",BS17/7)</f>
        <v>4.42857142857143</v>
      </c>
      <c r="BZ17" s="11" t="n">
        <f aca="false">IF($B17="","",AZ17)</f>
        <v>5</v>
      </c>
      <c r="CA17" s="11" t="str">
        <f aca="false">IF($B17="","",IF(BT17&lt;2.5,"Explorador",IF(BT17&lt;3.75,"Integrador","Innovador")))</f>
        <v>Innovador</v>
      </c>
      <c r="CB17" s="11" t="str">
        <f aca="false">IF($B17="","",IF(BU17&lt;2.5,"Explorador",IF(BU17&lt;3.75,"Integrador","Innovador")))</f>
        <v>Innovador</v>
      </c>
      <c r="CC17" s="11" t="str">
        <f aca="false">IF($B17="","",IF(BV17&lt;2.5,"Explorador",IF(BV17&lt;3.75,"Integrador","Innovador")))</f>
        <v>Innovador</v>
      </c>
      <c r="CD17" s="11" t="str">
        <f aca="false">IF($B17="","",IF(BW17&lt;2.5,"Explorador",IF(BW17&lt;3.75,"Integrador","Innovador")))</f>
        <v>Innovador</v>
      </c>
      <c r="CE17" s="11" t="str">
        <f aca="false">IF($B17="","",IF(BX17&lt;2.5,"Explorador",IF(BX17&lt;3.75,"Integrador","Innovador")))</f>
        <v>Innovador</v>
      </c>
      <c r="CF17" s="11" t="str">
        <f aca="false">IF($B17="","",IF(BY17&lt;2.5,"Explorador",IF(BY17&lt;3.75,"Integrador","Innovador")))</f>
        <v>Innovador</v>
      </c>
      <c r="CG17" s="13" t="n">
        <f aca="false">IF($B17="","",BB17/9)</f>
        <v>0.888888888888889</v>
      </c>
      <c r="CH17" s="11" t="str">
        <f aca="false">IF($B17="","",IF(CG17&lt;0.4,"Bajo",IF(CG17&lt;0.7,"Medio","Alto")))</f>
        <v>Alto</v>
      </c>
      <c r="CI17" s="13" t="n">
        <f aca="false">IF($B17="","",((AVERAGE(BU17,BW17,BY17))-1)/4)</f>
        <v>0.85</v>
      </c>
      <c r="CJ17" s="11" t="str">
        <f aca="false">IF($B17="","",IF(CG17-CI17&gt;0.25,"Subvalora",IF(CI17-CG17&gt;0.25,"Sobreconfía","Consistente")))</f>
        <v>Consistente</v>
      </c>
    </row>
    <row r="18" customFormat="false" ht="15" hidden="false" customHeight="true" outlineLevel="0" collapsed="false">
      <c r="A18" s="11" t="s">
        <v>187</v>
      </c>
      <c r="B18" s="11" t="s">
        <v>188</v>
      </c>
      <c r="C18" s="11" t="s">
        <v>189</v>
      </c>
      <c r="D18" s="11" t="s">
        <v>105</v>
      </c>
      <c r="E18" s="11" t="s">
        <v>175</v>
      </c>
      <c r="F18" s="11" t="s">
        <v>190</v>
      </c>
      <c r="G18" s="11" t="s">
        <v>108</v>
      </c>
      <c r="H18" s="11" t="s">
        <v>144</v>
      </c>
      <c r="I18" s="11" t="s">
        <v>120</v>
      </c>
      <c r="J18" s="11" t="n">
        <v>5</v>
      </c>
      <c r="K18" s="11" t="n">
        <v>4</v>
      </c>
      <c r="L18" s="11" t="n">
        <v>3</v>
      </c>
      <c r="M18" s="11" t="n">
        <v>5</v>
      </c>
      <c r="N18" s="11" t="n">
        <v>5</v>
      </c>
      <c r="O18" s="11" t="n">
        <v>1</v>
      </c>
      <c r="P18" s="11" t="n">
        <v>4</v>
      </c>
      <c r="Q18" s="11" t="n">
        <v>4</v>
      </c>
      <c r="R18" s="11" t="n">
        <v>5</v>
      </c>
      <c r="S18" s="11" t="n">
        <v>4</v>
      </c>
      <c r="T18" s="11" t="n">
        <v>3</v>
      </c>
      <c r="U18" s="11" t="n">
        <v>4</v>
      </c>
      <c r="V18" s="11" t="n">
        <v>4</v>
      </c>
      <c r="W18" s="11" t="n">
        <v>4</v>
      </c>
      <c r="X18" s="11" t="s">
        <v>121</v>
      </c>
      <c r="Y18" s="11" t="n">
        <v>5</v>
      </c>
      <c r="Z18" s="11" t="n">
        <v>5</v>
      </c>
      <c r="AA18" s="11" t="n">
        <v>4</v>
      </c>
      <c r="AB18" s="11" t="n">
        <v>4</v>
      </c>
      <c r="AC18" s="11" t="n">
        <v>4</v>
      </c>
      <c r="AD18" s="11" t="s">
        <v>121</v>
      </c>
      <c r="AE18" s="11" t="n">
        <v>4</v>
      </c>
      <c r="AF18" s="11" t="n">
        <v>5</v>
      </c>
      <c r="AG18" s="11" t="n">
        <v>4</v>
      </c>
      <c r="AH18" s="11" t="n">
        <v>2</v>
      </c>
      <c r="AI18" s="11" t="n">
        <v>4</v>
      </c>
      <c r="AJ18" s="11" t="n">
        <v>4</v>
      </c>
      <c r="AK18" s="11" t="n">
        <v>2</v>
      </c>
      <c r="AL18" s="11" t="n">
        <v>4</v>
      </c>
      <c r="AM18" s="11" t="n">
        <v>4</v>
      </c>
      <c r="AN18" s="11" t="n">
        <v>4</v>
      </c>
      <c r="AO18" s="11" t="n">
        <v>2</v>
      </c>
      <c r="AP18" s="11" t="n">
        <v>4</v>
      </c>
      <c r="AQ18" s="11" t="n">
        <v>4</v>
      </c>
      <c r="AR18" s="11" t="n">
        <v>2</v>
      </c>
      <c r="AS18" s="11" t="n">
        <v>2</v>
      </c>
      <c r="AT18" s="11" t="n">
        <v>4</v>
      </c>
      <c r="AU18" s="11" t="n">
        <v>4</v>
      </c>
      <c r="AV18" s="11" t="n">
        <v>2</v>
      </c>
      <c r="AW18" s="11" t="n">
        <v>4</v>
      </c>
      <c r="AX18" s="11" t="n">
        <v>4</v>
      </c>
      <c r="AY18" s="11" t="n">
        <v>2</v>
      </c>
      <c r="AZ18" s="11" t="n">
        <v>5</v>
      </c>
      <c r="BA18" s="11" t="s">
        <v>191</v>
      </c>
      <c r="BB18" s="11" t="n">
        <v>8</v>
      </c>
      <c r="BC18" s="11" t="n">
        <v>0</v>
      </c>
      <c r="BD18" s="11" t="n">
        <v>1</v>
      </c>
      <c r="BE18" s="11" t="n">
        <v>1</v>
      </c>
      <c r="BF18" s="11" t="n">
        <v>1</v>
      </c>
      <c r="BG18" s="11" t="n">
        <v>1</v>
      </c>
      <c r="BH18" s="11" t="n">
        <v>1</v>
      </c>
      <c r="BI18" s="11" t="n">
        <v>1</v>
      </c>
      <c r="BJ18" s="11" t="n">
        <v>1</v>
      </c>
      <c r="BK18" s="11" t="n">
        <v>1</v>
      </c>
      <c r="BL18" s="11" t="n">
        <f aca="false">IF($B18="","",6-L18)</f>
        <v>3</v>
      </c>
      <c r="BM18" s="11" t="n">
        <f aca="false">IF($B18="","",6-O18)</f>
        <v>5</v>
      </c>
      <c r="BN18" s="11" t="n">
        <f aca="false">IF($B18="","",J18+K18+BL18+M18+N18+BM18+P18+Q18+R18)</f>
        <v>40</v>
      </c>
      <c r="BO18" s="11" t="n">
        <f aca="false">IF($B18="","",SUM(S18:W18))</f>
        <v>19</v>
      </c>
      <c r="BP18" s="11" t="n">
        <f aca="false">IF($B18="","",SUM(Y18:AC18))</f>
        <v>22</v>
      </c>
      <c r="BQ18" s="11" t="n">
        <f aca="false">IF($B18="","",SUM(AE18:AK18))</f>
        <v>25</v>
      </c>
      <c r="BR18" s="11" t="n">
        <f aca="false">IF($B18="","",SUM(AL18:AR18))</f>
        <v>24</v>
      </c>
      <c r="BS18" s="11" t="n">
        <f aca="false">IF($B18="","",SUM(AS18:AY18))</f>
        <v>22</v>
      </c>
      <c r="BT18" s="12" t="n">
        <f aca="false">IF($B18="","",BN18/9)</f>
        <v>4.44444444444445</v>
      </c>
      <c r="BU18" s="12" t="n">
        <f aca="false">IF($B18="","",BO18/5)</f>
        <v>3.8</v>
      </c>
      <c r="BV18" s="12" t="n">
        <f aca="false">IF($B18="","",BP18/5)</f>
        <v>4.4</v>
      </c>
      <c r="BW18" s="12" t="n">
        <f aca="false">IF($B18="","",BQ18/7)</f>
        <v>3.57142857142857</v>
      </c>
      <c r="BX18" s="12" t="n">
        <f aca="false">IF($B18="","",BR18/7)</f>
        <v>3.42857142857143</v>
      </c>
      <c r="BY18" s="12" t="n">
        <f aca="false">IF($B18="","",BS18/7)</f>
        <v>3.14285714285714</v>
      </c>
      <c r="BZ18" s="11" t="n">
        <f aca="false">IF($B18="","",AZ18)</f>
        <v>5</v>
      </c>
      <c r="CA18" s="11" t="str">
        <f aca="false">IF($B18="","",IF(BT18&lt;2.5,"Explorador",IF(BT18&lt;3.75,"Integrador","Innovador")))</f>
        <v>Innovador</v>
      </c>
      <c r="CB18" s="11" t="str">
        <f aca="false">IF($B18="","",IF(BU18&lt;2.5,"Explorador",IF(BU18&lt;3.75,"Integrador","Innovador")))</f>
        <v>Innovador</v>
      </c>
      <c r="CC18" s="11" t="str">
        <f aca="false">IF($B18="","",IF(BV18&lt;2.5,"Explorador",IF(BV18&lt;3.75,"Integrador","Innovador")))</f>
        <v>Innovador</v>
      </c>
      <c r="CD18" s="11" t="str">
        <f aca="false">IF($B18="","",IF(BW18&lt;2.5,"Explorador",IF(BW18&lt;3.75,"Integrador","Innovador")))</f>
        <v>Integrador</v>
      </c>
      <c r="CE18" s="11" t="str">
        <f aca="false">IF($B18="","",IF(BX18&lt;2.5,"Explorador",IF(BX18&lt;3.75,"Integrador","Innovador")))</f>
        <v>Integrador</v>
      </c>
      <c r="CF18" s="11" t="str">
        <f aca="false">IF($B18="","",IF(BY18&lt;2.5,"Explorador",IF(BY18&lt;3.75,"Integrador","Innovador")))</f>
        <v>Integrador</v>
      </c>
      <c r="CG18" s="13" t="n">
        <f aca="false">IF($B18="","",BB18/9)</f>
        <v>0.888888888888889</v>
      </c>
      <c r="CH18" s="11" t="str">
        <f aca="false">IF($B18="","",IF(CG18&lt;0.4,"Bajo",IF(CG18&lt;0.7,"Medio","Alto")))</f>
        <v>Alto</v>
      </c>
      <c r="CI18" s="13" t="n">
        <f aca="false">IF($B18="","",((AVERAGE(BU18,BW18,BY18))-1)/4)</f>
        <v>0.626190476190476</v>
      </c>
      <c r="CJ18" s="11" t="str">
        <f aca="false">IF($B18="","",IF(CG18-CI18&gt;0.25,"Subvalora",IF(CI18-CG18&gt;0.25,"Sobreconfía","Consistente")))</f>
        <v>Subvalora</v>
      </c>
    </row>
    <row r="19" customFormat="false" ht="15" hidden="false" customHeight="true" outlineLevel="0" collapsed="false">
      <c r="A19" s="11" t="s">
        <v>192</v>
      </c>
      <c r="B19" s="11" t="s">
        <v>193</v>
      </c>
      <c r="C19" s="11" t="s">
        <v>194</v>
      </c>
      <c r="D19" s="11" t="s">
        <v>126</v>
      </c>
      <c r="E19" s="11" t="s">
        <v>175</v>
      </c>
      <c r="F19" s="11" t="s">
        <v>107</v>
      </c>
      <c r="G19" s="11" t="s">
        <v>108</v>
      </c>
      <c r="H19" s="11" t="s">
        <v>144</v>
      </c>
      <c r="I19" s="11" t="s">
        <v>158</v>
      </c>
      <c r="J19" s="11" t="n">
        <v>5</v>
      </c>
      <c r="K19" s="11" t="n">
        <v>5</v>
      </c>
      <c r="L19" s="11" t="n">
        <v>2</v>
      </c>
      <c r="M19" s="11" t="n">
        <v>5</v>
      </c>
      <c r="N19" s="11" t="n">
        <v>5</v>
      </c>
      <c r="O19" s="11" t="n">
        <v>1</v>
      </c>
      <c r="P19" s="11" t="n">
        <v>4</v>
      </c>
      <c r="Q19" s="11" t="n">
        <v>5</v>
      </c>
      <c r="R19" s="11" t="n">
        <v>5</v>
      </c>
      <c r="S19" s="11" t="n">
        <v>5</v>
      </c>
      <c r="T19" s="11" t="n">
        <v>5</v>
      </c>
      <c r="U19" s="11" t="n">
        <v>4</v>
      </c>
      <c r="V19" s="11" t="n">
        <v>5</v>
      </c>
      <c r="W19" s="11" t="n">
        <v>5</v>
      </c>
      <c r="X19" s="11" t="s">
        <v>111</v>
      </c>
      <c r="Y19" s="11" t="n">
        <v>5</v>
      </c>
      <c r="Z19" s="11" t="n">
        <v>2</v>
      </c>
      <c r="AA19" s="11" t="n">
        <v>4</v>
      </c>
      <c r="AB19" s="11" t="n">
        <v>4</v>
      </c>
      <c r="AC19" s="11" t="n">
        <v>5</v>
      </c>
      <c r="AD19" s="11" t="s">
        <v>171</v>
      </c>
      <c r="AE19" s="11" t="n">
        <v>3</v>
      </c>
      <c r="AF19" s="11" t="n">
        <v>5</v>
      </c>
      <c r="AG19" s="11" t="n">
        <v>2</v>
      </c>
      <c r="AH19" s="11" t="n">
        <v>3</v>
      </c>
      <c r="AI19" s="11" t="n">
        <v>3</v>
      </c>
      <c r="AJ19" s="11" t="n">
        <v>3</v>
      </c>
      <c r="AK19" s="11" t="n">
        <v>3</v>
      </c>
      <c r="AL19" s="11" t="n">
        <v>5</v>
      </c>
      <c r="AM19" s="11" t="n">
        <v>3</v>
      </c>
      <c r="AN19" s="11" t="n">
        <v>3</v>
      </c>
      <c r="AO19" s="11" t="n">
        <v>3</v>
      </c>
      <c r="AP19" s="11" t="n">
        <v>3</v>
      </c>
      <c r="AQ19" s="11" t="n">
        <v>4</v>
      </c>
      <c r="AR19" s="11" t="n">
        <v>4</v>
      </c>
      <c r="AS19" s="11" t="n">
        <v>4</v>
      </c>
      <c r="AT19" s="11" t="n">
        <v>5</v>
      </c>
      <c r="AU19" s="11" t="n">
        <v>5</v>
      </c>
      <c r="AV19" s="11" t="n">
        <v>5</v>
      </c>
      <c r="AW19" s="11" t="n">
        <v>5</v>
      </c>
      <c r="AX19" s="11" t="n">
        <v>4</v>
      </c>
      <c r="AY19" s="11" t="n">
        <v>3</v>
      </c>
      <c r="AZ19" s="11" t="n">
        <v>5</v>
      </c>
      <c r="BA19" s="11" t="s">
        <v>195</v>
      </c>
      <c r="BB19" s="11" t="n">
        <v>9</v>
      </c>
      <c r="BC19" s="11" t="n">
        <v>1</v>
      </c>
      <c r="BD19" s="11" t="n">
        <v>1</v>
      </c>
      <c r="BE19" s="11" t="n">
        <v>1</v>
      </c>
      <c r="BF19" s="11" t="n">
        <v>1</v>
      </c>
      <c r="BG19" s="11" t="n">
        <v>1</v>
      </c>
      <c r="BH19" s="11" t="n">
        <v>1</v>
      </c>
      <c r="BI19" s="11" t="n">
        <v>1</v>
      </c>
      <c r="BJ19" s="11" t="n">
        <v>1</v>
      </c>
      <c r="BK19" s="11" t="n">
        <v>1</v>
      </c>
      <c r="BL19" s="11" t="n">
        <f aca="false">IF($B19="","",6-L19)</f>
        <v>4</v>
      </c>
      <c r="BM19" s="11" t="n">
        <f aca="false">IF($B19="","",6-O19)</f>
        <v>5</v>
      </c>
      <c r="BN19" s="11" t="n">
        <f aca="false">IF($B19="","",J19+K19+BL19+M19+N19+BM19+P19+Q19+R19)</f>
        <v>43</v>
      </c>
      <c r="BO19" s="11" t="n">
        <f aca="false">IF($B19="","",SUM(S19:W19))</f>
        <v>24</v>
      </c>
      <c r="BP19" s="11" t="n">
        <f aca="false">IF($B19="","",SUM(Y19:AC19))</f>
        <v>20</v>
      </c>
      <c r="BQ19" s="11" t="n">
        <f aca="false">IF($B19="","",SUM(AE19:AK19))</f>
        <v>22</v>
      </c>
      <c r="BR19" s="11" t="n">
        <f aca="false">IF($B19="","",SUM(AL19:AR19))</f>
        <v>25</v>
      </c>
      <c r="BS19" s="11" t="n">
        <f aca="false">IF($B19="","",SUM(AS19:AY19))</f>
        <v>31</v>
      </c>
      <c r="BT19" s="12" t="n">
        <f aca="false">IF($B19="","",BN19/9)</f>
        <v>4.77777777777778</v>
      </c>
      <c r="BU19" s="12" t="n">
        <f aca="false">IF($B19="","",BO19/5)</f>
        <v>4.8</v>
      </c>
      <c r="BV19" s="12" t="n">
        <f aca="false">IF($B19="","",BP19/5)</f>
        <v>4</v>
      </c>
      <c r="BW19" s="12" t="n">
        <f aca="false">IF($B19="","",BQ19/7)</f>
        <v>3.14285714285714</v>
      </c>
      <c r="BX19" s="12" t="n">
        <f aca="false">IF($B19="","",BR19/7)</f>
        <v>3.57142857142857</v>
      </c>
      <c r="BY19" s="12" t="n">
        <f aca="false">IF($B19="","",BS19/7)</f>
        <v>4.42857142857143</v>
      </c>
      <c r="BZ19" s="11" t="n">
        <f aca="false">IF($B19="","",AZ19)</f>
        <v>5</v>
      </c>
      <c r="CA19" s="11" t="str">
        <f aca="false">IF($B19="","",IF(BT19&lt;2.5,"Explorador",IF(BT19&lt;3.75,"Integrador","Innovador")))</f>
        <v>Innovador</v>
      </c>
      <c r="CB19" s="11" t="str">
        <f aca="false">IF($B19="","",IF(BU19&lt;2.5,"Explorador",IF(BU19&lt;3.75,"Integrador","Innovador")))</f>
        <v>Innovador</v>
      </c>
      <c r="CC19" s="11" t="str">
        <f aca="false">IF($B19="","",IF(BV19&lt;2.5,"Explorador",IF(BV19&lt;3.75,"Integrador","Innovador")))</f>
        <v>Innovador</v>
      </c>
      <c r="CD19" s="11" t="str">
        <f aca="false">IF($B19="","",IF(BW19&lt;2.5,"Explorador",IF(BW19&lt;3.75,"Integrador","Innovador")))</f>
        <v>Integrador</v>
      </c>
      <c r="CE19" s="11" t="str">
        <f aca="false">IF($B19="","",IF(BX19&lt;2.5,"Explorador",IF(BX19&lt;3.75,"Integrador","Innovador")))</f>
        <v>Integrador</v>
      </c>
      <c r="CF19" s="11" t="str">
        <f aca="false">IF($B19="","",IF(BY19&lt;2.5,"Explorador",IF(BY19&lt;3.75,"Integrador","Innovador")))</f>
        <v>Innovador</v>
      </c>
      <c r="CG19" s="13" t="n">
        <f aca="false">IF($B19="","",BB19/9)</f>
        <v>1</v>
      </c>
      <c r="CH19" s="11" t="str">
        <f aca="false">IF($B19="","",IF(CG19&lt;0.4,"Bajo",IF(CG19&lt;0.7,"Medio","Alto")))</f>
        <v>Alto</v>
      </c>
      <c r="CI19" s="13" t="n">
        <f aca="false">IF($B19="","",((AVERAGE(BU19,BW19,BY19))-1)/4)</f>
        <v>0.780952380952381</v>
      </c>
      <c r="CJ19" s="11" t="str">
        <f aca="false">IF($B19="","",IF(CG19-CI19&gt;0.25,"Subvalora",IF(CI19-CG19&gt;0.25,"Sobreconfía","Consistente")))</f>
        <v>Consistente</v>
      </c>
    </row>
    <row r="20" customFormat="false" ht="15" hidden="false" customHeight="true" outlineLevel="0" collapsed="false">
      <c r="A20" s="11" t="s">
        <v>196</v>
      </c>
      <c r="B20" s="11" t="s">
        <v>197</v>
      </c>
      <c r="C20" s="11" t="s">
        <v>198</v>
      </c>
      <c r="D20" s="11" t="s">
        <v>117</v>
      </c>
      <c r="E20" s="11" t="s">
        <v>199</v>
      </c>
      <c r="F20" s="11" t="s">
        <v>138</v>
      </c>
      <c r="G20" s="11" t="s">
        <v>108</v>
      </c>
      <c r="H20" s="11" t="s">
        <v>109</v>
      </c>
      <c r="I20" s="11" t="s">
        <v>129</v>
      </c>
      <c r="J20" s="11" t="n">
        <v>5</v>
      </c>
      <c r="K20" s="11" t="n">
        <v>4</v>
      </c>
      <c r="L20" s="11" t="n">
        <v>1</v>
      </c>
      <c r="M20" s="11" t="n">
        <v>4</v>
      </c>
      <c r="N20" s="11" t="n">
        <v>5</v>
      </c>
      <c r="O20" s="11" t="n">
        <v>1</v>
      </c>
      <c r="P20" s="11" t="n">
        <v>4</v>
      </c>
      <c r="Q20" s="11" t="n">
        <v>4</v>
      </c>
      <c r="R20" s="11" t="n">
        <v>4</v>
      </c>
      <c r="S20" s="11" t="n">
        <v>4</v>
      </c>
      <c r="T20" s="11" t="n">
        <v>4</v>
      </c>
      <c r="U20" s="11" t="n">
        <v>5</v>
      </c>
      <c r="V20" s="11" t="n">
        <v>5</v>
      </c>
      <c r="W20" s="11" t="n">
        <v>4</v>
      </c>
      <c r="X20" s="11" t="s">
        <v>121</v>
      </c>
      <c r="Y20" s="11" t="n">
        <v>5</v>
      </c>
      <c r="Z20" s="11" t="n">
        <v>4</v>
      </c>
      <c r="AA20" s="11" t="n">
        <v>4</v>
      </c>
      <c r="AB20" s="11" t="n">
        <v>5</v>
      </c>
      <c r="AC20" s="11" t="n">
        <v>4</v>
      </c>
      <c r="AD20" s="11" t="s">
        <v>111</v>
      </c>
      <c r="AE20" s="11" t="n">
        <v>5</v>
      </c>
      <c r="AF20" s="11" t="n">
        <v>5</v>
      </c>
      <c r="AG20" s="11" t="n">
        <v>5</v>
      </c>
      <c r="AH20" s="11" t="n">
        <v>4</v>
      </c>
      <c r="AI20" s="11" t="n">
        <v>5</v>
      </c>
      <c r="AJ20" s="11" t="n">
        <v>5</v>
      </c>
      <c r="AK20" s="11" t="n">
        <v>5</v>
      </c>
      <c r="AL20" s="11" t="n">
        <v>4</v>
      </c>
      <c r="AM20" s="11" t="n">
        <v>5</v>
      </c>
      <c r="AN20" s="11" t="n">
        <v>4</v>
      </c>
      <c r="AO20" s="11" t="n">
        <v>4</v>
      </c>
      <c r="AP20" s="11" t="n">
        <v>5</v>
      </c>
      <c r="AQ20" s="11" t="n">
        <v>5</v>
      </c>
      <c r="AR20" s="11" t="n">
        <v>4</v>
      </c>
      <c r="AS20" s="11" t="n">
        <v>4</v>
      </c>
      <c r="AT20" s="11" t="n">
        <v>4</v>
      </c>
      <c r="AU20" s="11" t="n">
        <v>5</v>
      </c>
      <c r="AV20" s="11" t="n">
        <v>4</v>
      </c>
      <c r="AW20" s="11" t="n">
        <v>5</v>
      </c>
      <c r="AX20" s="11" t="n">
        <v>4</v>
      </c>
      <c r="AY20" s="11" t="n">
        <v>4</v>
      </c>
      <c r="AZ20" s="11" t="n">
        <v>5</v>
      </c>
      <c r="BA20" s="11" t="s">
        <v>200</v>
      </c>
      <c r="BB20" s="11" t="n">
        <v>9</v>
      </c>
      <c r="BC20" s="11" t="n">
        <v>1</v>
      </c>
      <c r="BD20" s="11" t="n">
        <v>1</v>
      </c>
      <c r="BE20" s="11" t="n">
        <v>1</v>
      </c>
      <c r="BF20" s="11" t="n">
        <v>1</v>
      </c>
      <c r="BG20" s="11" t="n">
        <v>1</v>
      </c>
      <c r="BH20" s="11" t="n">
        <v>1</v>
      </c>
      <c r="BI20" s="11" t="n">
        <v>1</v>
      </c>
      <c r="BJ20" s="11" t="n">
        <v>1</v>
      </c>
      <c r="BK20" s="11" t="n">
        <v>1</v>
      </c>
      <c r="BL20" s="11" t="n">
        <f aca="false">IF($B20="","",6-L20)</f>
        <v>5</v>
      </c>
      <c r="BM20" s="11" t="n">
        <f aca="false">IF($B20="","",6-O20)</f>
        <v>5</v>
      </c>
      <c r="BN20" s="11" t="n">
        <f aca="false">IF($B20="","",J20+K20+BL20+M20+N20+BM20+P20+Q20+R20)</f>
        <v>40</v>
      </c>
      <c r="BO20" s="11" t="n">
        <f aca="false">IF($B20="","",SUM(S20:W20))</f>
        <v>22</v>
      </c>
      <c r="BP20" s="11" t="n">
        <f aca="false">IF($B20="","",SUM(Y20:AC20))</f>
        <v>22</v>
      </c>
      <c r="BQ20" s="11" t="n">
        <f aca="false">IF($B20="","",SUM(AE20:AK20))</f>
        <v>34</v>
      </c>
      <c r="BR20" s="11" t="n">
        <f aca="false">IF($B20="","",SUM(AL20:AR20))</f>
        <v>31</v>
      </c>
      <c r="BS20" s="11" t="n">
        <f aca="false">IF($B20="","",SUM(AS20:AY20))</f>
        <v>30</v>
      </c>
      <c r="BT20" s="12" t="n">
        <f aca="false">IF($B20="","",BN20/9)</f>
        <v>4.44444444444445</v>
      </c>
      <c r="BU20" s="12" t="n">
        <f aca="false">IF($B20="","",BO20/5)</f>
        <v>4.4</v>
      </c>
      <c r="BV20" s="12" t="n">
        <f aca="false">IF($B20="","",BP20/5)</f>
        <v>4.4</v>
      </c>
      <c r="BW20" s="12" t="n">
        <f aca="false">IF($B20="","",BQ20/7)</f>
        <v>4.85714285714286</v>
      </c>
      <c r="BX20" s="12" t="n">
        <f aca="false">IF($B20="","",BR20/7)</f>
        <v>4.42857142857143</v>
      </c>
      <c r="BY20" s="12" t="n">
        <f aca="false">IF($B20="","",BS20/7)</f>
        <v>4.28571428571429</v>
      </c>
      <c r="BZ20" s="11" t="n">
        <f aca="false">IF($B20="","",AZ20)</f>
        <v>5</v>
      </c>
      <c r="CA20" s="11" t="str">
        <f aca="false">IF($B20="","",IF(BT20&lt;2.5,"Explorador",IF(BT20&lt;3.75,"Integrador","Innovador")))</f>
        <v>Innovador</v>
      </c>
      <c r="CB20" s="11" t="str">
        <f aca="false">IF($B20="","",IF(BU20&lt;2.5,"Explorador",IF(BU20&lt;3.75,"Integrador","Innovador")))</f>
        <v>Innovador</v>
      </c>
      <c r="CC20" s="11" t="str">
        <f aca="false">IF($B20="","",IF(BV20&lt;2.5,"Explorador",IF(BV20&lt;3.75,"Integrador","Innovador")))</f>
        <v>Innovador</v>
      </c>
      <c r="CD20" s="11" t="str">
        <f aca="false">IF($B20="","",IF(BW20&lt;2.5,"Explorador",IF(BW20&lt;3.75,"Integrador","Innovador")))</f>
        <v>Innovador</v>
      </c>
      <c r="CE20" s="11" t="str">
        <f aca="false">IF($B20="","",IF(BX20&lt;2.5,"Explorador",IF(BX20&lt;3.75,"Integrador","Innovador")))</f>
        <v>Innovador</v>
      </c>
      <c r="CF20" s="11" t="str">
        <f aca="false">IF($B20="","",IF(BY20&lt;2.5,"Explorador",IF(BY20&lt;3.75,"Integrador","Innovador")))</f>
        <v>Innovador</v>
      </c>
      <c r="CG20" s="13" t="n">
        <f aca="false">IF($B20="","",BB20/9)</f>
        <v>1</v>
      </c>
      <c r="CH20" s="11" t="str">
        <f aca="false">IF($B20="","",IF(CG20&lt;0.4,"Bajo",IF(CG20&lt;0.7,"Medio","Alto")))</f>
        <v>Alto</v>
      </c>
      <c r="CI20" s="13" t="n">
        <f aca="false">IF($B20="","",((AVERAGE(BU20,BW20,BY20))-1)/4)</f>
        <v>0.878571428571429</v>
      </c>
      <c r="CJ20" s="11" t="str">
        <f aca="false">IF($B20="","",IF(CG20-CI20&gt;0.25,"Subvalora",IF(CI20-CG20&gt;0.25,"Sobreconfía","Consistente")))</f>
        <v>Consistente</v>
      </c>
    </row>
    <row r="21" customFormat="false" ht="15" hidden="false" customHeight="true" outlineLevel="0" collapsed="false">
      <c r="A21" s="11" t="s">
        <v>201</v>
      </c>
      <c r="B21" s="11" t="s">
        <v>202</v>
      </c>
      <c r="C21" s="11" t="s">
        <v>203</v>
      </c>
      <c r="D21" s="11" t="s">
        <v>105</v>
      </c>
      <c r="E21" s="11" t="s">
        <v>106</v>
      </c>
      <c r="F21" s="11" t="s">
        <v>107</v>
      </c>
      <c r="G21" s="11" t="s">
        <v>108</v>
      </c>
      <c r="H21" s="11" t="s">
        <v>144</v>
      </c>
      <c r="I21" s="11" t="s">
        <v>120</v>
      </c>
      <c r="J21" s="11" t="n">
        <v>5</v>
      </c>
      <c r="K21" s="11" t="n">
        <v>5</v>
      </c>
      <c r="L21" s="11" t="n">
        <v>4</v>
      </c>
      <c r="M21" s="11" t="n">
        <v>5</v>
      </c>
      <c r="N21" s="11" t="n">
        <v>5</v>
      </c>
      <c r="O21" s="11" t="n">
        <v>3</v>
      </c>
      <c r="P21" s="11" t="n">
        <v>5</v>
      </c>
      <c r="Q21" s="11" t="n">
        <v>3</v>
      </c>
      <c r="R21" s="11" t="n">
        <v>5</v>
      </c>
      <c r="S21" s="11" t="n">
        <v>5</v>
      </c>
      <c r="T21" s="11" t="n">
        <v>5</v>
      </c>
      <c r="U21" s="11" t="n">
        <v>5</v>
      </c>
      <c r="V21" s="11" t="n">
        <v>2</v>
      </c>
      <c r="W21" s="11" t="n">
        <v>5</v>
      </c>
      <c r="X21" s="11" t="s">
        <v>171</v>
      </c>
      <c r="Y21" s="11" t="n">
        <v>5</v>
      </c>
      <c r="Z21" s="11" t="n">
        <v>5</v>
      </c>
      <c r="AA21" s="11" t="n">
        <v>2</v>
      </c>
      <c r="AB21" s="11" t="n">
        <v>5</v>
      </c>
      <c r="AC21" s="11" t="n">
        <v>5</v>
      </c>
      <c r="AD21" s="11" t="s">
        <v>112</v>
      </c>
      <c r="AE21" s="11" t="n">
        <v>5</v>
      </c>
      <c r="AF21" s="11" t="n">
        <v>5</v>
      </c>
      <c r="AG21" s="11" t="n">
        <v>3</v>
      </c>
      <c r="AH21" s="11" t="n">
        <v>1</v>
      </c>
      <c r="AI21" s="11" t="n">
        <v>5</v>
      </c>
      <c r="AJ21" s="11" t="n">
        <v>5</v>
      </c>
      <c r="AK21" s="11" t="n">
        <v>5</v>
      </c>
      <c r="AL21" s="11" t="n">
        <v>3</v>
      </c>
      <c r="AM21" s="11" t="n">
        <v>5</v>
      </c>
      <c r="AN21" s="11" t="n">
        <v>4</v>
      </c>
      <c r="AO21" s="11" t="n">
        <v>4</v>
      </c>
      <c r="AP21" s="11" t="n">
        <v>5</v>
      </c>
      <c r="AQ21" s="11" t="n">
        <v>5</v>
      </c>
      <c r="AR21" s="11" t="n">
        <v>5</v>
      </c>
      <c r="AS21" s="11" t="n">
        <v>5</v>
      </c>
      <c r="AT21" s="11" t="n">
        <v>5</v>
      </c>
      <c r="AU21" s="11" t="n">
        <v>5</v>
      </c>
      <c r="AV21" s="11" t="n">
        <v>5</v>
      </c>
      <c r="AW21" s="11" t="n">
        <v>5</v>
      </c>
      <c r="AX21" s="11" t="n">
        <v>3</v>
      </c>
      <c r="AY21" s="11" t="n">
        <v>1</v>
      </c>
      <c r="AZ21" s="11" t="n">
        <v>5</v>
      </c>
      <c r="BA21" s="11" t="s">
        <v>204</v>
      </c>
      <c r="BB21" s="11" t="n">
        <v>9</v>
      </c>
      <c r="BC21" s="11" t="n">
        <v>1</v>
      </c>
      <c r="BD21" s="11" t="n">
        <v>1</v>
      </c>
      <c r="BE21" s="11" t="n">
        <v>1</v>
      </c>
      <c r="BF21" s="11" t="n">
        <v>1</v>
      </c>
      <c r="BG21" s="11" t="n">
        <v>1</v>
      </c>
      <c r="BH21" s="11" t="n">
        <v>1</v>
      </c>
      <c r="BI21" s="11" t="n">
        <v>1</v>
      </c>
      <c r="BJ21" s="11" t="n">
        <v>1</v>
      </c>
      <c r="BK21" s="11" t="n">
        <v>1</v>
      </c>
      <c r="BL21" s="11" t="n">
        <f aca="false">IF($B21="","",6-L21)</f>
        <v>2</v>
      </c>
      <c r="BM21" s="11" t="n">
        <f aca="false">IF($B21="","",6-O21)</f>
        <v>3</v>
      </c>
      <c r="BN21" s="11" t="n">
        <f aca="false">IF($B21="","",J21+K21+BL21+M21+N21+BM21+P21+Q21+R21)</f>
        <v>38</v>
      </c>
      <c r="BO21" s="11" t="n">
        <f aca="false">IF($B21="","",SUM(S21:W21))</f>
        <v>22</v>
      </c>
      <c r="BP21" s="11" t="n">
        <f aca="false">IF($B21="","",SUM(Y21:AC21))</f>
        <v>22</v>
      </c>
      <c r="BQ21" s="11" t="n">
        <f aca="false">IF($B21="","",SUM(AE21:AK21))</f>
        <v>29</v>
      </c>
      <c r="BR21" s="11" t="n">
        <f aca="false">IF($B21="","",SUM(AL21:AR21))</f>
        <v>31</v>
      </c>
      <c r="BS21" s="11" t="n">
        <f aca="false">IF($B21="","",SUM(AS21:AY21))</f>
        <v>29</v>
      </c>
      <c r="BT21" s="12" t="n">
        <f aca="false">IF($B21="","",BN21/9)</f>
        <v>4.22222222222222</v>
      </c>
      <c r="BU21" s="12" t="n">
        <f aca="false">IF($B21="","",BO21/5)</f>
        <v>4.4</v>
      </c>
      <c r="BV21" s="12" t="n">
        <f aca="false">IF($B21="","",BP21/5)</f>
        <v>4.4</v>
      </c>
      <c r="BW21" s="12" t="n">
        <f aca="false">IF($B21="","",BQ21/7)</f>
        <v>4.14285714285714</v>
      </c>
      <c r="BX21" s="12" t="n">
        <f aca="false">IF($B21="","",BR21/7)</f>
        <v>4.42857142857143</v>
      </c>
      <c r="BY21" s="12" t="n">
        <f aca="false">IF($B21="","",BS21/7)</f>
        <v>4.14285714285714</v>
      </c>
      <c r="BZ21" s="11" t="n">
        <f aca="false">IF($B21="","",AZ21)</f>
        <v>5</v>
      </c>
      <c r="CA21" s="11" t="str">
        <f aca="false">IF($B21="","",IF(BT21&lt;2.5,"Explorador",IF(BT21&lt;3.75,"Integrador","Innovador")))</f>
        <v>Innovador</v>
      </c>
      <c r="CB21" s="11" t="str">
        <f aca="false">IF($B21="","",IF(BU21&lt;2.5,"Explorador",IF(BU21&lt;3.75,"Integrador","Innovador")))</f>
        <v>Innovador</v>
      </c>
      <c r="CC21" s="11" t="str">
        <f aca="false">IF($B21="","",IF(BV21&lt;2.5,"Explorador",IF(BV21&lt;3.75,"Integrador","Innovador")))</f>
        <v>Innovador</v>
      </c>
      <c r="CD21" s="11" t="str">
        <f aca="false">IF($B21="","",IF(BW21&lt;2.5,"Explorador",IF(BW21&lt;3.75,"Integrador","Innovador")))</f>
        <v>Innovador</v>
      </c>
      <c r="CE21" s="11" t="str">
        <f aca="false">IF($B21="","",IF(BX21&lt;2.5,"Explorador",IF(BX21&lt;3.75,"Integrador","Innovador")))</f>
        <v>Innovador</v>
      </c>
      <c r="CF21" s="11" t="str">
        <f aca="false">IF($B21="","",IF(BY21&lt;2.5,"Explorador",IF(BY21&lt;3.75,"Integrador","Innovador")))</f>
        <v>Innovador</v>
      </c>
      <c r="CG21" s="13" t="n">
        <f aca="false">IF($B21="","",BB21/9)</f>
        <v>1</v>
      </c>
      <c r="CH21" s="11" t="str">
        <f aca="false">IF($B21="","",IF(CG21&lt;0.4,"Bajo",IF(CG21&lt;0.7,"Medio","Alto")))</f>
        <v>Alto</v>
      </c>
      <c r="CI21" s="13" t="n">
        <f aca="false">IF($B21="","",((AVERAGE(BU21,BW21,BY21))-1)/4)</f>
        <v>0.807142857142857</v>
      </c>
      <c r="CJ21" s="11" t="str">
        <f aca="false">IF($B21="","",IF(CG21-CI21&gt;0.25,"Subvalora",IF(CI21-CG21&gt;0.25,"Sobreconfía","Consistente")))</f>
        <v>Consistente</v>
      </c>
    </row>
    <row r="22" customFormat="false" ht="15" hidden="false" customHeight="true" outlineLevel="0" collapsed="false">
      <c r="A22" s="11" t="s">
        <v>205</v>
      </c>
      <c r="B22" s="11" t="s">
        <v>206</v>
      </c>
      <c r="C22" s="11" t="s">
        <v>207</v>
      </c>
      <c r="D22" s="11" t="s">
        <v>105</v>
      </c>
      <c r="E22" s="11" t="s">
        <v>118</v>
      </c>
      <c r="F22" s="11" t="s">
        <v>138</v>
      </c>
      <c r="G22" s="11" t="s">
        <v>208</v>
      </c>
      <c r="H22" s="11" t="s">
        <v>144</v>
      </c>
      <c r="I22" s="11" t="s">
        <v>120</v>
      </c>
      <c r="J22" s="11" t="n">
        <v>5</v>
      </c>
      <c r="K22" s="11" t="n">
        <v>4</v>
      </c>
      <c r="L22" s="11" t="n">
        <v>3</v>
      </c>
      <c r="M22" s="11" t="n">
        <v>5</v>
      </c>
      <c r="N22" s="11" t="n">
        <v>5</v>
      </c>
      <c r="O22" s="11" t="n">
        <v>1</v>
      </c>
      <c r="P22" s="11" t="n">
        <v>5</v>
      </c>
      <c r="Q22" s="11" t="n">
        <v>4</v>
      </c>
      <c r="R22" s="11" t="n">
        <v>5</v>
      </c>
      <c r="S22" s="11" t="n">
        <v>5</v>
      </c>
      <c r="T22" s="11" t="n">
        <v>5</v>
      </c>
      <c r="U22" s="11" t="n">
        <v>4</v>
      </c>
      <c r="V22" s="11" t="n">
        <v>2</v>
      </c>
      <c r="W22" s="11" t="n">
        <v>5</v>
      </c>
      <c r="X22" s="11" t="s">
        <v>121</v>
      </c>
      <c r="Y22" s="11" t="n">
        <v>5</v>
      </c>
      <c r="Z22" s="11" t="n">
        <v>5</v>
      </c>
      <c r="AA22" s="11" t="n">
        <v>5</v>
      </c>
      <c r="AB22" s="11" t="n">
        <v>4</v>
      </c>
      <c r="AC22" s="11" t="n">
        <v>2</v>
      </c>
      <c r="AD22" s="11" t="s">
        <v>112</v>
      </c>
      <c r="AE22" s="11" t="n">
        <v>4</v>
      </c>
      <c r="AF22" s="11" t="n">
        <v>5</v>
      </c>
      <c r="AG22" s="11" t="n">
        <v>5</v>
      </c>
      <c r="AH22" s="11" t="n">
        <v>5</v>
      </c>
      <c r="AI22" s="11" t="n">
        <v>5</v>
      </c>
      <c r="AJ22" s="11" t="n">
        <v>5</v>
      </c>
      <c r="AK22" s="11" t="n">
        <v>5</v>
      </c>
      <c r="AL22" s="11" t="n">
        <v>5</v>
      </c>
      <c r="AM22" s="11" t="n">
        <v>5</v>
      </c>
      <c r="AN22" s="11" t="n">
        <v>4</v>
      </c>
      <c r="AO22" s="11" t="n">
        <v>3</v>
      </c>
      <c r="AP22" s="11" t="n">
        <v>5</v>
      </c>
      <c r="AQ22" s="11" t="n">
        <v>5</v>
      </c>
      <c r="AR22" s="11" t="n">
        <v>1</v>
      </c>
      <c r="AS22" s="11" t="n">
        <v>4</v>
      </c>
      <c r="AT22" s="11" t="n">
        <v>5</v>
      </c>
      <c r="AU22" s="11" t="n">
        <v>4</v>
      </c>
      <c r="AV22" s="11" t="n">
        <v>4</v>
      </c>
      <c r="AW22" s="11" t="n">
        <v>5</v>
      </c>
      <c r="AX22" s="11" t="n">
        <v>4</v>
      </c>
      <c r="AY22" s="11" t="n">
        <v>3</v>
      </c>
      <c r="AZ22" s="11" t="n">
        <v>5</v>
      </c>
      <c r="BA22" s="11" t="s">
        <v>209</v>
      </c>
      <c r="BB22" s="11" t="n">
        <v>9</v>
      </c>
      <c r="BC22" s="11" t="n">
        <v>1</v>
      </c>
      <c r="BD22" s="11" t="n">
        <v>1</v>
      </c>
      <c r="BE22" s="11" t="n">
        <v>1</v>
      </c>
      <c r="BF22" s="11" t="n">
        <v>1</v>
      </c>
      <c r="BG22" s="11" t="n">
        <v>1</v>
      </c>
      <c r="BH22" s="11" t="n">
        <v>1</v>
      </c>
      <c r="BI22" s="11" t="n">
        <v>1</v>
      </c>
      <c r="BJ22" s="11" t="n">
        <v>1</v>
      </c>
      <c r="BK22" s="11" t="n">
        <v>1</v>
      </c>
      <c r="BL22" s="11" t="n">
        <f aca="false">IF($B22="","",6-L22)</f>
        <v>3</v>
      </c>
      <c r="BM22" s="11" t="n">
        <f aca="false">IF($B22="","",6-O22)</f>
        <v>5</v>
      </c>
      <c r="BN22" s="11" t="n">
        <f aca="false">IF($B22="","",J22+K22+BL22+M22+N22+BM22+P22+Q22+R22)</f>
        <v>41</v>
      </c>
      <c r="BO22" s="11" t="n">
        <f aca="false">IF($B22="","",SUM(S22:W22))</f>
        <v>21</v>
      </c>
      <c r="BP22" s="11" t="n">
        <f aca="false">IF($B22="","",SUM(Y22:AC22))</f>
        <v>21</v>
      </c>
      <c r="BQ22" s="11" t="n">
        <f aca="false">IF($B22="","",SUM(AE22:AK22))</f>
        <v>34</v>
      </c>
      <c r="BR22" s="11" t="n">
        <f aca="false">IF($B22="","",SUM(AL22:AR22))</f>
        <v>28</v>
      </c>
      <c r="BS22" s="11" t="n">
        <f aca="false">IF($B22="","",SUM(AS22:AY22))</f>
        <v>29</v>
      </c>
      <c r="BT22" s="12" t="n">
        <f aca="false">IF($B22="","",BN22/9)</f>
        <v>4.55555555555556</v>
      </c>
      <c r="BU22" s="12" t="n">
        <f aca="false">IF($B22="","",BO22/5)</f>
        <v>4.2</v>
      </c>
      <c r="BV22" s="12" t="n">
        <f aca="false">IF($B22="","",BP22/5)</f>
        <v>4.2</v>
      </c>
      <c r="BW22" s="12" t="n">
        <f aca="false">IF($B22="","",BQ22/7)</f>
        <v>4.85714285714286</v>
      </c>
      <c r="BX22" s="12" t="n">
        <f aca="false">IF($B22="","",BR22/7)</f>
        <v>4</v>
      </c>
      <c r="BY22" s="12" t="n">
        <f aca="false">IF($B22="","",BS22/7)</f>
        <v>4.14285714285714</v>
      </c>
      <c r="BZ22" s="11" t="n">
        <f aca="false">IF($B22="","",AZ22)</f>
        <v>5</v>
      </c>
      <c r="CA22" s="11" t="str">
        <f aca="false">IF($B22="","",IF(BT22&lt;2.5,"Explorador",IF(BT22&lt;3.75,"Integrador","Innovador")))</f>
        <v>Innovador</v>
      </c>
      <c r="CB22" s="11" t="str">
        <f aca="false">IF($B22="","",IF(BU22&lt;2.5,"Explorador",IF(BU22&lt;3.75,"Integrador","Innovador")))</f>
        <v>Innovador</v>
      </c>
      <c r="CC22" s="11" t="str">
        <f aca="false">IF($B22="","",IF(BV22&lt;2.5,"Explorador",IF(BV22&lt;3.75,"Integrador","Innovador")))</f>
        <v>Innovador</v>
      </c>
      <c r="CD22" s="11" t="str">
        <f aca="false">IF($B22="","",IF(BW22&lt;2.5,"Explorador",IF(BW22&lt;3.75,"Integrador","Innovador")))</f>
        <v>Innovador</v>
      </c>
      <c r="CE22" s="11" t="str">
        <f aca="false">IF($B22="","",IF(BX22&lt;2.5,"Explorador",IF(BX22&lt;3.75,"Integrador","Innovador")))</f>
        <v>Innovador</v>
      </c>
      <c r="CF22" s="11" t="str">
        <f aca="false">IF($B22="","",IF(BY22&lt;2.5,"Explorador",IF(BY22&lt;3.75,"Integrador","Innovador")))</f>
        <v>Innovador</v>
      </c>
      <c r="CG22" s="13" t="n">
        <f aca="false">IF($B22="","",BB22/9)</f>
        <v>1</v>
      </c>
      <c r="CH22" s="11" t="str">
        <f aca="false">IF($B22="","",IF(CG22&lt;0.4,"Bajo",IF(CG22&lt;0.7,"Medio","Alto")))</f>
        <v>Alto</v>
      </c>
      <c r="CI22" s="13" t="n">
        <f aca="false">IF($B22="","",((AVERAGE(BU22,BW22,BY22))-1)/4)</f>
        <v>0.85</v>
      </c>
      <c r="CJ22" s="11" t="str">
        <f aca="false">IF($B22="","",IF(CG22-CI22&gt;0.25,"Subvalora",IF(CI22-CG22&gt;0.25,"Sobreconfía","Consistente")))</f>
        <v>Consistente</v>
      </c>
    </row>
    <row r="23" customFormat="false" ht="15" hidden="false" customHeight="true" outlineLevel="0" collapsed="false">
      <c r="A23" s="11" t="s">
        <v>210</v>
      </c>
      <c r="B23" s="11" t="s">
        <v>211</v>
      </c>
      <c r="C23" s="11" t="s">
        <v>212</v>
      </c>
      <c r="D23" s="11" t="s">
        <v>105</v>
      </c>
      <c r="E23" s="11" t="s">
        <v>175</v>
      </c>
      <c r="F23" s="11" t="s">
        <v>107</v>
      </c>
      <c r="G23" s="11" t="s">
        <v>108</v>
      </c>
      <c r="H23" s="11" t="s">
        <v>144</v>
      </c>
      <c r="I23" s="11" t="s">
        <v>110</v>
      </c>
      <c r="J23" s="11" t="n">
        <v>4</v>
      </c>
      <c r="K23" s="11" t="n">
        <v>5</v>
      </c>
      <c r="L23" s="11" t="n">
        <v>2</v>
      </c>
      <c r="M23" s="11" t="n">
        <v>5</v>
      </c>
      <c r="N23" s="11" t="n">
        <v>5</v>
      </c>
      <c r="O23" s="11" t="n">
        <v>4</v>
      </c>
      <c r="P23" s="11" t="n">
        <v>5</v>
      </c>
      <c r="Q23" s="11" t="n">
        <v>4</v>
      </c>
      <c r="R23" s="11" t="n">
        <v>4</v>
      </c>
      <c r="S23" s="11" t="n">
        <v>3</v>
      </c>
      <c r="T23" s="11" t="n">
        <v>5</v>
      </c>
      <c r="U23" s="11" t="n">
        <v>4</v>
      </c>
      <c r="V23" s="11" t="n">
        <v>4</v>
      </c>
      <c r="W23" s="11" t="n">
        <v>3</v>
      </c>
      <c r="X23" s="11" t="s">
        <v>111</v>
      </c>
      <c r="Y23" s="11" t="n">
        <v>5</v>
      </c>
      <c r="Z23" s="11" t="n">
        <v>5</v>
      </c>
      <c r="AA23" s="11" t="n">
        <v>4</v>
      </c>
      <c r="AB23" s="11" t="n">
        <v>2</v>
      </c>
      <c r="AC23" s="11" t="n">
        <v>1</v>
      </c>
      <c r="AD23" s="11" t="s">
        <v>121</v>
      </c>
      <c r="AE23" s="11" t="n">
        <v>5</v>
      </c>
      <c r="AF23" s="11" t="n">
        <v>4</v>
      </c>
      <c r="AG23" s="11" t="n">
        <v>4</v>
      </c>
      <c r="AH23" s="11" t="n">
        <v>3</v>
      </c>
      <c r="AI23" s="11" t="n">
        <v>4</v>
      </c>
      <c r="AJ23" s="11" t="n">
        <v>1</v>
      </c>
      <c r="AK23" s="11" t="n">
        <v>3</v>
      </c>
      <c r="AL23" s="11" t="n">
        <v>5</v>
      </c>
      <c r="AM23" s="11" t="n">
        <v>4</v>
      </c>
      <c r="AN23" s="11" t="n">
        <v>3</v>
      </c>
      <c r="AO23" s="11" t="n">
        <v>3</v>
      </c>
      <c r="AP23" s="11" t="n">
        <v>2</v>
      </c>
      <c r="AQ23" s="11" t="n">
        <v>4</v>
      </c>
      <c r="AR23" s="11" t="n">
        <v>3</v>
      </c>
      <c r="AS23" s="11" t="n">
        <v>3</v>
      </c>
      <c r="AT23" s="11" t="n">
        <v>4</v>
      </c>
      <c r="AU23" s="11" t="n">
        <v>3</v>
      </c>
      <c r="AV23" s="11" t="n">
        <v>3</v>
      </c>
      <c r="AW23" s="11" t="n">
        <v>3</v>
      </c>
      <c r="AX23" s="11" t="n">
        <v>4</v>
      </c>
      <c r="AY23" s="11" t="n">
        <v>1</v>
      </c>
      <c r="AZ23" s="11" t="n">
        <v>5</v>
      </c>
      <c r="BA23" s="11" t="s">
        <v>209</v>
      </c>
      <c r="BB23" s="11" t="n">
        <v>7</v>
      </c>
      <c r="BC23" s="11" t="n">
        <v>1</v>
      </c>
      <c r="BD23" s="11" t="n">
        <v>1</v>
      </c>
      <c r="BE23" s="11" t="n">
        <v>0</v>
      </c>
      <c r="BF23" s="11" t="n">
        <v>1</v>
      </c>
      <c r="BG23" s="11" t="n">
        <v>1</v>
      </c>
      <c r="BH23" s="11" t="n">
        <v>0</v>
      </c>
      <c r="BI23" s="11" t="n">
        <v>1</v>
      </c>
      <c r="BJ23" s="11" t="n">
        <v>1</v>
      </c>
      <c r="BK23" s="11" t="n">
        <v>1</v>
      </c>
      <c r="BL23" s="11" t="n">
        <f aca="false">IF($B23="","",6-L23)</f>
        <v>4</v>
      </c>
      <c r="BM23" s="11" t="n">
        <f aca="false">IF($B23="","",6-O23)</f>
        <v>2</v>
      </c>
      <c r="BN23" s="11" t="n">
        <f aca="false">IF($B23="","",J23+K23+BL23+M23+N23+BM23+P23+Q23+R23)</f>
        <v>38</v>
      </c>
      <c r="BO23" s="11" t="n">
        <f aca="false">IF($B23="","",SUM(S23:W23))</f>
        <v>19</v>
      </c>
      <c r="BP23" s="11" t="n">
        <f aca="false">IF($B23="","",SUM(Y23:AC23))</f>
        <v>17</v>
      </c>
      <c r="BQ23" s="11" t="n">
        <f aca="false">IF($B23="","",SUM(AE23:AK23))</f>
        <v>24</v>
      </c>
      <c r="BR23" s="11" t="n">
        <f aca="false">IF($B23="","",SUM(AL23:AR23))</f>
        <v>24</v>
      </c>
      <c r="BS23" s="11" t="n">
        <f aca="false">IF($B23="","",SUM(AS23:AY23))</f>
        <v>21</v>
      </c>
      <c r="BT23" s="12" t="n">
        <f aca="false">IF($B23="","",BN23/9)</f>
        <v>4.22222222222222</v>
      </c>
      <c r="BU23" s="12" t="n">
        <f aca="false">IF($B23="","",BO23/5)</f>
        <v>3.8</v>
      </c>
      <c r="BV23" s="12" t="n">
        <f aca="false">IF($B23="","",BP23/5)</f>
        <v>3.4</v>
      </c>
      <c r="BW23" s="12" t="n">
        <f aca="false">IF($B23="","",BQ23/7)</f>
        <v>3.42857142857143</v>
      </c>
      <c r="BX23" s="12" t="n">
        <f aca="false">IF($B23="","",BR23/7)</f>
        <v>3.42857142857143</v>
      </c>
      <c r="BY23" s="12" t="n">
        <f aca="false">IF($B23="","",BS23/7)</f>
        <v>3</v>
      </c>
      <c r="BZ23" s="11" t="n">
        <f aca="false">IF($B23="","",AZ23)</f>
        <v>5</v>
      </c>
      <c r="CA23" s="11" t="str">
        <f aca="false">IF($B23="","",IF(BT23&lt;2.5,"Explorador",IF(BT23&lt;3.75,"Integrador","Innovador")))</f>
        <v>Innovador</v>
      </c>
      <c r="CB23" s="11" t="str">
        <f aca="false">IF($B23="","",IF(BU23&lt;2.5,"Explorador",IF(BU23&lt;3.75,"Integrador","Innovador")))</f>
        <v>Innovador</v>
      </c>
      <c r="CC23" s="11" t="str">
        <f aca="false">IF($B23="","",IF(BV23&lt;2.5,"Explorador",IF(BV23&lt;3.75,"Integrador","Innovador")))</f>
        <v>Integrador</v>
      </c>
      <c r="CD23" s="11" t="str">
        <f aca="false">IF($B23="","",IF(BW23&lt;2.5,"Explorador",IF(BW23&lt;3.75,"Integrador","Innovador")))</f>
        <v>Integrador</v>
      </c>
      <c r="CE23" s="11" t="str">
        <f aca="false">IF($B23="","",IF(BX23&lt;2.5,"Explorador",IF(BX23&lt;3.75,"Integrador","Innovador")))</f>
        <v>Integrador</v>
      </c>
      <c r="CF23" s="11" t="str">
        <f aca="false">IF($B23="","",IF(BY23&lt;2.5,"Explorador",IF(BY23&lt;3.75,"Integrador","Innovador")))</f>
        <v>Integrador</v>
      </c>
      <c r="CG23" s="13" t="n">
        <f aca="false">IF($B23="","",BB23/9)</f>
        <v>0.777777777777778</v>
      </c>
      <c r="CH23" s="11" t="str">
        <f aca="false">IF($B23="","",IF(CG23&lt;0.4,"Bajo",IF(CG23&lt;0.7,"Medio","Alto")))</f>
        <v>Alto</v>
      </c>
      <c r="CI23" s="13" t="n">
        <f aca="false">IF($B23="","",((AVERAGE(BU23,BW23,BY23))-1)/4)</f>
        <v>0.602380952380952</v>
      </c>
      <c r="CJ23" s="11" t="str">
        <f aca="false">IF($B23="","",IF(CG23-CI23&gt;0.25,"Subvalora",IF(CI23-CG23&gt;0.25,"Sobreconfía","Consistente")))</f>
        <v>Consistente</v>
      </c>
    </row>
    <row r="24" customFormat="false" ht="15" hidden="false" customHeight="true" outlineLevel="0" collapsed="false">
      <c r="A24" s="11" t="s">
        <v>213</v>
      </c>
      <c r="B24" s="11" t="s">
        <v>214</v>
      </c>
      <c r="C24" s="11" t="s">
        <v>215</v>
      </c>
      <c r="D24" s="11" t="s">
        <v>117</v>
      </c>
      <c r="E24" s="11" t="s">
        <v>216</v>
      </c>
      <c r="F24" s="11" t="s">
        <v>138</v>
      </c>
      <c r="G24" s="11" t="s">
        <v>108</v>
      </c>
      <c r="H24" s="11" t="s">
        <v>128</v>
      </c>
      <c r="I24" s="11" t="s">
        <v>129</v>
      </c>
      <c r="J24" s="11" t="n">
        <v>5</v>
      </c>
      <c r="K24" s="11" t="n">
        <v>5</v>
      </c>
      <c r="L24" s="11" t="n">
        <v>1</v>
      </c>
      <c r="M24" s="11" t="n">
        <v>5</v>
      </c>
      <c r="N24" s="11" t="n">
        <v>5</v>
      </c>
      <c r="O24" s="11" t="n">
        <v>1</v>
      </c>
      <c r="P24" s="11" t="n">
        <v>5</v>
      </c>
      <c r="Q24" s="11" t="n">
        <v>5</v>
      </c>
      <c r="R24" s="11" t="n">
        <v>5</v>
      </c>
      <c r="S24" s="11" t="n">
        <v>5</v>
      </c>
      <c r="T24" s="11" t="n">
        <v>5</v>
      </c>
      <c r="U24" s="11" t="n">
        <v>5</v>
      </c>
      <c r="V24" s="11" t="n">
        <v>5</v>
      </c>
      <c r="W24" s="11" t="n">
        <v>5</v>
      </c>
      <c r="X24" s="11" t="s">
        <v>111</v>
      </c>
      <c r="Y24" s="11" t="n">
        <v>5</v>
      </c>
      <c r="Z24" s="11" t="n">
        <v>5</v>
      </c>
      <c r="AA24" s="11" t="n">
        <v>5</v>
      </c>
      <c r="AB24" s="11" t="n">
        <v>5</v>
      </c>
      <c r="AC24" s="11" t="n">
        <v>5</v>
      </c>
      <c r="AD24" s="11" t="s">
        <v>121</v>
      </c>
      <c r="AE24" s="11" t="n">
        <v>5</v>
      </c>
      <c r="AF24" s="11" t="n">
        <v>5</v>
      </c>
      <c r="AG24" s="11" t="n">
        <v>5</v>
      </c>
      <c r="AH24" s="11" t="n">
        <v>5</v>
      </c>
      <c r="AI24" s="11" t="n">
        <v>5</v>
      </c>
      <c r="AJ24" s="11" t="n">
        <v>5</v>
      </c>
      <c r="AK24" s="11" t="n">
        <v>5</v>
      </c>
      <c r="AL24" s="11" t="n">
        <v>5</v>
      </c>
      <c r="AM24" s="11" t="n">
        <v>5</v>
      </c>
      <c r="AN24" s="11" t="n">
        <v>5</v>
      </c>
      <c r="AO24" s="11" t="n">
        <v>5</v>
      </c>
      <c r="AP24" s="11" t="n">
        <v>5</v>
      </c>
      <c r="AQ24" s="11" t="n">
        <v>5</v>
      </c>
      <c r="AR24" s="11" t="n">
        <v>5</v>
      </c>
      <c r="AS24" s="11" t="n">
        <v>5</v>
      </c>
      <c r="AT24" s="11" t="n">
        <v>5</v>
      </c>
      <c r="AU24" s="11" t="n">
        <v>5</v>
      </c>
      <c r="AV24" s="11" t="n">
        <v>5</v>
      </c>
      <c r="AW24" s="11" t="n">
        <v>5</v>
      </c>
      <c r="AX24" s="11" t="n">
        <v>5</v>
      </c>
      <c r="AY24" s="11" t="n">
        <v>5</v>
      </c>
      <c r="AZ24" s="11" t="n">
        <v>5</v>
      </c>
      <c r="BA24" s="11" t="s">
        <v>217</v>
      </c>
      <c r="BB24" s="11" t="n">
        <v>7</v>
      </c>
      <c r="BC24" s="11" t="n">
        <v>0</v>
      </c>
      <c r="BD24" s="11" t="n">
        <v>0</v>
      </c>
      <c r="BE24" s="11" t="n">
        <v>1</v>
      </c>
      <c r="BF24" s="11" t="n">
        <v>1</v>
      </c>
      <c r="BG24" s="11" t="n">
        <v>1</v>
      </c>
      <c r="BH24" s="11" t="n">
        <v>1</v>
      </c>
      <c r="BI24" s="11" t="n">
        <v>1</v>
      </c>
      <c r="BJ24" s="11" t="n">
        <v>1</v>
      </c>
      <c r="BK24" s="11" t="n">
        <v>1</v>
      </c>
      <c r="BL24" s="11" t="n">
        <f aca="false">IF($B24="","",6-L24)</f>
        <v>5</v>
      </c>
      <c r="BM24" s="11" t="n">
        <f aca="false">IF($B24="","",6-O24)</f>
        <v>5</v>
      </c>
      <c r="BN24" s="11" t="n">
        <f aca="false">IF($B24="","",J24+K24+BL24+M24+N24+BM24+P24+Q24+R24)</f>
        <v>45</v>
      </c>
      <c r="BO24" s="11" t="n">
        <f aca="false">IF($B24="","",SUM(S24:W24))</f>
        <v>25</v>
      </c>
      <c r="BP24" s="11" t="n">
        <f aca="false">IF($B24="","",SUM(Y24:AC24))</f>
        <v>25</v>
      </c>
      <c r="BQ24" s="11" t="n">
        <f aca="false">IF($B24="","",SUM(AE24:AK24))</f>
        <v>35</v>
      </c>
      <c r="BR24" s="11" t="n">
        <f aca="false">IF($B24="","",SUM(AL24:AR24))</f>
        <v>35</v>
      </c>
      <c r="BS24" s="11" t="n">
        <f aca="false">IF($B24="","",SUM(AS24:AY24))</f>
        <v>35</v>
      </c>
      <c r="BT24" s="12" t="n">
        <f aca="false">IF($B24="","",BN24/9)</f>
        <v>5</v>
      </c>
      <c r="BU24" s="12" t="n">
        <f aca="false">IF($B24="","",BO24/5)</f>
        <v>5</v>
      </c>
      <c r="BV24" s="12" t="n">
        <f aca="false">IF($B24="","",BP24/5)</f>
        <v>5</v>
      </c>
      <c r="BW24" s="12" t="n">
        <f aca="false">IF($B24="","",BQ24/7)</f>
        <v>5</v>
      </c>
      <c r="BX24" s="12" t="n">
        <f aca="false">IF($B24="","",BR24/7)</f>
        <v>5</v>
      </c>
      <c r="BY24" s="12" t="n">
        <f aca="false">IF($B24="","",BS24/7)</f>
        <v>5</v>
      </c>
      <c r="BZ24" s="11" t="n">
        <f aca="false">IF($B24="","",AZ24)</f>
        <v>5</v>
      </c>
      <c r="CA24" s="11" t="str">
        <f aca="false">IF($B24="","",IF(BT24&lt;2.5,"Explorador",IF(BT24&lt;3.75,"Integrador","Innovador")))</f>
        <v>Innovador</v>
      </c>
      <c r="CB24" s="11" t="str">
        <f aca="false">IF($B24="","",IF(BU24&lt;2.5,"Explorador",IF(BU24&lt;3.75,"Integrador","Innovador")))</f>
        <v>Innovador</v>
      </c>
      <c r="CC24" s="11" t="str">
        <f aca="false">IF($B24="","",IF(BV24&lt;2.5,"Explorador",IF(BV24&lt;3.75,"Integrador","Innovador")))</f>
        <v>Innovador</v>
      </c>
      <c r="CD24" s="11" t="str">
        <f aca="false">IF($B24="","",IF(BW24&lt;2.5,"Explorador",IF(BW24&lt;3.75,"Integrador","Innovador")))</f>
        <v>Innovador</v>
      </c>
      <c r="CE24" s="11" t="str">
        <f aca="false">IF($B24="","",IF(BX24&lt;2.5,"Explorador",IF(BX24&lt;3.75,"Integrador","Innovador")))</f>
        <v>Innovador</v>
      </c>
      <c r="CF24" s="11" t="str">
        <f aca="false">IF($B24="","",IF(BY24&lt;2.5,"Explorador",IF(BY24&lt;3.75,"Integrador","Innovador")))</f>
        <v>Innovador</v>
      </c>
      <c r="CG24" s="13" t="n">
        <f aca="false">IF($B24="","",BB24/9)</f>
        <v>0.777777777777778</v>
      </c>
      <c r="CH24" s="11" t="str">
        <f aca="false">IF($B24="","",IF(CG24&lt;0.4,"Bajo",IF(CG24&lt;0.7,"Medio","Alto")))</f>
        <v>Alto</v>
      </c>
      <c r="CI24" s="13" t="n">
        <f aca="false">IF($B24="","",((AVERAGE(BU24,BW24,BY24))-1)/4)</f>
        <v>1</v>
      </c>
      <c r="CJ24" s="11" t="str">
        <f aca="false">IF($B24="","",IF(CG24-CI24&gt;0.25,"Subvalora",IF(CI24-CG24&gt;0.25,"Sobreconfía","Consistente")))</f>
        <v>Consistente</v>
      </c>
    </row>
    <row r="25" customFormat="false" ht="15" hidden="false" customHeight="true" outlineLevel="0" collapsed="false">
      <c r="A25" s="11" t="s">
        <v>218</v>
      </c>
      <c r="B25" s="11" t="s">
        <v>219</v>
      </c>
      <c r="C25" s="11" t="s">
        <v>220</v>
      </c>
      <c r="D25" s="11" t="s">
        <v>105</v>
      </c>
      <c r="E25" s="11" t="s">
        <v>199</v>
      </c>
      <c r="F25" s="11" t="s">
        <v>138</v>
      </c>
      <c r="G25" s="11" t="s">
        <v>119</v>
      </c>
      <c r="H25" s="11" t="s">
        <v>144</v>
      </c>
      <c r="I25" s="11" t="s">
        <v>129</v>
      </c>
      <c r="J25" s="11" t="n">
        <v>4</v>
      </c>
      <c r="K25" s="11" t="n">
        <v>5</v>
      </c>
      <c r="L25" s="11" t="n">
        <v>2</v>
      </c>
      <c r="M25" s="11" t="n">
        <v>5</v>
      </c>
      <c r="N25" s="11" t="n">
        <v>5</v>
      </c>
      <c r="O25" s="11" t="n">
        <v>1</v>
      </c>
      <c r="P25" s="11" t="n">
        <v>3</v>
      </c>
      <c r="Q25" s="11" t="n">
        <v>3</v>
      </c>
      <c r="R25" s="11" t="n">
        <v>3</v>
      </c>
      <c r="S25" s="11" t="n">
        <v>5</v>
      </c>
      <c r="T25" s="11" t="n">
        <v>4</v>
      </c>
      <c r="U25" s="11" t="n">
        <v>5</v>
      </c>
      <c r="V25" s="11" t="n">
        <v>5</v>
      </c>
      <c r="W25" s="11" t="n">
        <v>4</v>
      </c>
      <c r="X25" s="11" t="s">
        <v>111</v>
      </c>
      <c r="Y25" s="11" t="n">
        <v>5</v>
      </c>
      <c r="Z25" s="11" t="n">
        <v>5</v>
      </c>
      <c r="AA25" s="11" t="n">
        <v>5</v>
      </c>
      <c r="AB25" s="11" t="n">
        <v>5</v>
      </c>
      <c r="AC25" s="11" t="n">
        <v>4</v>
      </c>
      <c r="AD25" s="11" t="s">
        <v>171</v>
      </c>
      <c r="AE25" s="11" t="n">
        <v>5</v>
      </c>
      <c r="AF25" s="11" t="n">
        <v>5</v>
      </c>
      <c r="AG25" s="11" t="n">
        <v>4</v>
      </c>
      <c r="AH25" s="11" t="n">
        <v>3</v>
      </c>
      <c r="AI25" s="11" t="n">
        <v>5</v>
      </c>
      <c r="AJ25" s="11" t="n">
        <v>3</v>
      </c>
      <c r="AK25" s="11" t="n">
        <v>5</v>
      </c>
      <c r="AL25" s="11" t="n">
        <v>4</v>
      </c>
      <c r="AM25" s="11" t="n">
        <v>3</v>
      </c>
      <c r="AN25" s="11" t="n">
        <v>4</v>
      </c>
      <c r="AO25" s="11" t="n">
        <v>5</v>
      </c>
      <c r="AP25" s="11" t="n">
        <v>5</v>
      </c>
      <c r="AQ25" s="11" t="n">
        <v>4</v>
      </c>
      <c r="AR25" s="11" t="n">
        <v>4</v>
      </c>
      <c r="AS25" s="11" t="n">
        <v>4</v>
      </c>
      <c r="AT25" s="11" t="n">
        <v>4</v>
      </c>
      <c r="AU25" s="11" t="n">
        <v>4</v>
      </c>
      <c r="AV25" s="11" t="n">
        <v>4</v>
      </c>
      <c r="AW25" s="11" t="n">
        <v>4</v>
      </c>
      <c r="AX25" s="11" t="n">
        <v>3</v>
      </c>
      <c r="AY25" s="11" t="n">
        <v>3</v>
      </c>
      <c r="AZ25" s="11" t="n">
        <v>5</v>
      </c>
      <c r="BA25" s="11" t="s">
        <v>133</v>
      </c>
      <c r="BB25" s="11" t="n">
        <v>9</v>
      </c>
      <c r="BC25" s="11" t="n">
        <v>1</v>
      </c>
      <c r="BD25" s="11" t="n">
        <v>1</v>
      </c>
      <c r="BE25" s="11" t="n">
        <v>1</v>
      </c>
      <c r="BF25" s="11" t="n">
        <v>1</v>
      </c>
      <c r="BG25" s="11" t="n">
        <v>1</v>
      </c>
      <c r="BH25" s="11" t="n">
        <v>1</v>
      </c>
      <c r="BI25" s="11" t="n">
        <v>1</v>
      </c>
      <c r="BJ25" s="11" t="n">
        <v>1</v>
      </c>
      <c r="BK25" s="11" t="n">
        <v>1</v>
      </c>
      <c r="BL25" s="11" t="n">
        <f aca="false">IF($B25="","",6-L25)</f>
        <v>4</v>
      </c>
      <c r="BM25" s="11" t="n">
        <f aca="false">IF($B25="","",6-O25)</f>
        <v>5</v>
      </c>
      <c r="BN25" s="11" t="n">
        <f aca="false">IF($B25="","",J25+K25+BL25+M25+N25+BM25+P25+Q25+R25)</f>
        <v>37</v>
      </c>
      <c r="BO25" s="11" t="n">
        <f aca="false">IF($B25="","",SUM(S25:W25))</f>
        <v>23</v>
      </c>
      <c r="BP25" s="11" t="n">
        <f aca="false">IF($B25="","",SUM(Y25:AC25))</f>
        <v>24</v>
      </c>
      <c r="BQ25" s="11" t="n">
        <f aca="false">IF($B25="","",SUM(AE25:AK25))</f>
        <v>30</v>
      </c>
      <c r="BR25" s="11" t="n">
        <f aca="false">IF($B25="","",SUM(AL25:AR25))</f>
        <v>29</v>
      </c>
      <c r="BS25" s="11" t="n">
        <f aca="false">IF($B25="","",SUM(AS25:AY25))</f>
        <v>26</v>
      </c>
      <c r="BT25" s="12" t="n">
        <f aca="false">IF($B25="","",BN25/9)</f>
        <v>4.11111111111111</v>
      </c>
      <c r="BU25" s="12" t="n">
        <f aca="false">IF($B25="","",BO25/5)</f>
        <v>4.6</v>
      </c>
      <c r="BV25" s="12" t="n">
        <f aca="false">IF($B25="","",BP25/5)</f>
        <v>4.8</v>
      </c>
      <c r="BW25" s="12" t="n">
        <f aca="false">IF($B25="","",BQ25/7)</f>
        <v>4.28571428571429</v>
      </c>
      <c r="BX25" s="12" t="n">
        <f aca="false">IF($B25="","",BR25/7)</f>
        <v>4.14285714285714</v>
      </c>
      <c r="BY25" s="12" t="n">
        <f aca="false">IF($B25="","",BS25/7)</f>
        <v>3.71428571428571</v>
      </c>
      <c r="BZ25" s="11" t="n">
        <f aca="false">IF($B25="","",AZ25)</f>
        <v>5</v>
      </c>
      <c r="CA25" s="11" t="str">
        <f aca="false">IF($B25="","",IF(BT25&lt;2.5,"Explorador",IF(BT25&lt;3.75,"Integrador","Innovador")))</f>
        <v>Innovador</v>
      </c>
      <c r="CB25" s="11" t="str">
        <f aca="false">IF($B25="","",IF(BU25&lt;2.5,"Explorador",IF(BU25&lt;3.75,"Integrador","Innovador")))</f>
        <v>Innovador</v>
      </c>
      <c r="CC25" s="11" t="str">
        <f aca="false">IF($B25="","",IF(BV25&lt;2.5,"Explorador",IF(BV25&lt;3.75,"Integrador","Innovador")))</f>
        <v>Innovador</v>
      </c>
      <c r="CD25" s="11" t="str">
        <f aca="false">IF($B25="","",IF(BW25&lt;2.5,"Explorador",IF(BW25&lt;3.75,"Integrador","Innovador")))</f>
        <v>Innovador</v>
      </c>
      <c r="CE25" s="11" t="str">
        <f aca="false">IF($B25="","",IF(BX25&lt;2.5,"Explorador",IF(BX25&lt;3.75,"Integrador","Innovador")))</f>
        <v>Innovador</v>
      </c>
      <c r="CF25" s="11" t="str">
        <f aca="false">IF($B25="","",IF(BY25&lt;2.5,"Explorador",IF(BY25&lt;3.75,"Integrador","Innovador")))</f>
        <v>Integrador</v>
      </c>
      <c r="CG25" s="13" t="n">
        <f aca="false">IF($B25="","",BB25/9)</f>
        <v>1</v>
      </c>
      <c r="CH25" s="11" t="str">
        <f aca="false">IF($B25="","",IF(CG25&lt;0.4,"Bajo",IF(CG25&lt;0.7,"Medio","Alto")))</f>
        <v>Alto</v>
      </c>
      <c r="CI25" s="13" t="n">
        <f aca="false">IF($B25="","",((AVERAGE(BU25,BW25,BY25))-1)/4)</f>
        <v>0.8</v>
      </c>
      <c r="CJ25" s="11" t="str">
        <f aca="false">IF($B25="","",IF(CG25-CI25&gt;0.25,"Subvalora",IF(CI25-CG25&gt;0.25,"Sobreconfía","Consistente")))</f>
        <v>Consistente</v>
      </c>
    </row>
    <row r="26" customFormat="false" ht="15" hidden="false" customHeight="true" outlineLevel="0" collapsed="false">
      <c r="A26" s="11" t="s">
        <v>221</v>
      </c>
      <c r="B26" s="11" t="s">
        <v>222</v>
      </c>
      <c r="C26" s="11" t="s">
        <v>223</v>
      </c>
      <c r="D26" s="11" t="s">
        <v>105</v>
      </c>
      <c r="E26" s="11" t="s">
        <v>153</v>
      </c>
      <c r="F26" s="11" t="s">
        <v>138</v>
      </c>
      <c r="G26" s="11" t="s">
        <v>119</v>
      </c>
      <c r="H26" s="11" t="s">
        <v>144</v>
      </c>
      <c r="I26" s="11" t="s">
        <v>129</v>
      </c>
      <c r="J26" s="11" t="n">
        <v>4</v>
      </c>
      <c r="K26" s="11" t="n">
        <v>5</v>
      </c>
      <c r="L26" s="11" t="n">
        <v>2</v>
      </c>
      <c r="M26" s="11" t="n">
        <v>5</v>
      </c>
      <c r="N26" s="11" t="n">
        <v>5</v>
      </c>
      <c r="O26" s="11" t="n">
        <v>1</v>
      </c>
      <c r="P26" s="11" t="n">
        <v>5</v>
      </c>
      <c r="Q26" s="11" t="n">
        <v>4</v>
      </c>
      <c r="R26" s="11" t="n">
        <v>5</v>
      </c>
      <c r="S26" s="11" t="n">
        <v>3</v>
      </c>
      <c r="T26" s="11" t="n">
        <v>3</v>
      </c>
      <c r="U26" s="11" t="n">
        <v>4</v>
      </c>
      <c r="V26" s="11" t="n">
        <v>3</v>
      </c>
      <c r="W26" s="11" t="n">
        <v>3</v>
      </c>
      <c r="X26" s="11" t="s">
        <v>121</v>
      </c>
      <c r="Y26" s="11" t="n">
        <v>5</v>
      </c>
      <c r="Z26" s="11" t="n">
        <v>4</v>
      </c>
      <c r="AA26" s="11" t="n">
        <v>4</v>
      </c>
      <c r="AB26" s="11" t="n">
        <v>3</v>
      </c>
      <c r="AC26" s="11" t="n">
        <v>4</v>
      </c>
      <c r="AD26" s="11" t="s">
        <v>121</v>
      </c>
      <c r="AE26" s="11" t="n">
        <v>2</v>
      </c>
      <c r="AF26" s="11" t="n">
        <v>2</v>
      </c>
      <c r="AG26" s="11" t="n">
        <v>1</v>
      </c>
      <c r="AH26" s="11" t="n">
        <v>3</v>
      </c>
      <c r="AI26" s="11" t="n">
        <v>4</v>
      </c>
      <c r="AJ26" s="11" t="n">
        <v>1</v>
      </c>
      <c r="AK26" s="11" t="n">
        <v>4</v>
      </c>
      <c r="AL26" s="11" t="n">
        <v>4</v>
      </c>
      <c r="AM26" s="11" t="n">
        <v>3</v>
      </c>
      <c r="AN26" s="11" t="n">
        <v>2</v>
      </c>
      <c r="AO26" s="11" t="n">
        <v>2</v>
      </c>
      <c r="AP26" s="11" t="n">
        <v>4</v>
      </c>
      <c r="AQ26" s="11" t="n">
        <v>4</v>
      </c>
      <c r="AR26" s="11" t="n">
        <v>2</v>
      </c>
      <c r="AS26" s="11" t="n">
        <v>4</v>
      </c>
      <c r="AT26" s="11" t="n">
        <v>4</v>
      </c>
      <c r="AU26" s="11" t="n">
        <v>3</v>
      </c>
      <c r="AV26" s="11" t="n">
        <v>2</v>
      </c>
      <c r="AW26" s="11" t="n">
        <v>5</v>
      </c>
      <c r="AX26" s="11" t="n">
        <v>4</v>
      </c>
      <c r="AY26" s="11" t="n">
        <v>2</v>
      </c>
      <c r="AZ26" s="11" t="n">
        <v>5</v>
      </c>
      <c r="BA26" s="11" t="s">
        <v>224</v>
      </c>
      <c r="BB26" s="11" t="n">
        <v>7</v>
      </c>
      <c r="BC26" s="11" t="n">
        <v>1</v>
      </c>
      <c r="BD26" s="11" t="n">
        <v>1</v>
      </c>
      <c r="BE26" s="11" t="n">
        <v>1</v>
      </c>
      <c r="BF26" s="11" t="n">
        <v>0</v>
      </c>
      <c r="BG26" s="11" t="n">
        <v>1</v>
      </c>
      <c r="BH26" s="11" t="n">
        <v>0</v>
      </c>
      <c r="BI26" s="11" t="n">
        <v>1</v>
      </c>
      <c r="BJ26" s="11" t="n">
        <v>1</v>
      </c>
      <c r="BK26" s="11" t="n">
        <v>1</v>
      </c>
      <c r="BL26" s="11" t="n">
        <f aca="false">IF($B26="","",6-L26)</f>
        <v>4</v>
      </c>
      <c r="BM26" s="11" t="n">
        <f aca="false">IF($B26="","",6-O26)</f>
        <v>5</v>
      </c>
      <c r="BN26" s="11" t="n">
        <f aca="false">IF($B26="","",J26+K26+BL26+M26+N26+BM26+P26+Q26+R26)</f>
        <v>42</v>
      </c>
      <c r="BO26" s="11" t="n">
        <f aca="false">IF($B26="","",SUM(S26:W26))</f>
        <v>16</v>
      </c>
      <c r="BP26" s="11" t="n">
        <f aca="false">IF($B26="","",SUM(Y26:AC26))</f>
        <v>20</v>
      </c>
      <c r="BQ26" s="11" t="n">
        <f aca="false">IF($B26="","",SUM(AE26:AK26))</f>
        <v>17</v>
      </c>
      <c r="BR26" s="11" t="n">
        <f aca="false">IF($B26="","",SUM(AL26:AR26))</f>
        <v>21</v>
      </c>
      <c r="BS26" s="11" t="n">
        <f aca="false">IF($B26="","",SUM(AS26:AY26))</f>
        <v>24</v>
      </c>
      <c r="BT26" s="12" t="n">
        <f aca="false">IF($B26="","",BN26/9)</f>
        <v>4.66666666666667</v>
      </c>
      <c r="BU26" s="12" t="n">
        <f aca="false">IF($B26="","",BO26/5)</f>
        <v>3.2</v>
      </c>
      <c r="BV26" s="12" t="n">
        <f aca="false">IF($B26="","",BP26/5)</f>
        <v>4</v>
      </c>
      <c r="BW26" s="12" t="n">
        <f aca="false">IF($B26="","",BQ26/7)</f>
        <v>2.42857142857143</v>
      </c>
      <c r="BX26" s="12" t="n">
        <f aca="false">IF($B26="","",BR26/7)</f>
        <v>3</v>
      </c>
      <c r="BY26" s="12" t="n">
        <f aca="false">IF($B26="","",BS26/7)</f>
        <v>3.42857142857143</v>
      </c>
      <c r="BZ26" s="11" t="n">
        <f aca="false">IF($B26="","",AZ26)</f>
        <v>5</v>
      </c>
      <c r="CA26" s="11" t="str">
        <f aca="false">IF($B26="","",IF(BT26&lt;2.5,"Explorador",IF(BT26&lt;3.75,"Integrador","Innovador")))</f>
        <v>Innovador</v>
      </c>
      <c r="CB26" s="11" t="str">
        <f aca="false">IF($B26="","",IF(BU26&lt;2.5,"Explorador",IF(BU26&lt;3.75,"Integrador","Innovador")))</f>
        <v>Integrador</v>
      </c>
      <c r="CC26" s="11" t="str">
        <f aca="false">IF($B26="","",IF(BV26&lt;2.5,"Explorador",IF(BV26&lt;3.75,"Integrador","Innovador")))</f>
        <v>Innovador</v>
      </c>
      <c r="CD26" s="11" t="str">
        <f aca="false">IF($B26="","",IF(BW26&lt;2.5,"Explorador",IF(BW26&lt;3.75,"Integrador","Innovador")))</f>
        <v>Explorador</v>
      </c>
      <c r="CE26" s="11" t="str">
        <f aca="false">IF($B26="","",IF(BX26&lt;2.5,"Explorador",IF(BX26&lt;3.75,"Integrador","Innovador")))</f>
        <v>Integrador</v>
      </c>
      <c r="CF26" s="11" t="str">
        <f aca="false">IF($B26="","",IF(BY26&lt;2.5,"Explorador",IF(BY26&lt;3.75,"Integrador","Innovador")))</f>
        <v>Integrador</v>
      </c>
      <c r="CG26" s="13" t="n">
        <f aca="false">IF($B26="","",BB26/9)</f>
        <v>0.777777777777778</v>
      </c>
      <c r="CH26" s="11" t="str">
        <f aca="false">IF($B26="","",IF(CG26&lt;0.4,"Bajo",IF(CG26&lt;0.7,"Medio","Alto")))</f>
        <v>Alto</v>
      </c>
      <c r="CI26" s="13" t="n">
        <f aca="false">IF($B26="","",((AVERAGE(BU26,BW26,BY26))-1)/4)</f>
        <v>0.504761904761905</v>
      </c>
      <c r="CJ26" s="11" t="str">
        <f aca="false">IF($B26="","",IF(CG26-CI26&gt;0.25,"Subvalora",IF(CI26-CG26&gt;0.25,"Sobreconfía","Consistente")))</f>
        <v>Subvalora</v>
      </c>
    </row>
    <row r="27" customFormat="false" ht="15" hidden="false" customHeight="true" outlineLevel="0" collapsed="false">
      <c r="A27" s="11" t="s">
        <v>225</v>
      </c>
      <c r="B27" s="11" t="s">
        <v>226</v>
      </c>
      <c r="C27" s="11" t="s">
        <v>227</v>
      </c>
      <c r="D27" s="11" t="s">
        <v>105</v>
      </c>
      <c r="E27" s="11" t="s">
        <v>216</v>
      </c>
      <c r="F27" s="11" t="s">
        <v>148</v>
      </c>
      <c r="G27" s="11" t="s">
        <v>119</v>
      </c>
      <c r="H27" s="11" t="s">
        <v>109</v>
      </c>
      <c r="I27" s="11" t="s">
        <v>158</v>
      </c>
      <c r="J27" s="11" t="n">
        <v>5</v>
      </c>
      <c r="K27" s="11" t="n">
        <v>5</v>
      </c>
      <c r="L27" s="11" t="n">
        <v>1</v>
      </c>
      <c r="M27" s="11" t="n">
        <v>5</v>
      </c>
      <c r="N27" s="11" t="n">
        <v>5</v>
      </c>
      <c r="O27" s="11" t="n">
        <v>1</v>
      </c>
      <c r="P27" s="11" t="n">
        <v>5</v>
      </c>
      <c r="Q27" s="11" t="n">
        <v>5</v>
      </c>
      <c r="R27" s="11" t="n">
        <v>5</v>
      </c>
      <c r="S27" s="11" t="n">
        <v>5</v>
      </c>
      <c r="T27" s="11" t="n">
        <v>5</v>
      </c>
      <c r="U27" s="11" t="n">
        <v>4</v>
      </c>
      <c r="V27" s="11" t="n">
        <v>5</v>
      </c>
      <c r="W27" s="11" t="n">
        <v>5</v>
      </c>
      <c r="X27" s="11" t="s">
        <v>111</v>
      </c>
      <c r="Y27" s="11" t="n">
        <v>5</v>
      </c>
      <c r="Z27" s="11" t="n">
        <v>5</v>
      </c>
      <c r="AA27" s="11" t="n">
        <v>5</v>
      </c>
      <c r="AB27" s="11" t="n">
        <v>4</v>
      </c>
      <c r="AC27" s="11" t="n">
        <v>5</v>
      </c>
      <c r="AD27" s="11" t="s">
        <v>111</v>
      </c>
      <c r="AE27" s="11" t="n">
        <v>5</v>
      </c>
      <c r="AF27" s="11" t="n">
        <v>5</v>
      </c>
      <c r="AG27" s="11" t="n">
        <v>5</v>
      </c>
      <c r="AH27" s="11" t="n">
        <v>5</v>
      </c>
      <c r="AI27" s="11" t="n">
        <v>5</v>
      </c>
      <c r="AJ27" s="11" t="n">
        <v>4</v>
      </c>
      <c r="AK27" s="11" t="n">
        <v>5</v>
      </c>
      <c r="AL27" s="11" t="n">
        <v>5</v>
      </c>
      <c r="AM27" s="11" t="n">
        <v>5</v>
      </c>
      <c r="AN27" s="11" t="n">
        <v>5</v>
      </c>
      <c r="AO27" s="11" t="n">
        <v>5</v>
      </c>
      <c r="AP27" s="11" t="n">
        <v>5</v>
      </c>
      <c r="AQ27" s="11" t="n">
        <v>5</v>
      </c>
      <c r="AR27" s="11" t="n">
        <v>5</v>
      </c>
      <c r="AS27" s="11" t="n">
        <v>5</v>
      </c>
      <c r="AT27" s="11" t="n">
        <v>5</v>
      </c>
      <c r="AU27" s="11" t="n">
        <v>4</v>
      </c>
      <c r="AV27" s="11" t="n">
        <v>4</v>
      </c>
      <c r="AW27" s="11" t="n">
        <v>5</v>
      </c>
      <c r="AX27" s="11" t="n">
        <v>4</v>
      </c>
      <c r="AY27" s="11" t="n">
        <v>3</v>
      </c>
      <c r="AZ27" s="11" t="n">
        <v>5</v>
      </c>
      <c r="BA27" s="11" t="s">
        <v>228</v>
      </c>
      <c r="BB27" s="11" t="n">
        <v>9</v>
      </c>
      <c r="BC27" s="11" t="n">
        <v>1</v>
      </c>
      <c r="BD27" s="11" t="n">
        <v>1</v>
      </c>
      <c r="BE27" s="11" t="n">
        <v>1</v>
      </c>
      <c r="BF27" s="11" t="n">
        <v>1</v>
      </c>
      <c r="BG27" s="11" t="n">
        <v>1</v>
      </c>
      <c r="BH27" s="11" t="n">
        <v>1</v>
      </c>
      <c r="BI27" s="11" t="n">
        <v>1</v>
      </c>
      <c r="BJ27" s="11" t="n">
        <v>1</v>
      </c>
      <c r="BK27" s="11" t="n">
        <v>1</v>
      </c>
      <c r="BL27" s="11" t="n">
        <f aca="false">IF($B27="","",6-L27)</f>
        <v>5</v>
      </c>
      <c r="BM27" s="11" t="n">
        <f aca="false">IF($B27="","",6-O27)</f>
        <v>5</v>
      </c>
      <c r="BN27" s="11" t="n">
        <f aca="false">IF($B27="","",J27+K27+BL27+M27+N27+BM27+P27+Q27+R27)</f>
        <v>45</v>
      </c>
      <c r="BO27" s="11" t="n">
        <f aca="false">IF($B27="","",SUM(S27:W27))</f>
        <v>24</v>
      </c>
      <c r="BP27" s="11" t="n">
        <f aca="false">IF($B27="","",SUM(Y27:AC27))</f>
        <v>24</v>
      </c>
      <c r="BQ27" s="11" t="n">
        <f aca="false">IF($B27="","",SUM(AE27:AK27))</f>
        <v>34</v>
      </c>
      <c r="BR27" s="11" t="n">
        <f aca="false">IF($B27="","",SUM(AL27:AR27))</f>
        <v>35</v>
      </c>
      <c r="BS27" s="11" t="n">
        <f aca="false">IF($B27="","",SUM(AS27:AY27))</f>
        <v>30</v>
      </c>
      <c r="BT27" s="12" t="n">
        <f aca="false">IF($B27="","",BN27/9)</f>
        <v>5</v>
      </c>
      <c r="BU27" s="12" t="n">
        <f aca="false">IF($B27="","",BO27/5)</f>
        <v>4.8</v>
      </c>
      <c r="BV27" s="12" t="n">
        <f aca="false">IF($B27="","",BP27/5)</f>
        <v>4.8</v>
      </c>
      <c r="BW27" s="12" t="n">
        <f aca="false">IF($B27="","",BQ27/7)</f>
        <v>4.85714285714286</v>
      </c>
      <c r="BX27" s="12" t="n">
        <f aca="false">IF($B27="","",BR27/7)</f>
        <v>5</v>
      </c>
      <c r="BY27" s="12" t="n">
        <f aca="false">IF($B27="","",BS27/7)</f>
        <v>4.28571428571429</v>
      </c>
      <c r="BZ27" s="11" t="n">
        <f aca="false">IF($B27="","",AZ27)</f>
        <v>5</v>
      </c>
      <c r="CA27" s="11" t="str">
        <f aca="false">IF($B27="","",IF(BT27&lt;2.5,"Explorador",IF(BT27&lt;3.75,"Integrador","Innovador")))</f>
        <v>Innovador</v>
      </c>
      <c r="CB27" s="11" t="str">
        <f aca="false">IF($B27="","",IF(BU27&lt;2.5,"Explorador",IF(BU27&lt;3.75,"Integrador","Innovador")))</f>
        <v>Innovador</v>
      </c>
      <c r="CC27" s="11" t="str">
        <f aca="false">IF($B27="","",IF(BV27&lt;2.5,"Explorador",IF(BV27&lt;3.75,"Integrador","Innovador")))</f>
        <v>Innovador</v>
      </c>
      <c r="CD27" s="11" t="str">
        <f aca="false">IF($B27="","",IF(BW27&lt;2.5,"Explorador",IF(BW27&lt;3.75,"Integrador","Innovador")))</f>
        <v>Innovador</v>
      </c>
      <c r="CE27" s="11" t="str">
        <f aca="false">IF($B27="","",IF(BX27&lt;2.5,"Explorador",IF(BX27&lt;3.75,"Integrador","Innovador")))</f>
        <v>Innovador</v>
      </c>
      <c r="CF27" s="11" t="str">
        <f aca="false">IF($B27="","",IF(BY27&lt;2.5,"Explorador",IF(BY27&lt;3.75,"Integrador","Innovador")))</f>
        <v>Innovador</v>
      </c>
      <c r="CG27" s="13" t="n">
        <f aca="false">IF($B27="","",BB27/9)</f>
        <v>1</v>
      </c>
      <c r="CH27" s="11" t="str">
        <f aca="false">IF($B27="","",IF(CG27&lt;0.4,"Bajo",IF(CG27&lt;0.7,"Medio","Alto")))</f>
        <v>Alto</v>
      </c>
      <c r="CI27" s="13" t="n">
        <f aca="false">IF($B27="","",((AVERAGE(BU27,BW27,BY27))-1)/4)</f>
        <v>0.911904761904762</v>
      </c>
      <c r="CJ27" s="11" t="str">
        <f aca="false">IF($B27="","",IF(CG27-CI27&gt;0.25,"Subvalora",IF(CI27-CG27&gt;0.25,"Sobreconfía","Consistente")))</f>
        <v>Consistente</v>
      </c>
    </row>
    <row r="28" customFormat="false" ht="15" hidden="false" customHeight="true" outlineLevel="0" collapsed="false">
      <c r="A28" s="11" t="s">
        <v>229</v>
      </c>
      <c r="B28" s="11" t="s">
        <v>230</v>
      </c>
      <c r="C28" s="11" t="s">
        <v>231</v>
      </c>
      <c r="D28" s="11" t="s">
        <v>105</v>
      </c>
      <c r="E28" s="11" t="s">
        <v>118</v>
      </c>
      <c r="F28" s="11" t="s">
        <v>148</v>
      </c>
      <c r="G28" s="11" t="s">
        <v>119</v>
      </c>
      <c r="H28" s="11" t="s">
        <v>128</v>
      </c>
      <c r="I28" s="11" t="s">
        <v>110</v>
      </c>
      <c r="J28" s="11" t="n">
        <v>5</v>
      </c>
      <c r="K28" s="11" t="n">
        <v>5</v>
      </c>
      <c r="L28" s="11" t="n">
        <v>4</v>
      </c>
      <c r="M28" s="11" t="n">
        <v>3</v>
      </c>
      <c r="N28" s="11" t="n">
        <v>5</v>
      </c>
      <c r="O28" s="11" t="n">
        <v>4</v>
      </c>
      <c r="P28" s="11" t="n">
        <v>3</v>
      </c>
      <c r="Q28" s="11" t="n">
        <v>3</v>
      </c>
      <c r="R28" s="11" t="n">
        <v>5</v>
      </c>
      <c r="S28" s="11" t="n">
        <v>3</v>
      </c>
      <c r="T28" s="11" t="n">
        <v>3</v>
      </c>
      <c r="U28" s="11" t="n">
        <v>4</v>
      </c>
      <c r="V28" s="11" t="n">
        <v>3</v>
      </c>
      <c r="W28" s="11" t="n">
        <v>3</v>
      </c>
      <c r="X28" s="11" t="s">
        <v>111</v>
      </c>
      <c r="Y28" s="11" t="n">
        <v>3</v>
      </c>
      <c r="Z28" s="11" t="n">
        <v>3</v>
      </c>
      <c r="AA28" s="11" t="n">
        <v>3</v>
      </c>
      <c r="AB28" s="11" t="n">
        <v>3</v>
      </c>
      <c r="AC28" s="11" t="n">
        <v>1</v>
      </c>
      <c r="AD28" s="11" t="s">
        <v>112</v>
      </c>
      <c r="AE28" s="11" t="n">
        <v>5</v>
      </c>
      <c r="AF28" s="11" t="n">
        <v>3</v>
      </c>
      <c r="AG28" s="11" t="n">
        <v>3</v>
      </c>
      <c r="AH28" s="11" t="n">
        <v>3</v>
      </c>
      <c r="AI28" s="11" t="n">
        <v>4</v>
      </c>
      <c r="AJ28" s="11" t="n">
        <v>1</v>
      </c>
      <c r="AK28" s="11" t="n">
        <v>5</v>
      </c>
      <c r="AL28" s="11" t="n">
        <v>2</v>
      </c>
      <c r="AM28" s="11" t="n">
        <v>3</v>
      </c>
      <c r="AN28" s="11" t="n">
        <v>1</v>
      </c>
      <c r="AO28" s="11" t="n">
        <v>3</v>
      </c>
      <c r="AP28" s="11" t="n">
        <v>4</v>
      </c>
      <c r="AQ28" s="11" t="n">
        <v>3</v>
      </c>
      <c r="AR28" s="11" t="n">
        <v>1</v>
      </c>
      <c r="AS28" s="11" t="n">
        <v>4</v>
      </c>
      <c r="AT28" s="11" t="n">
        <v>4</v>
      </c>
      <c r="AU28" s="11" t="n">
        <v>2</v>
      </c>
      <c r="AV28" s="11" t="n">
        <v>3</v>
      </c>
      <c r="AW28" s="11" t="n">
        <v>4</v>
      </c>
      <c r="AX28" s="11" t="n">
        <v>3</v>
      </c>
      <c r="AY28" s="11" t="n">
        <v>1</v>
      </c>
      <c r="AZ28" s="11" t="n">
        <v>3</v>
      </c>
      <c r="BA28" s="11" t="s">
        <v>232</v>
      </c>
      <c r="BB28" s="11" t="n">
        <v>9</v>
      </c>
      <c r="BC28" s="11" t="n">
        <v>1</v>
      </c>
      <c r="BD28" s="11" t="n">
        <v>1</v>
      </c>
      <c r="BE28" s="11" t="n">
        <v>1</v>
      </c>
      <c r="BF28" s="11" t="n">
        <v>1</v>
      </c>
      <c r="BG28" s="11" t="n">
        <v>1</v>
      </c>
      <c r="BH28" s="11" t="n">
        <v>1</v>
      </c>
      <c r="BI28" s="11" t="n">
        <v>1</v>
      </c>
      <c r="BJ28" s="11" t="n">
        <v>1</v>
      </c>
      <c r="BK28" s="11" t="n">
        <v>1</v>
      </c>
      <c r="BL28" s="11" t="n">
        <f aca="false">IF($B28="","",6-L28)</f>
        <v>2</v>
      </c>
      <c r="BM28" s="11" t="n">
        <f aca="false">IF($B28="","",6-O28)</f>
        <v>2</v>
      </c>
      <c r="BN28" s="11" t="n">
        <f aca="false">IF($B28="","",J28+K28+BL28+M28+N28+BM28+P28+Q28+R28)</f>
        <v>33</v>
      </c>
      <c r="BO28" s="11" t="n">
        <f aca="false">IF($B28="","",SUM(S28:W28))</f>
        <v>16</v>
      </c>
      <c r="BP28" s="11" t="n">
        <f aca="false">IF($B28="","",SUM(Y28:AC28))</f>
        <v>13</v>
      </c>
      <c r="BQ28" s="11" t="n">
        <f aca="false">IF($B28="","",SUM(AE28:AK28))</f>
        <v>24</v>
      </c>
      <c r="BR28" s="11" t="n">
        <f aca="false">IF($B28="","",SUM(AL28:AR28))</f>
        <v>17</v>
      </c>
      <c r="BS28" s="11" t="n">
        <f aca="false">IF($B28="","",SUM(AS28:AY28))</f>
        <v>21</v>
      </c>
      <c r="BT28" s="12" t="n">
        <f aca="false">IF($B28="","",BN28/9)</f>
        <v>3.66666666666667</v>
      </c>
      <c r="BU28" s="12" t="n">
        <f aca="false">IF($B28="","",BO28/5)</f>
        <v>3.2</v>
      </c>
      <c r="BV28" s="12" t="n">
        <f aca="false">IF($B28="","",BP28/5)</f>
        <v>2.6</v>
      </c>
      <c r="BW28" s="12" t="n">
        <f aca="false">IF($B28="","",BQ28/7)</f>
        <v>3.42857142857143</v>
      </c>
      <c r="BX28" s="12" t="n">
        <f aca="false">IF($B28="","",BR28/7)</f>
        <v>2.42857142857143</v>
      </c>
      <c r="BY28" s="12" t="n">
        <f aca="false">IF($B28="","",BS28/7)</f>
        <v>3</v>
      </c>
      <c r="BZ28" s="11" t="n">
        <f aca="false">IF($B28="","",AZ28)</f>
        <v>3</v>
      </c>
      <c r="CA28" s="11" t="str">
        <f aca="false">IF($B28="","",IF(BT28&lt;2.5,"Explorador",IF(BT28&lt;3.75,"Integrador","Innovador")))</f>
        <v>Integrador</v>
      </c>
      <c r="CB28" s="11" t="str">
        <f aca="false">IF($B28="","",IF(BU28&lt;2.5,"Explorador",IF(BU28&lt;3.75,"Integrador","Innovador")))</f>
        <v>Integrador</v>
      </c>
      <c r="CC28" s="11" t="str">
        <f aca="false">IF($B28="","",IF(BV28&lt;2.5,"Explorador",IF(BV28&lt;3.75,"Integrador","Innovador")))</f>
        <v>Integrador</v>
      </c>
      <c r="CD28" s="11" t="str">
        <f aca="false">IF($B28="","",IF(BW28&lt;2.5,"Explorador",IF(BW28&lt;3.75,"Integrador","Innovador")))</f>
        <v>Integrador</v>
      </c>
      <c r="CE28" s="11" t="str">
        <f aca="false">IF($B28="","",IF(BX28&lt;2.5,"Explorador",IF(BX28&lt;3.75,"Integrador","Innovador")))</f>
        <v>Explorador</v>
      </c>
      <c r="CF28" s="11" t="str">
        <f aca="false">IF($B28="","",IF(BY28&lt;2.5,"Explorador",IF(BY28&lt;3.75,"Integrador","Innovador")))</f>
        <v>Integrador</v>
      </c>
      <c r="CG28" s="13" t="n">
        <f aca="false">IF($B28="","",BB28/9)</f>
        <v>1</v>
      </c>
      <c r="CH28" s="11" t="str">
        <f aca="false">IF($B28="","",IF(CG28&lt;0.4,"Bajo",IF(CG28&lt;0.7,"Medio","Alto")))</f>
        <v>Alto</v>
      </c>
      <c r="CI28" s="13" t="n">
        <f aca="false">IF($B28="","",((AVERAGE(BU28,BW28,BY28))-1)/4)</f>
        <v>0.552380952380952</v>
      </c>
      <c r="CJ28" s="11" t="str">
        <f aca="false">IF($B28="","",IF(CG28-CI28&gt;0.25,"Subvalora",IF(CI28-CG28&gt;0.25,"Sobreconfía","Consistente")))</f>
        <v>Subvalora</v>
      </c>
    </row>
    <row r="29" customFormat="false" ht="15" hidden="false" customHeight="true" outlineLevel="0" collapsed="false">
      <c r="A29" s="11" t="s">
        <v>233</v>
      </c>
      <c r="B29" s="11" t="s">
        <v>234</v>
      </c>
      <c r="C29" s="11" t="s">
        <v>235</v>
      </c>
      <c r="D29" s="11" t="s">
        <v>105</v>
      </c>
      <c r="E29" s="11" t="s">
        <v>127</v>
      </c>
      <c r="F29" s="11" t="s">
        <v>148</v>
      </c>
      <c r="G29" s="11" t="s">
        <v>108</v>
      </c>
      <c r="H29" s="11" t="s">
        <v>109</v>
      </c>
      <c r="I29" s="11" t="s">
        <v>129</v>
      </c>
      <c r="J29" s="11" t="n">
        <v>3</v>
      </c>
      <c r="K29" s="11" t="n">
        <v>5</v>
      </c>
      <c r="L29" s="11" t="n">
        <v>2</v>
      </c>
      <c r="M29" s="11" t="n">
        <v>5</v>
      </c>
      <c r="N29" s="11" t="n">
        <v>5</v>
      </c>
      <c r="O29" s="11" t="n">
        <v>3</v>
      </c>
      <c r="P29" s="11" t="n">
        <v>4</v>
      </c>
      <c r="Q29" s="11" t="n">
        <v>3</v>
      </c>
      <c r="R29" s="11" t="n">
        <v>4</v>
      </c>
      <c r="S29" s="11" t="n">
        <v>4</v>
      </c>
      <c r="T29" s="11" t="n">
        <v>5</v>
      </c>
      <c r="U29" s="11" t="n">
        <v>4</v>
      </c>
      <c r="V29" s="11" t="n">
        <v>4</v>
      </c>
      <c r="W29" s="11" t="n">
        <v>4</v>
      </c>
      <c r="X29" s="11" t="s">
        <v>111</v>
      </c>
      <c r="Y29" s="11" t="n">
        <v>4</v>
      </c>
      <c r="Z29" s="11" t="n">
        <v>4</v>
      </c>
      <c r="AA29" s="11" t="n">
        <v>4</v>
      </c>
      <c r="AB29" s="11" t="n">
        <v>4</v>
      </c>
      <c r="AC29" s="11" t="n">
        <v>4</v>
      </c>
      <c r="AD29" s="11" t="s">
        <v>171</v>
      </c>
      <c r="AE29" s="11" t="n">
        <v>5</v>
      </c>
      <c r="AF29" s="11" t="n">
        <v>5</v>
      </c>
      <c r="AG29" s="11" t="n">
        <v>5</v>
      </c>
      <c r="AH29" s="11" t="n">
        <v>5</v>
      </c>
      <c r="AI29" s="11" t="n">
        <v>5</v>
      </c>
      <c r="AJ29" s="11" t="n">
        <v>4</v>
      </c>
      <c r="AK29" s="11" t="n">
        <v>4</v>
      </c>
      <c r="AL29" s="11" t="n">
        <v>4</v>
      </c>
      <c r="AM29" s="11" t="n">
        <v>4</v>
      </c>
      <c r="AN29" s="11" t="n">
        <v>5</v>
      </c>
      <c r="AO29" s="11" t="n">
        <v>3</v>
      </c>
      <c r="AP29" s="11" t="n">
        <v>3</v>
      </c>
      <c r="AQ29" s="11" t="n">
        <v>5</v>
      </c>
      <c r="AR29" s="11" t="n">
        <v>4</v>
      </c>
      <c r="AS29" s="11" t="n">
        <v>5</v>
      </c>
      <c r="AT29" s="11" t="n">
        <v>5</v>
      </c>
      <c r="AU29" s="11" t="n">
        <v>5</v>
      </c>
      <c r="AV29" s="11" t="n">
        <v>3</v>
      </c>
      <c r="AW29" s="11" t="n">
        <v>4</v>
      </c>
      <c r="AX29" s="11" t="n">
        <v>3</v>
      </c>
      <c r="AY29" s="11" t="n">
        <v>3</v>
      </c>
      <c r="AZ29" s="11" t="n">
        <v>5</v>
      </c>
      <c r="BA29" s="11" t="s">
        <v>236</v>
      </c>
      <c r="BB29" s="11" t="n">
        <v>9</v>
      </c>
      <c r="BC29" s="11" t="n">
        <v>1</v>
      </c>
      <c r="BD29" s="11" t="n">
        <v>1</v>
      </c>
      <c r="BE29" s="11" t="n">
        <v>1</v>
      </c>
      <c r="BF29" s="11" t="n">
        <v>1</v>
      </c>
      <c r="BG29" s="11" t="n">
        <v>1</v>
      </c>
      <c r="BH29" s="11" t="n">
        <v>1</v>
      </c>
      <c r="BI29" s="11" t="n">
        <v>1</v>
      </c>
      <c r="BJ29" s="11" t="n">
        <v>1</v>
      </c>
      <c r="BK29" s="11" t="n">
        <v>1</v>
      </c>
      <c r="BL29" s="11" t="n">
        <f aca="false">IF($B29="","",6-L29)</f>
        <v>4</v>
      </c>
      <c r="BM29" s="11" t="n">
        <f aca="false">IF($B29="","",6-O29)</f>
        <v>3</v>
      </c>
      <c r="BN29" s="11" t="n">
        <f aca="false">IF($B29="","",J29+K29+BL29+M29+N29+BM29+P29+Q29+R29)</f>
        <v>36</v>
      </c>
      <c r="BO29" s="11" t="n">
        <f aca="false">IF($B29="","",SUM(S29:W29))</f>
        <v>21</v>
      </c>
      <c r="BP29" s="11" t="n">
        <f aca="false">IF($B29="","",SUM(Y29:AC29))</f>
        <v>20</v>
      </c>
      <c r="BQ29" s="11" t="n">
        <f aca="false">IF($B29="","",SUM(AE29:AK29))</f>
        <v>33</v>
      </c>
      <c r="BR29" s="11" t="n">
        <f aca="false">IF($B29="","",SUM(AL29:AR29))</f>
        <v>28</v>
      </c>
      <c r="BS29" s="11" t="n">
        <f aca="false">IF($B29="","",SUM(AS29:AY29))</f>
        <v>28</v>
      </c>
      <c r="BT29" s="12" t="n">
        <f aca="false">IF($B29="","",BN29/9)</f>
        <v>4</v>
      </c>
      <c r="BU29" s="12" t="n">
        <f aca="false">IF($B29="","",BO29/5)</f>
        <v>4.2</v>
      </c>
      <c r="BV29" s="12" t="n">
        <f aca="false">IF($B29="","",BP29/5)</f>
        <v>4</v>
      </c>
      <c r="BW29" s="12" t="n">
        <f aca="false">IF($B29="","",BQ29/7)</f>
        <v>4.71428571428571</v>
      </c>
      <c r="BX29" s="12" t="n">
        <f aca="false">IF($B29="","",BR29/7)</f>
        <v>4</v>
      </c>
      <c r="BY29" s="12" t="n">
        <f aca="false">IF($B29="","",BS29/7)</f>
        <v>4</v>
      </c>
      <c r="BZ29" s="11" t="n">
        <f aca="false">IF($B29="","",AZ29)</f>
        <v>5</v>
      </c>
      <c r="CA29" s="11" t="str">
        <f aca="false">IF($B29="","",IF(BT29&lt;2.5,"Explorador",IF(BT29&lt;3.75,"Integrador","Innovador")))</f>
        <v>Innovador</v>
      </c>
      <c r="CB29" s="11" t="str">
        <f aca="false">IF($B29="","",IF(BU29&lt;2.5,"Explorador",IF(BU29&lt;3.75,"Integrador","Innovador")))</f>
        <v>Innovador</v>
      </c>
      <c r="CC29" s="11" t="str">
        <f aca="false">IF($B29="","",IF(BV29&lt;2.5,"Explorador",IF(BV29&lt;3.75,"Integrador","Innovador")))</f>
        <v>Innovador</v>
      </c>
      <c r="CD29" s="11" t="str">
        <f aca="false">IF($B29="","",IF(BW29&lt;2.5,"Explorador",IF(BW29&lt;3.75,"Integrador","Innovador")))</f>
        <v>Innovador</v>
      </c>
      <c r="CE29" s="11" t="str">
        <f aca="false">IF($B29="","",IF(BX29&lt;2.5,"Explorador",IF(BX29&lt;3.75,"Integrador","Innovador")))</f>
        <v>Innovador</v>
      </c>
      <c r="CF29" s="11" t="str">
        <f aca="false">IF($B29="","",IF(BY29&lt;2.5,"Explorador",IF(BY29&lt;3.75,"Integrador","Innovador")))</f>
        <v>Innovador</v>
      </c>
      <c r="CG29" s="13" t="n">
        <f aca="false">IF($B29="","",BB29/9)</f>
        <v>1</v>
      </c>
      <c r="CH29" s="11" t="str">
        <f aca="false">IF($B29="","",IF(CG29&lt;0.4,"Bajo",IF(CG29&lt;0.7,"Medio","Alto")))</f>
        <v>Alto</v>
      </c>
      <c r="CI29" s="13" t="n">
        <f aca="false">IF($B29="","",((AVERAGE(BU29,BW29,BY29))-1)/4)</f>
        <v>0.826190476190476</v>
      </c>
      <c r="CJ29" s="11" t="str">
        <f aca="false">IF($B29="","",IF(CG29-CI29&gt;0.25,"Subvalora",IF(CI29-CG29&gt;0.25,"Sobreconfía","Consistente")))</f>
        <v>Consistente</v>
      </c>
    </row>
    <row r="30" customFormat="false" ht="15" hidden="false" customHeight="true" outlineLevel="0" collapsed="false">
      <c r="A30" s="11" t="s">
        <v>237</v>
      </c>
      <c r="B30" s="11" t="s">
        <v>238</v>
      </c>
      <c r="C30" s="11" t="s">
        <v>239</v>
      </c>
      <c r="D30" s="11" t="s">
        <v>240</v>
      </c>
      <c r="E30" s="11" t="s">
        <v>153</v>
      </c>
      <c r="F30" s="11" t="s">
        <v>148</v>
      </c>
      <c r="G30" s="11" t="s">
        <v>208</v>
      </c>
      <c r="H30" s="11" t="s">
        <v>109</v>
      </c>
      <c r="I30" s="11" t="s">
        <v>129</v>
      </c>
      <c r="J30" s="11" t="n">
        <v>4</v>
      </c>
      <c r="K30" s="11" t="n">
        <v>4</v>
      </c>
      <c r="L30" s="11" t="n">
        <v>1</v>
      </c>
      <c r="M30" s="11" t="n">
        <v>4</v>
      </c>
      <c r="N30" s="11" t="n">
        <v>4</v>
      </c>
      <c r="O30" s="11" t="n">
        <v>1</v>
      </c>
      <c r="P30" s="11" t="n">
        <v>4</v>
      </c>
      <c r="Q30" s="11" t="n">
        <v>4</v>
      </c>
      <c r="R30" s="11" t="n">
        <v>4</v>
      </c>
      <c r="S30" s="11" t="n">
        <v>4</v>
      </c>
      <c r="T30" s="11" t="n">
        <v>4</v>
      </c>
      <c r="U30" s="11" t="n">
        <v>2</v>
      </c>
      <c r="V30" s="11" t="n">
        <v>2</v>
      </c>
      <c r="W30" s="11" t="n">
        <v>4</v>
      </c>
      <c r="X30" s="11" t="s">
        <v>171</v>
      </c>
      <c r="Y30" s="11" t="n">
        <v>4</v>
      </c>
      <c r="Z30" s="11" t="n">
        <v>2</v>
      </c>
      <c r="AA30" s="11" t="n">
        <v>4</v>
      </c>
      <c r="AB30" s="11" t="n">
        <v>3</v>
      </c>
      <c r="AC30" s="11" t="n">
        <v>2</v>
      </c>
      <c r="AD30" s="11" t="s">
        <v>171</v>
      </c>
      <c r="AE30" s="11" t="n">
        <v>4</v>
      </c>
      <c r="AF30" s="11" t="n">
        <v>4</v>
      </c>
      <c r="AG30" s="11" t="n">
        <v>4</v>
      </c>
      <c r="AH30" s="11" t="n">
        <v>4</v>
      </c>
      <c r="AI30" s="11" t="n">
        <v>4</v>
      </c>
      <c r="AJ30" s="11" t="n">
        <v>4</v>
      </c>
      <c r="AK30" s="11" t="n">
        <v>4</v>
      </c>
      <c r="AL30" s="11" t="n">
        <v>4</v>
      </c>
      <c r="AM30" s="11" t="n">
        <v>4</v>
      </c>
      <c r="AN30" s="11" t="n">
        <v>4</v>
      </c>
      <c r="AO30" s="11" t="n">
        <v>1</v>
      </c>
      <c r="AP30" s="11" t="n">
        <v>4</v>
      </c>
      <c r="AQ30" s="11" t="n">
        <v>4</v>
      </c>
      <c r="AR30" s="11" t="n">
        <v>2</v>
      </c>
      <c r="AS30" s="11" t="n">
        <v>3</v>
      </c>
      <c r="AT30" s="11" t="n">
        <v>4</v>
      </c>
      <c r="AU30" s="11" t="n">
        <v>4</v>
      </c>
      <c r="AV30" s="11" t="n">
        <v>2</v>
      </c>
      <c r="AW30" s="11" t="n">
        <v>4</v>
      </c>
      <c r="AX30" s="11" t="n">
        <v>4</v>
      </c>
      <c r="AY30" s="11" t="n">
        <v>1</v>
      </c>
      <c r="AZ30" s="11" t="n">
        <v>4</v>
      </c>
      <c r="BA30" s="11" t="s">
        <v>224</v>
      </c>
      <c r="BB30" s="11" t="n">
        <v>9</v>
      </c>
      <c r="BC30" s="11" t="n">
        <v>1</v>
      </c>
      <c r="BD30" s="11" t="n">
        <v>1</v>
      </c>
      <c r="BE30" s="11" t="n">
        <v>1</v>
      </c>
      <c r="BF30" s="11" t="n">
        <v>1</v>
      </c>
      <c r="BG30" s="11" t="n">
        <v>1</v>
      </c>
      <c r="BH30" s="11" t="n">
        <v>1</v>
      </c>
      <c r="BI30" s="11" t="n">
        <v>1</v>
      </c>
      <c r="BJ30" s="11" t="n">
        <v>1</v>
      </c>
      <c r="BK30" s="11" t="n">
        <v>1</v>
      </c>
      <c r="BL30" s="11" t="n">
        <f aca="false">IF($B30="","",6-L30)</f>
        <v>5</v>
      </c>
      <c r="BM30" s="11" t="n">
        <f aca="false">IF($B30="","",6-O30)</f>
        <v>5</v>
      </c>
      <c r="BN30" s="11" t="n">
        <f aca="false">IF($B30="","",J30+K30+BL30+M30+N30+BM30+P30+Q30+R30)</f>
        <v>38</v>
      </c>
      <c r="BO30" s="11" t="n">
        <f aca="false">IF($B30="","",SUM(S30:W30))</f>
        <v>16</v>
      </c>
      <c r="BP30" s="11" t="n">
        <f aca="false">IF($B30="","",SUM(Y30:AC30))</f>
        <v>15</v>
      </c>
      <c r="BQ30" s="11" t="n">
        <f aca="false">IF($B30="","",SUM(AE30:AK30))</f>
        <v>28</v>
      </c>
      <c r="BR30" s="11" t="n">
        <f aca="false">IF($B30="","",SUM(AL30:AR30))</f>
        <v>23</v>
      </c>
      <c r="BS30" s="11" t="n">
        <f aca="false">IF($B30="","",SUM(AS30:AY30))</f>
        <v>22</v>
      </c>
      <c r="BT30" s="12" t="n">
        <f aca="false">IF($B30="","",BN30/9)</f>
        <v>4.22222222222222</v>
      </c>
      <c r="BU30" s="12" t="n">
        <f aca="false">IF($B30="","",BO30/5)</f>
        <v>3.2</v>
      </c>
      <c r="BV30" s="12" t="n">
        <f aca="false">IF($B30="","",BP30/5)</f>
        <v>3</v>
      </c>
      <c r="BW30" s="12" t="n">
        <f aca="false">IF($B30="","",BQ30/7)</f>
        <v>4</v>
      </c>
      <c r="BX30" s="12" t="n">
        <f aca="false">IF($B30="","",BR30/7)</f>
        <v>3.28571428571429</v>
      </c>
      <c r="BY30" s="12" t="n">
        <f aca="false">IF($B30="","",BS30/7)</f>
        <v>3.14285714285714</v>
      </c>
      <c r="BZ30" s="11" t="n">
        <f aca="false">IF($B30="","",AZ30)</f>
        <v>4</v>
      </c>
      <c r="CA30" s="11" t="str">
        <f aca="false">IF($B30="","",IF(BT30&lt;2.5,"Explorador",IF(BT30&lt;3.75,"Integrador","Innovador")))</f>
        <v>Innovador</v>
      </c>
      <c r="CB30" s="11" t="str">
        <f aca="false">IF($B30="","",IF(BU30&lt;2.5,"Explorador",IF(BU30&lt;3.75,"Integrador","Innovador")))</f>
        <v>Integrador</v>
      </c>
      <c r="CC30" s="11" t="str">
        <f aca="false">IF($B30="","",IF(BV30&lt;2.5,"Explorador",IF(BV30&lt;3.75,"Integrador","Innovador")))</f>
        <v>Integrador</v>
      </c>
      <c r="CD30" s="11" t="str">
        <f aca="false">IF($B30="","",IF(BW30&lt;2.5,"Explorador",IF(BW30&lt;3.75,"Integrador","Innovador")))</f>
        <v>Innovador</v>
      </c>
      <c r="CE30" s="11" t="str">
        <f aca="false">IF($B30="","",IF(BX30&lt;2.5,"Explorador",IF(BX30&lt;3.75,"Integrador","Innovador")))</f>
        <v>Integrador</v>
      </c>
      <c r="CF30" s="11" t="str">
        <f aca="false">IF($B30="","",IF(BY30&lt;2.5,"Explorador",IF(BY30&lt;3.75,"Integrador","Innovador")))</f>
        <v>Integrador</v>
      </c>
      <c r="CG30" s="13" t="n">
        <f aca="false">IF($B30="","",BB30/9)</f>
        <v>1</v>
      </c>
      <c r="CH30" s="11" t="str">
        <f aca="false">IF($B30="","",IF(CG30&lt;0.4,"Bajo",IF(CG30&lt;0.7,"Medio","Alto")))</f>
        <v>Alto</v>
      </c>
      <c r="CI30" s="13" t="n">
        <f aca="false">IF($B30="","",((AVERAGE(BU30,BW30,BY30))-1)/4)</f>
        <v>0.611904761904762</v>
      </c>
      <c r="CJ30" s="11" t="str">
        <f aca="false">IF($B30="","",IF(CG30-CI30&gt;0.25,"Subvalora",IF(CI30-CG30&gt;0.25,"Sobreconfía","Consistente")))</f>
        <v>Subvalora</v>
      </c>
    </row>
    <row r="31" customFormat="false" ht="15" hidden="false" customHeight="true" outlineLevel="0" collapsed="false">
      <c r="A31" s="11" t="s">
        <v>241</v>
      </c>
      <c r="B31" s="11" t="s">
        <v>242</v>
      </c>
      <c r="C31" s="11" t="s">
        <v>243</v>
      </c>
      <c r="D31" s="11" t="s">
        <v>105</v>
      </c>
      <c r="E31" s="11" t="s">
        <v>153</v>
      </c>
      <c r="F31" s="11" t="s">
        <v>107</v>
      </c>
      <c r="G31" s="11" t="s">
        <v>108</v>
      </c>
      <c r="H31" s="11" t="s">
        <v>144</v>
      </c>
      <c r="I31" s="11" t="s">
        <v>120</v>
      </c>
      <c r="J31" s="11" t="n">
        <v>5</v>
      </c>
      <c r="K31" s="11" t="n">
        <v>5</v>
      </c>
      <c r="L31" s="11" t="n">
        <v>2</v>
      </c>
      <c r="M31" s="11" t="n">
        <v>3</v>
      </c>
      <c r="N31" s="11" t="n">
        <v>5</v>
      </c>
      <c r="O31" s="11" t="n">
        <v>3</v>
      </c>
      <c r="P31" s="11" t="n">
        <v>5</v>
      </c>
      <c r="Q31" s="11" t="n">
        <v>5</v>
      </c>
      <c r="R31" s="11" t="n">
        <v>5</v>
      </c>
      <c r="S31" s="11" t="n">
        <v>5</v>
      </c>
      <c r="T31" s="11" t="n">
        <v>5</v>
      </c>
      <c r="U31" s="11" t="n">
        <v>5</v>
      </c>
      <c r="V31" s="11" t="n">
        <v>5</v>
      </c>
      <c r="W31" s="11" t="n">
        <v>3</v>
      </c>
      <c r="X31" s="11" t="s">
        <v>111</v>
      </c>
      <c r="Y31" s="11" t="n">
        <v>5</v>
      </c>
      <c r="Z31" s="11" t="n">
        <v>5</v>
      </c>
      <c r="AA31" s="11" t="n">
        <v>5</v>
      </c>
      <c r="AB31" s="11" t="n">
        <v>5</v>
      </c>
      <c r="AC31" s="11" t="n">
        <v>3</v>
      </c>
      <c r="AD31" s="11" t="s">
        <v>121</v>
      </c>
      <c r="AE31" s="11" t="n">
        <v>3</v>
      </c>
      <c r="AF31" s="11" t="n">
        <v>5</v>
      </c>
      <c r="AG31" s="11" t="n">
        <v>5</v>
      </c>
      <c r="AH31" s="11" t="n">
        <v>5</v>
      </c>
      <c r="AI31" s="11" t="n">
        <v>5</v>
      </c>
      <c r="AJ31" s="11" t="n">
        <v>5</v>
      </c>
      <c r="AK31" s="11" t="n">
        <v>5</v>
      </c>
      <c r="AL31" s="11" t="n">
        <v>5</v>
      </c>
      <c r="AM31" s="11" t="n">
        <v>5</v>
      </c>
      <c r="AN31" s="11" t="n">
        <v>5</v>
      </c>
      <c r="AO31" s="11" t="n">
        <v>5</v>
      </c>
      <c r="AP31" s="11" t="n">
        <v>5</v>
      </c>
      <c r="AQ31" s="11" t="n">
        <v>5</v>
      </c>
      <c r="AR31" s="11" t="n">
        <v>5</v>
      </c>
      <c r="AS31" s="11" t="n">
        <v>4</v>
      </c>
      <c r="AT31" s="11" t="n">
        <v>4</v>
      </c>
      <c r="AU31" s="11" t="n">
        <v>4</v>
      </c>
      <c r="AV31" s="11" t="n">
        <v>4</v>
      </c>
      <c r="AW31" s="11" t="n">
        <v>5</v>
      </c>
      <c r="AX31" s="11" t="n">
        <v>4</v>
      </c>
      <c r="AY31" s="11" t="n">
        <v>2</v>
      </c>
      <c r="AZ31" s="11" t="n">
        <v>5</v>
      </c>
      <c r="BA31" s="11" t="s">
        <v>133</v>
      </c>
      <c r="BB31" s="11" t="n">
        <v>8</v>
      </c>
      <c r="BC31" s="11" t="n">
        <v>1</v>
      </c>
      <c r="BD31" s="11" t="n">
        <v>1</v>
      </c>
      <c r="BE31" s="11" t="n">
        <v>1</v>
      </c>
      <c r="BF31" s="11" t="n">
        <v>0</v>
      </c>
      <c r="BG31" s="11" t="n">
        <v>1</v>
      </c>
      <c r="BH31" s="11" t="n">
        <v>1</v>
      </c>
      <c r="BI31" s="11" t="n">
        <v>1</v>
      </c>
      <c r="BJ31" s="11" t="n">
        <v>1</v>
      </c>
      <c r="BK31" s="11" t="n">
        <v>1</v>
      </c>
      <c r="BL31" s="11" t="n">
        <f aca="false">IF($B31="","",6-L31)</f>
        <v>4</v>
      </c>
      <c r="BM31" s="11" t="n">
        <f aca="false">IF($B31="","",6-O31)</f>
        <v>3</v>
      </c>
      <c r="BN31" s="11" t="n">
        <f aca="false">IF($B31="","",J31+K31+BL31+M31+N31+BM31+P31+Q31+R31)</f>
        <v>40</v>
      </c>
      <c r="BO31" s="11" t="n">
        <f aca="false">IF($B31="","",SUM(S31:W31))</f>
        <v>23</v>
      </c>
      <c r="BP31" s="11" t="n">
        <f aca="false">IF($B31="","",SUM(Y31:AC31))</f>
        <v>23</v>
      </c>
      <c r="BQ31" s="11" t="n">
        <f aca="false">IF($B31="","",SUM(AE31:AK31))</f>
        <v>33</v>
      </c>
      <c r="BR31" s="11" t="n">
        <f aca="false">IF($B31="","",SUM(AL31:AR31))</f>
        <v>35</v>
      </c>
      <c r="BS31" s="11" t="n">
        <f aca="false">IF($B31="","",SUM(AS31:AY31))</f>
        <v>27</v>
      </c>
      <c r="BT31" s="12" t="n">
        <f aca="false">IF($B31="","",BN31/9)</f>
        <v>4.44444444444445</v>
      </c>
      <c r="BU31" s="12" t="n">
        <f aca="false">IF($B31="","",BO31/5)</f>
        <v>4.6</v>
      </c>
      <c r="BV31" s="12" t="n">
        <f aca="false">IF($B31="","",BP31/5)</f>
        <v>4.6</v>
      </c>
      <c r="BW31" s="12" t="n">
        <f aca="false">IF($B31="","",BQ31/7)</f>
        <v>4.71428571428571</v>
      </c>
      <c r="BX31" s="12" t="n">
        <f aca="false">IF($B31="","",BR31/7)</f>
        <v>5</v>
      </c>
      <c r="BY31" s="12" t="n">
        <f aca="false">IF($B31="","",BS31/7)</f>
        <v>3.85714285714286</v>
      </c>
      <c r="BZ31" s="11" t="n">
        <f aca="false">IF($B31="","",AZ31)</f>
        <v>5</v>
      </c>
      <c r="CA31" s="11" t="str">
        <f aca="false">IF($B31="","",IF(BT31&lt;2.5,"Explorador",IF(BT31&lt;3.75,"Integrador","Innovador")))</f>
        <v>Innovador</v>
      </c>
      <c r="CB31" s="11" t="str">
        <f aca="false">IF($B31="","",IF(BU31&lt;2.5,"Explorador",IF(BU31&lt;3.75,"Integrador","Innovador")))</f>
        <v>Innovador</v>
      </c>
      <c r="CC31" s="11" t="str">
        <f aca="false">IF($B31="","",IF(BV31&lt;2.5,"Explorador",IF(BV31&lt;3.75,"Integrador","Innovador")))</f>
        <v>Innovador</v>
      </c>
      <c r="CD31" s="11" t="str">
        <f aca="false">IF($B31="","",IF(BW31&lt;2.5,"Explorador",IF(BW31&lt;3.75,"Integrador","Innovador")))</f>
        <v>Innovador</v>
      </c>
      <c r="CE31" s="11" t="str">
        <f aca="false">IF($B31="","",IF(BX31&lt;2.5,"Explorador",IF(BX31&lt;3.75,"Integrador","Innovador")))</f>
        <v>Innovador</v>
      </c>
      <c r="CF31" s="11" t="str">
        <f aca="false">IF($B31="","",IF(BY31&lt;2.5,"Explorador",IF(BY31&lt;3.75,"Integrador","Innovador")))</f>
        <v>Innovador</v>
      </c>
      <c r="CG31" s="13" t="n">
        <f aca="false">IF($B31="","",BB31/9)</f>
        <v>0.888888888888889</v>
      </c>
      <c r="CH31" s="11" t="str">
        <f aca="false">IF($B31="","",IF(CG31&lt;0.4,"Bajo",IF(CG31&lt;0.7,"Medio","Alto")))</f>
        <v>Alto</v>
      </c>
      <c r="CI31" s="13" t="n">
        <f aca="false">IF($B31="","",((AVERAGE(BU31,BW31,BY31))-1)/4)</f>
        <v>0.847619047619048</v>
      </c>
      <c r="CJ31" s="11" t="str">
        <f aca="false">IF($B31="","",IF(CG31-CI31&gt;0.25,"Subvalora",IF(CI31-CG31&gt;0.25,"Sobreconfía","Consistente")))</f>
        <v>Consistente</v>
      </c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 t="str">
        <f aca="false">IF($B32="","",6-L32)</f>
        <v/>
      </c>
      <c r="BM32" s="11" t="str">
        <f aca="false">IF($B32="","",6-O32)</f>
        <v/>
      </c>
      <c r="BN32" s="11" t="str">
        <f aca="false">IF($B32="","",J32+K32+BL32+M32+N32+BM32+P32+Q32+R32)</f>
        <v/>
      </c>
      <c r="BO32" s="11" t="str">
        <f aca="false">IF($B32="","",SUM(S32:W32))</f>
        <v/>
      </c>
      <c r="BP32" s="11" t="str">
        <f aca="false">IF($B32="","",SUM(Y32:AC32))</f>
        <v/>
      </c>
      <c r="BQ32" s="11" t="str">
        <f aca="false">IF($B32="","",SUM(AE32:AK32))</f>
        <v/>
      </c>
      <c r="BR32" s="11" t="str">
        <f aca="false">IF($B32="","",SUM(AL32:AR32))</f>
        <v/>
      </c>
      <c r="BS32" s="11" t="str">
        <f aca="false">IF($B32="","",SUM(AS32:AY32))</f>
        <v/>
      </c>
      <c r="BT32" s="12" t="str">
        <f aca="false">IF($B32="","",BN32/9)</f>
        <v/>
      </c>
      <c r="BU32" s="12" t="str">
        <f aca="false">IF($B32="","",BO32/5)</f>
        <v/>
      </c>
      <c r="BV32" s="12" t="str">
        <f aca="false">IF($B32="","",BP32/5)</f>
        <v/>
      </c>
      <c r="BW32" s="12" t="str">
        <f aca="false">IF($B32="","",BQ32/7)</f>
        <v/>
      </c>
      <c r="BX32" s="12" t="str">
        <f aca="false">IF($B32="","",BR32/7)</f>
        <v/>
      </c>
      <c r="BY32" s="12" t="str">
        <f aca="false">IF($B32="","",BS32/7)</f>
        <v/>
      </c>
      <c r="BZ32" s="11" t="str">
        <f aca="false">IF($B32="","",AZ32)</f>
        <v/>
      </c>
      <c r="CA32" s="11" t="str">
        <f aca="false">IF($B32="","",IF(BT32&lt;2.5,"Explorador",IF(BT32&lt;3.75,"Integrador","Innovador")))</f>
        <v/>
      </c>
      <c r="CB32" s="11" t="str">
        <f aca="false">IF($B32="","",IF(BU32&lt;2.5,"Explorador",IF(BU32&lt;3.75,"Integrador","Innovador")))</f>
        <v/>
      </c>
      <c r="CC32" s="11" t="str">
        <f aca="false">IF($B32="","",IF(BV32&lt;2.5,"Explorador",IF(BV32&lt;3.75,"Integrador","Innovador")))</f>
        <v/>
      </c>
      <c r="CD32" s="11" t="str">
        <f aca="false">IF($B32="","",IF(BW32&lt;2.5,"Explorador",IF(BW32&lt;3.75,"Integrador","Innovador")))</f>
        <v/>
      </c>
      <c r="CE32" s="11" t="str">
        <f aca="false">IF($B32="","",IF(BX32&lt;2.5,"Explorador",IF(BX32&lt;3.75,"Integrador","Innovador")))</f>
        <v/>
      </c>
      <c r="CF32" s="11" t="str">
        <f aca="false">IF($B32="","",IF(BY32&lt;2.5,"Explorador",IF(BY32&lt;3.75,"Integrador","Innovador")))</f>
        <v/>
      </c>
      <c r="CG32" s="13" t="str">
        <f aca="false">IF($B32="","",BB32/9)</f>
        <v/>
      </c>
      <c r="CH32" s="11" t="str">
        <f aca="false">IF($B32="","",IF(CG32&lt;0.4,"Bajo",IF(CG32&lt;0.7,"Medio","Alto")))</f>
        <v/>
      </c>
      <c r="CI32" s="13" t="str">
        <f aca="false">IF($B32="","",((AVERAGE(BU32,BW32,BY32))-1)/4)</f>
        <v/>
      </c>
      <c r="CJ32" s="11" t="str">
        <f aca="false">IF($B32="","",IF(CG32-CI32&gt;0.25,"Subvalora",IF(CI32-CG32&gt;0.25,"Sobreconfía","Consistente")))</f>
        <v/>
      </c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 t="str">
        <f aca="false">IF($B33="","",6-L33)</f>
        <v/>
      </c>
      <c r="BM33" s="11" t="str">
        <f aca="false">IF($B33="","",6-O33)</f>
        <v/>
      </c>
      <c r="BN33" s="11" t="str">
        <f aca="false">IF($B33="","",J33+K33+BL33+M33+N33+BM33+P33+Q33+R33)</f>
        <v/>
      </c>
      <c r="BO33" s="11" t="str">
        <f aca="false">IF($B33="","",SUM(S33:W33))</f>
        <v/>
      </c>
      <c r="BP33" s="11" t="str">
        <f aca="false">IF($B33="","",SUM(Y33:AC33))</f>
        <v/>
      </c>
      <c r="BQ33" s="11" t="str">
        <f aca="false">IF($B33="","",SUM(AE33:AK33))</f>
        <v/>
      </c>
      <c r="BR33" s="11" t="str">
        <f aca="false">IF($B33="","",SUM(AL33:AR33))</f>
        <v/>
      </c>
      <c r="BS33" s="11" t="str">
        <f aca="false">IF($B33="","",SUM(AS33:AY33))</f>
        <v/>
      </c>
      <c r="BT33" s="12" t="str">
        <f aca="false">IF($B33="","",BN33/9)</f>
        <v/>
      </c>
      <c r="BU33" s="12" t="str">
        <f aca="false">IF($B33="","",BO33/5)</f>
        <v/>
      </c>
      <c r="BV33" s="12" t="str">
        <f aca="false">IF($B33="","",BP33/5)</f>
        <v/>
      </c>
      <c r="BW33" s="12" t="str">
        <f aca="false">IF($B33="","",BQ33/7)</f>
        <v/>
      </c>
      <c r="BX33" s="12" t="str">
        <f aca="false">IF($B33="","",BR33/7)</f>
        <v/>
      </c>
      <c r="BY33" s="12" t="str">
        <f aca="false">IF($B33="","",BS33/7)</f>
        <v/>
      </c>
      <c r="BZ33" s="11" t="str">
        <f aca="false">IF($B33="","",AZ33)</f>
        <v/>
      </c>
      <c r="CA33" s="11" t="str">
        <f aca="false">IF($B33="","",IF(BT33&lt;2.5,"Explorador",IF(BT33&lt;3.75,"Integrador","Innovador")))</f>
        <v/>
      </c>
      <c r="CB33" s="11" t="str">
        <f aca="false">IF($B33="","",IF(BU33&lt;2.5,"Explorador",IF(BU33&lt;3.75,"Integrador","Innovador")))</f>
        <v/>
      </c>
      <c r="CC33" s="11" t="str">
        <f aca="false">IF($B33="","",IF(BV33&lt;2.5,"Explorador",IF(BV33&lt;3.75,"Integrador","Innovador")))</f>
        <v/>
      </c>
      <c r="CD33" s="11" t="str">
        <f aca="false">IF($B33="","",IF(BW33&lt;2.5,"Explorador",IF(BW33&lt;3.75,"Integrador","Innovador")))</f>
        <v/>
      </c>
      <c r="CE33" s="11" t="str">
        <f aca="false">IF($B33="","",IF(BX33&lt;2.5,"Explorador",IF(BX33&lt;3.75,"Integrador","Innovador")))</f>
        <v/>
      </c>
      <c r="CF33" s="11" t="str">
        <f aca="false">IF($B33="","",IF(BY33&lt;2.5,"Explorador",IF(BY33&lt;3.75,"Integrador","Innovador")))</f>
        <v/>
      </c>
      <c r="CG33" s="13" t="str">
        <f aca="false">IF($B33="","",BB33/9)</f>
        <v/>
      </c>
      <c r="CH33" s="11" t="str">
        <f aca="false">IF($B33="","",IF(CG33&lt;0.4,"Bajo",IF(CG33&lt;0.7,"Medio","Alto")))</f>
        <v/>
      </c>
      <c r="CI33" s="13" t="str">
        <f aca="false">IF($B33="","",((AVERAGE(BU33,BW33,BY33))-1)/4)</f>
        <v/>
      </c>
      <c r="CJ33" s="11" t="str">
        <f aca="false">IF($B33="","",IF(CG33-CI33&gt;0.25,"Subvalora",IF(CI33-CG33&gt;0.25,"Sobreconfía","Consistente")))</f>
        <v/>
      </c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 t="str">
        <f aca="false">IF($B34="","",6-L34)</f>
        <v/>
      </c>
      <c r="BM34" s="11" t="str">
        <f aca="false">IF($B34="","",6-O34)</f>
        <v/>
      </c>
      <c r="BN34" s="11" t="str">
        <f aca="false">IF($B34="","",J34+K34+BL34+M34+N34+BM34+P34+Q34+R34)</f>
        <v/>
      </c>
      <c r="BO34" s="11" t="str">
        <f aca="false">IF($B34="","",SUM(S34:W34))</f>
        <v/>
      </c>
      <c r="BP34" s="11" t="str">
        <f aca="false">IF($B34="","",SUM(Y34:AC34))</f>
        <v/>
      </c>
      <c r="BQ34" s="11" t="str">
        <f aca="false">IF($B34="","",SUM(AE34:AK34))</f>
        <v/>
      </c>
      <c r="BR34" s="11" t="str">
        <f aca="false">IF($B34="","",SUM(AL34:AR34))</f>
        <v/>
      </c>
      <c r="BS34" s="11" t="str">
        <f aca="false">IF($B34="","",SUM(AS34:AY34))</f>
        <v/>
      </c>
      <c r="BT34" s="12" t="str">
        <f aca="false">IF($B34="","",BN34/9)</f>
        <v/>
      </c>
      <c r="BU34" s="12" t="str">
        <f aca="false">IF($B34="","",BO34/5)</f>
        <v/>
      </c>
      <c r="BV34" s="12" t="str">
        <f aca="false">IF($B34="","",BP34/5)</f>
        <v/>
      </c>
      <c r="BW34" s="12" t="str">
        <f aca="false">IF($B34="","",BQ34/7)</f>
        <v/>
      </c>
      <c r="BX34" s="12" t="str">
        <f aca="false">IF($B34="","",BR34/7)</f>
        <v/>
      </c>
      <c r="BY34" s="12" t="str">
        <f aca="false">IF($B34="","",BS34/7)</f>
        <v/>
      </c>
      <c r="BZ34" s="11" t="str">
        <f aca="false">IF($B34="","",AZ34)</f>
        <v/>
      </c>
      <c r="CA34" s="11" t="str">
        <f aca="false">IF($B34="","",IF(BT34&lt;2.5,"Explorador",IF(BT34&lt;3.75,"Integrador","Innovador")))</f>
        <v/>
      </c>
      <c r="CB34" s="11" t="str">
        <f aca="false">IF($B34="","",IF(BU34&lt;2.5,"Explorador",IF(BU34&lt;3.75,"Integrador","Innovador")))</f>
        <v/>
      </c>
      <c r="CC34" s="11" t="str">
        <f aca="false">IF($B34="","",IF(BV34&lt;2.5,"Explorador",IF(BV34&lt;3.75,"Integrador","Innovador")))</f>
        <v/>
      </c>
      <c r="CD34" s="11" t="str">
        <f aca="false">IF($B34="","",IF(BW34&lt;2.5,"Explorador",IF(BW34&lt;3.75,"Integrador","Innovador")))</f>
        <v/>
      </c>
      <c r="CE34" s="11" t="str">
        <f aca="false">IF($B34="","",IF(BX34&lt;2.5,"Explorador",IF(BX34&lt;3.75,"Integrador","Innovador")))</f>
        <v/>
      </c>
      <c r="CF34" s="11" t="str">
        <f aca="false">IF($B34="","",IF(BY34&lt;2.5,"Explorador",IF(BY34&lt;3.75,"Integrador","Innovador")))</f>
        <v/>
      </c>
      <c r="CG34" s="13" t="str">
        <f aca="false">IF($B34="","",BB34/9)</f>
        <v/>
      </c>
      <c r="CH34" s="11" t="str">
        <f aca="false">IF($B34="","",IF(CG34&lt;0.4,"Bajo",IF(CG34&lt;0.7,"Medio","Alto")))</f>
        <v/>
      </c>
      <c r="CI34" s="13" t="str">
        <f aca="false">IF($B34="","",((AVERAGE(BU34,BW34,BY34))-1)/4)</f>
        <v/>
      </c>
      <c r="CJ34" s="11" t="str">
        <f aca="false">IF($B34="","",IF(CG34-CI34&gt;0.25,"Subvalora",IF(CI34-CG34&gt;0.25,"Sobreconfía","Consistente")))</f>
        <v/>
      </c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 t="str">
        <f aca="false">IF($B35="","",6-L35)</f>
        <v/>
      </c>
      <c r="BM35" s="11" t="str">
        <f aca="false">IF($B35="","",6-O35)</f>
        <v/>
      </c>
      <c r="BN35" s="11" t="str">
        <f aca="false">IF($B35="","",J35+K35+BL35+M35+N35+BM35+P35+Q35+R35)</f>
        <v/>
      </c>
      <c r="BO35" s="11" t="str">
        <f aca="false">IF($B35="","",SUM(S35:W35))</f>
        <v/>
      </c>
      <c r="BP35" s="11" t="str">
        <f aca="false">IF($B35="","",SUM(Y35:AC35))</f>
        <v/>
      </c>
      <c r="BQ35" s="11" t="str">
        <f aca="false">IF($B35="","",SUM(AE35:AK35))</f>
        <v/>
      </c>
      <c r="BR35" s="11" t="str">
        <f aca="false">IF($B35="","",SUM(AL35:AR35))</f>
        <v/>
      </c>
      <c r="BS35" s="11" t="str">
        <f aca="false">IF($B35="","",SUM(AS35:AY35))</f>
        <v/>
      </c>
      <c r="BT35" s="12" t="str">
        <f aca="false">IF($B35="","",BN35/9)</f>
        <v/>
      </c>
      <c r="BU35" s="12" t="str">
        <f aca="false">IF($B35="","",BO35/5)</f>
        <v/>
      </c>
      <c r="BV35" s="12" t="str">
        <f aca="false">IF($B35="","",BP35/5)</f>
        <v/>
      </c>
      <c r="BW35" s="12" t="str">
        <f aca="false">IF($B35="","",BQ35/7)</f>
        <v/>
      </c>
      <c r="BX35" s="12" t="str">
        <f aca="false">IF($B35="","",BR35/7)</f>
        <v/>
      </c>
      <c r="BY35" s="12" t="str">
        <f aca="false">IF($B35="","",BS35/7)</f>
        <v/>
      </c>
      <c r="BZ35" s="11" t="str">
        <f aca="false">IF($B35="","",AZ35)</f>
        <v/>
      </c>
      <c r="CA35" s="11" t="str">
        <f aca="false">IF($B35="","",IF(BT35&lt;2.5,"Explorador",IF(BT35&lt;3.75,"Integrador","Innovador")))</f>
        <v/>
      </c>
      <c r="CB35" s="11" t="str">
        <f aca="false">IF($B35="","",IF(BU35&lt;2.5,"Explorador",IF(BU35&lt;3.75,"Integrador","Innovador")))</f>
        <v/>
      </c>
      <c r="CC35" s="11" t="str">
        <f aca="false">IF($B35="","",IF(BV35&lt;2.5,"Explorador",IF(BV35&lt;3.75,"Integrador","Innovador")))</f>
        <v/>
      </c>
      <c r="CD35" s="11" t="str">
        <f aca="false">IF($B35="","",IF(BW35&lt;2.5,"Explorador",IF(BW35&lt;3.75,"Integrador","Innovador")))</f>
        <v/>
      </c>
      <c r="CE35" s="11" t="str">
        <f aca="false">IF($B35="","",IF(BX35&lt;2.5,"Explorador",IF(BX35&lt;3.75,"Integrador","Innovador")))</f>
        <v/>
      </c>
      <c r="CF35" s="11" t="str">
        <f aca="false">IF($B35="","",IF(BY35&lt;2.5,"Explorador",IF(BY35&lt;3.75,"Integrador","Innovador")))</f>
        <v/>
      </c>
      <c r="CG35" s="13" t="str">
        <f aca="false">IF($B35="","",BB35/9)</f>
        <v/>
      </c>
      <c r="CH35" s="11" t="str">
        <f aca="false">IF($B35="","",IF(CG35&lt;0.4,"Bajo",IF(CG35&lt;0.7,"Medio","Alto")))</f>
        <v/>
      </c>
      <c r="CI35" s="13" t="str">
        <f aca="false">IF($B35="","",((AVERAGE(BU35,BW35,BY35))-1)/4)</f>
        <v/>
      </c>
      <c r="CJ35" s="11" t="str">
        <f aca="false">IF($B35="","",IF(CG35-CI35&gt;0.25,"Subvalora",IF(CI35-CG35&gt;0.25,"Sobreconfía","Consistente")))</f>
        <v/>
      </c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 t="str">
        <f aca="false">IF($B36="","",6-L36)</f>
        <v/>
      </c>
      <c r="BM36" s="11" t="str">
        <f aca="false">IF($B36="","",6-O36)</f>
        <v/>
      </c>
      <c r="BN36" s="11" t="str">
        <f aca="false">IF($B36="","",J36+K36+BL36+M36+N36+BM36+P36+Q36+R36)</f>
        <v/>
      </c>
      <c r="BO36" s="11" t="str">
        <f aca="false">IF($B36="","",SUM(S36:W36))</f>
        <v/>
      </c>
      <c r="BP36" s="11" t="str">
        <f aca="false">IF($B36="","",SUM(Y36:AC36))</f>
        <v/>
      </c>
      <c r="BQ36" s="11" t="str">
        <f aca="false">IF($B36="","",SUM(AE36:AK36))</f>
        <v/>
      </c>
      <c r="BR36" s="11" t="str">
        <f aca="false">IF($B36="","",SUM(AL36:AR36))</f>
        <v/>
      </c>
      <c r="BS36" s="11" t="str">
        <f aca="false">IF($B36="","",SUM(AS36:AY36))</f>
        <v/>
      </c>
      <c r="BT36" s="12" t="str">
        <f aca="false">IF($B36="","",BN36/9)</f>
        <v/>
      </c>
      <c r="BU36" s="12" t="str">
        <f aca="false">IF($B36="","",BO36/5)</f>
        <v/>
      </c>
      <c r="BV36" s="12" t="str">
        <f aca="false">IF($B36="","",BP36/5)</f>
        <v/>
      </c>
      <c r="BW36" s="12" t="str">
        <f aca="false">IF($B36="","",BQ36/7)</f>
        <v/>
      </c>
      <c r="BX36" s="12" t="str">
        <f aca="false">IF($B36="","",BR36/7)</f>
        <v/>
      </c>
      <c r="BY36" s="12" t="str">
        <f aca="false">IF($B36="","",BS36/7)</f>
        <v/>
      </c>
      <c r="BZ36" s="11" t="str">
        <f aca="false">IF($B36="","",AZ36)</f>
        <v/>
      </c>
      <c r="CA36" s="11" t="str">
        <f aca="false">IF($B36="","",IF(BT36&lt;2.5,"Explorador",IF(BT36&lt;3.75,"Integrador","Innovador")))</f>
        <v/>
      </c>
      <c r="CB36" s="11" t="str">
        <f aca="false">IF($B36="","",IF(BU36&lt;2.5,"Explorador",IF(BU36&lt;3.75,"Integrador","Innovador")))</f>
        <v/>
      </c>
      <c r="CC36" s="11" t="str">
        <f aca="false">IF($B36="","",IF(BV36&lt;2.5,"Explorador",IF(BV36&lt;3.75,"Integrador","Innovador")))</f>
        <v/>
      </c>
      <c r="CD36" s="11" t="str">
        <f aca="false">IF($B36="","",IF(BW36&lt;2.5,"Explorador",IF(BW36&lt;3.75,"Integrador","Innovador")))</f>
        <v/>
      </c>
      <c r="CE36" s="11" t="str">
        <f aca="false">IF($B36="","",IF(BX36&lt;2.5,"Explorador",IF(BX36&lt;3.75,"Integrador","Innovador")))</f>
        <v/>
      </c>
      <c r="CF36" s="11" t="str">
        <f aca="false">IF($B36="","",IF(BY36&lt;2.5,"Explorador",IF(BY36&lt;3.75,"Integrador","Innovador")))</f>
        <v/>
      </c>
      <c r="CG36" s="13" t="str">
        <f aca="false">IF($B36="","",BB36/9)</f>
        <v/>
      </c>
      <c r="CH36" s="11" t="str">
        <f aca="false">IF($B36="","",IF(CG36&lt;0.4,"Bajo",IF(CG36&lt;0.7,"Medio","Alto")))</f>
        <v/>
      </c>
      <c r="CI36" s="13" t="str">
        <f aca="false">IF($B36="","",((AVERAGE(BU36,BW36,BY36))-1)/4)</f>
        <v/>
      </c>
      <c r="CJ36" s="11" t="str">
        <f aca="false">IF($B36="","",IF(CG36-CI36&gt;0.25,"Subvalora",IF(CI36-CG36&gt;0.25,"Sobreconfía","Consistente")))</f>
        <v/>
      </c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 t="str">
        <f aca="false">IF($B37="","",6-L37)</f>
        <v/>
      </c>
      <c r="BM37" s="11" t="str">
        <f aca="false">IF($B37="","",6-O37)</f>
        <v/>
      </c>
      <c r="BN37" s="11" t="str">
        <f aca="false">IF($B37="","",J37+K37+BL37+M37+N37+BM37+P37+Q37+R37)</f>
        <v/>
      </c>
      <c r="BO37" s="11" t="str">
        <f aca="false">IF($B37="","",SUM(S37:W37))</f>
        <v/>
      </c>
      <c r="BP37" s="11" t="str">
        <f aca="false">IF($B37="","",SUM(Y37:AC37))</f>
        <v/>
      </c>
      <c r="BQ37" s="11" t="str">
        <f aca="false">IF($B37="","",SUM(AE37:AK37))</f>
        <v/>
      </c>
      <c r="BR37" s="11" t="str">
        <f aca="false">IF($B37="","",SUM(AL37:AR37))</f>
        <v/>
      </c>
      <c r="BS37" s="11" t="str">
        <f aca="false">IF($B37="","",SUM(AS37:AY37))</f>
        <v/>
      </c>
      <c r="BT37" s="12" t="str">
        <f aca="false">IF($B37="","",BN37/9)</f>
        <v/>
      </c>
      <c r="BU37" s="12" t="str">
        <f aca="false">IF($B37="","",BO37/5)</f>
        <v/>
      </c>
      <c r="BV37" s="12" t="str">
        <f aca="false">IF($B37="","",BP37/5)</f>
        <v/>
      </c>
      <c r="BW37" s="12" t="str">
        <f aca="false">IF($B37="","",BQ37/7)</f>
        <v/>
      </c>
      <c r="BX37" s="12" t="str">
        <f aca="false">IF($B37="","",BR37/7)</f>
        <v/>
      </c>
      <c r="BY37" s="12" t="str">
        <f aca="false">IF($B37="","",BS37/7)</f>
        <v/>
      </c>
      <c r="BZ37" s="11" t="str">
        <f aca="false">IF($B37="","",AZ37)</f>
        <v/>
      </c>
      <c r="CA37" s="11" t="str">
        <f aca="false">IF($B37="","",IF(BT37&lt;2.5,"Explorador",IF(BT37&lt;3.75,"Integrador","Innovador")))</f>
        <v/>
      </c>
      <c r="CB37" s="11" t="str">
        <f aca="false">IF($B37="","",IF(BU37&lt;2.5,"Explorador",IF(BU37&lt;3.75,"Integrador","Innovador")))</f>
        <v/>
      </c>
      <c r="CC37" s="11" t="str">
        <f aca="false">IF($B37="","",IF(BV37&lt;2.5,"Explorador",IF(BV37&lt;3.75,"Integrador","Innovador")))</f>
        <v/>
      </c>
      <c r="CD37" s="11" t="str">
        <f aca="false">IF($B37="","",IF(BW37&lt;2.5,"Explorador",IF(BW37&lt;3.75,"Integrador","Innovador")))</f>
        <v/>
      </c>
      <c r="CE37" s="11" t="str">
        <f aca="false">IF($B37="","",IF(BX37&lt;2.5,"Explorador",IF(BX37&lt;3.75,"Integrador","Innovador")))</f>
        <v/>
      </c>
      <c r="CF37" s="11" t="str">
        <f aca="false">IF($B37="","",IF(BY37&lt;2.5,"Explorador",IF(BY37&lt;3.75,"Integrador","Innovador")))</f>
        <v/>
      </c>
      <c r="CG37" s="13" t="str">
        <f aca="false">IF($B37="","",BB37/9)</f>
        <v/>
      </c>
      <c r="CH37" s="11" t="str">
        <f aca="false">IF($B37="","",IF(CG37&lt;0.4,"Bajo",IF(CG37&lt;0.7,"Medio","Alto")))</f>
        <v/>
      </c>
      <c r="CI37" s="13" t="str">
        <f aca="false">IF($B37="","",((AVERAGE(BU37,BW37,BY37))-1)/4)</f>
        <v/>
      </c>
      <c r="CJ37" s="11" t="str">
        <f aca="false">IF($B37="","",IF(CG37-CI37&gt;0.25,"Subvalora",IF(CI37-CG37&gt;0.25,"Sobreconfía","Consistente")))</f>
        <v/>
      </c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 t="str">
        <f aca="false">IF($B38="","",6-L38)</f>
        <v/>
      </c>
      <c r="BM38" s="11" t="str">
        <f aca="false">IF($B38="","",6-O38)</f>
        <v/>
      </c>
      <c r="BN38" s="11" t="str">
        <f aca="false">IF($B38="","",J38+K38+BL38+M38+N38+BM38+P38+Q38+R38)</f>
        <v/>
      </c>
      <c r="BO38" s="11" t="str">
        <f aca="false">IF($B38="","",SUM(S38:W38))</f>
        <v/>
      </c>
      <c r="BP38" s="11" t="str">
        <f aca="false">IF($B38="","",SUM(Y38:AC38))</f>
        <v/>
      </c>
      <c r="BQ38" s="11" t="str">
        <f aca="false">IF($B38="","",SUM(AE38:AK38))</f>
        <v/>
      </c>
      <c r="BR38" s="11" t="str">
        <f aca="false">IF($B38="","",SUM(AL38:AR38))</f>
        <v/>
      </c>
      <c r="BS38" s="11" t="str">
        <f aca="false">IF($B38="","",SUM(AS38:AY38))</f>
        <v/>
      </c>
      <c r="BT38" s="12" t="str">
        <f aca="false">IF($B38="","",BN38/9)</f>
        <v/>
      </c>
      <c r="BU38" s="12" t="str">
        <f aca="false">IF($B38="","",BO38/5)</f>
        <v/>
      </c>
      <c r="BV38" s="12" t="str">
        <f aca="false">IF($B38="","",BP38/5)</f>
        <v/>
      </c>
      <c r="BW38" s="12" t="str">
        <f aca="false">IF($B38="","",BQ38/7)</f>
        <v/>
      </c>
      <c r="BX38" s="12" t="str">
        <f aca="false">IF($B38="","",BR38/7)</f>
        <v/>
      </c>
      <c r="BY38" s="12" t="str">
        <f aca="false">IF($B38="","",BS38/7)</f>
        <v/>
      </c>
      <c r="BZ38" s="11" t="str">
        <f aca="false">IF($B38="","",AZ38)</f>
        <v/>
      </c>
      <c r="CA38" s="11" t="str">
        <f aca="false">IF($B38="","",IF(BT38&lt;2.5,"Explorador",IF(BT38&lt;3.75,"Integrador","Innovador")))</f>
        <v/>
      </c>
      <c r="CB38" s="11" t="str">
        <f aca="false">IF($B38="","",IF(BU38&lt;2.5,"Explorador",IF(BU38&lt;3.75,"Integrador","Innovador")))</f>
        <v/>
      </c>
      <c r="CC38" s="11" t="str">
        <f aca="false">IF($B38="","",IF(BV38&lt;2.5,"Explorador",IF(BV38&lt;3.75,"Integrador","Innovador")))</f>
        <v/>
      </c>
      <c r="CD38" s="11" t="str">
        <f aca="false">IF($B38="","",IF(BW38&lt;2.5,"Explorador",IF(BW38&lt;3.75,"Integrador","Innovador")))</f>
        <v/>
      </c>
      <c r="CE38" s="11" t="str">
        <f aca="false">IF($B38="","",IF(BX38&lt;2.5,"Explorador",IF(BX38&lt;3.75,"Integrador","Innovador")))</f>
        <v/>
      </c>
      <c r="CF38" s="11" t="str">
        <f aca="false">IF($B38="","",IF(BY38&lt;2.5,"Explorador",IF(BY38&lt;3.75,"Integrador","Innovador")))</f>
        <v/>
      </c>
      <c r="CG38" s="13" t="str">
        <f aca="false">IF($B38="","",BB38/9)</f>
        <v/>
      </c>
      <c r="CH38" s="11" t="str">
        <f aca="false">IF($B38="","",IF(CG38&lt;0.4,"Bajo",IF(CG38&lt;0.7,"Medio","Alto")))</f>
        <v/>
      </c>
      <c r="CI38" s="13" t="str">
        <f aca="false">IF($B38="","",((AVERAGE(BU38,BW38,BY38))-1)/4)</f>
        <v/>
      </c>
      <c r="CJ38" s="11" t="str">
        <f aca="false">IF($B38="","",IF(CG38-CI38&gt;0.25,"Subvalora",IF(CI38-CG38&gt;0.25,"Sobreconfía","Consistente")))</f>
        <v/>
      </c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 t="str">
        <f aca="false">IF($B39="","",6-L39)</f>
        <v/>
      </c>
      <c r="BM39" s="11" t="str">
        <f aca="false">IF($B39="","",6-O39)</f>
        <v/>
      </c>
      <c r="BN39" s="11" t="str">
        <f aca="false">IF($B39="","",J39+K39+BL39+M39+N39+BM39+P39+Q39+R39)</f>
        <v/>
      </c>
      <c r="BO39" s="11" t="str">
        <f aca="false">IF($B39="","",SUM(S39:W39))</f>
        <v/>
      </c>
      <c r="BP39" s="11" t="str">
        <f aca="false">IF($B39="","",SUM(Y39:AC39))</f>
        <v/>
      </c>
      <c r="BQ39" s="11" t="str">
        <f aca="false">IF($B39="","",SUM(AE39:AK39))</f>
        <v/>
      </c>
      <c r="BR39" s="11" t="str">
        <f aca="false">IF($B39="","",SUM(AL39:AR39))</f>
        <v/>
      </c>
      <c r="BS39" s="11" t="str">
        <f aca="false">IF($B39="","",SUM(AS39:AY39))</f>
        <v/>
      </c>
      <c r="BT39" s="12" t="str">
        <f aca="false">IF($B39="","",BN39/9)</f>
        <v/>
      </c>
      <c r="BU39" s="12" t="str">
        <f aca="false">IF($B39="","",BO39/5)</f>
        <v/>
      </c>
      <c r="BV39" s="12" t="str">
        <f aca="false">IF($B39="","",BP39/5)</f>
        <v/>
      </c>
      <c r="BW39" s="12" t="str">
        <f aca="false">IF($B39="","",BQ39/7)</f>
        <v/>
      </c>
      <c r="BX39" s="12" t="str">
        <f aca="false">IF($B39="","",BR39/7)</f>
        <v/>
      </c>
      <c r="BY39" s="12" t="str">
        <f aca="false">IF($B39="","",BS39/7)</f>
        <v/>
      </c>
      <c r="BZ39" s="11" t="str">
        <f aca="false">IF($B39="","",AZ39)</f>
        <v/>
      </c>
      <c r="CA39" s="11" t="str">
        <f aca="false">IF($B39="","",IF(BT39&lt;2.5,"Explorador",IF(BT39&lt;3.75,"Integrador","Innovador")))</f>
        <v/>
      </c>
      <c r="CB39" s="11" t="str">
        <f aca="false">IF($B39="","",IF(BU39&lt;2.5,"Explorador",IF(BU39&lt;3.75,"Integrador","Innovador")))</f>
        <v/>
      </c>
      <c r="CC39" s="11" t="str">
        <f aca="false">IF($B39="","",IF(BV39&lt;2.5,"Explorador",IF(BV39&lt;3.75,"Integrador","Innovador")))</f>
        <v/>
      </c>
      <c r="CD39" s="11" t="str">
        <f aca="false">IF($B39="","",IF(BW39&lt;2.5,"Explorador",IF(BW39&lt;3.75,"Integrador","Innovador")))</f>
        <v/>
      </c>
      <c r="CE39" s="11" t="str">
        <f aca="false">IF($B39="","",IF(BX39&lt;2.5,"Explorador",IF(BX39&lt;3.75,"Integrador","Innovador")))</f>
        <v/>
      </c>
      <c r="CF39" s="11" t="str">
        <f aca="false">IF($B39="","",IF(BY39&lt;2.5,"Explorador",IF(BY39&lt;3.75,"Integrador","Innovador")))</f>
        <v/>
      </c>
      <c r="CG39" s="13" t="str">
        <f aca="false">IF($B39="","",BB39/9)</f>
        <v/>
      </c>
      <c r="CH39" s="11" t="str">
        <f aca="false">IF($B39="","",IF(CG39&lt;0.4,"Bajo",IF(CG39&lt;0.7,"Medio","Alto")))</f>
        <v/>
      </c>
      <c r="CI39" s="13" t="str">
        <f aca="false">IF($B39="","",((AVERAGE(BU39,BW39,BY39))-1)/4)</f>
        <v/>
      </c>
      <c r="CJ39" s="11" t="str">
        <f aca="false">IF($B39="","",IF(CG39-CI39&gt;0.25,"Subvalora",IF(CI39-CG39&gt;0.25,"Sobreconfía","Consistente")))</f>
        <v/>
      </c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 t="str">
        <f aca="false">IF($B40="","",6-L40)</f>
        <v/>
      </c>
      <c r="BM40" s="11" t="str">
        <f aca="false">IF($B40="","",6-O40)</f>
        <v/>
      </c>
      <c r="BN40" s="11" t="str">
        <f aca="false">IF($B40="","",J40+K40+BL40+M40+N40+BM40+P40+Q40+R40)</f>
        <v/>
      </c>
      <c r="BO40" s="11" t="str">
        <f aca="false">IF($B40="","",SUM(S40:W40))</f>
        <v/>
      </c>
      <c r="BP40" s="11" t="str">
        <f aca="false">IF($B40="","",SUM(Y40:AC40))</f>
        <v/>
      </c>
      <c r="BQ40" s="11" t="str">
        <f aca="false">IF($B40="","",SUM(AE40:AK40))</f>
        <v/>
      </c>
      <c r="BR40" s="11" t="str">
        <f aca="false">IF($B40="","",SUM(AL40:AR40))</f>
        <v/>
      </c>
      <c r="BS40" s="11" t="str">
        <f aca="false">IF($B40="","",SUM(AS40:AY40))</f>
        <v/>
      </c>
      <c r="BT40" s="12" t="str">
        <f aca="false">IF($B40="","",BN40/9)</f>
        <v/>
      </c>
      <c r="BU40" s="12" t="str">
        <f aca="false">IF($B40="","",BO40/5)</f>
        <v/>
      </c>
      <c r="BV40" s="12" t="str">
        <f aca="false">IF($B40="","",BP40/5)</f>
        <v/>
      </c>
      <c r="BW40" s="12" t="str">
        <f aca="false">IF($B40="","",BQ40/7)</f>
        <v/>
      </c>
      <c r="BX40" s="12" t="str">
        <f aca="false">IF($B40="","",BR40/7)</f>
        <v/>
      </c>
      <c r="BY40" s="12" t="str">
        <f aca="false">IF($B40="","",BS40/7)</f>
        <v/>
      </c>
      <c r="BZ40" s="11" t="str">
        <f aca="false">IF($B40="","",AZ40)</f>
        <v/>
      </c>
      <c r="CA40" s="11" t="str">
        <f aca="false">IF($B40="","",IF(BT40&lt;2.5,"Explorador",IF(BT40&lt;3.75,"Integrador","Innovador")))</f>
        <v/>
      </c>
      <c r="CB40" s="11" t="str">
        <f aca="false">IF($B40="","",IF(BU40&lt;2.5,"Explorador",IF(BU40&lt;3.75,"Integrador","Innovador")))</f>
        <v/>
      </c>
      <c r="CC40" s="11" t="str">
        <f aca="false">IF($B40="","",IF(BV40&lt;2.5,"Explorador",IF(BV40&lt;3.75,"Integrador","Innovador")))</f>
        <v/>
      </c>
      <c r="CD40" s="11" t="str">
        <f aca="false">IF($B40="","",IF(BW40&lt;2.5,"Explorador",IF(BW40&lt;3.75,"Integrador","Innovador")))</f>
        <v/>
      </c>
      <c r="CE40" s="11" t="str">
        <f aca="false">IF($B40="","",IF(BX40&lt;2.5,"Explorador",IF(BX40&lt;3.75,"Integrador","Innovador")))</f>
        <v/>
      </c>
      <c r="CF40" s="11" t="str">
        <f aca="false">IF($B40="","",IF(BY40&lt;2.5,"Explorador",IF(BY40&lt;3.75,"Integrador","Innovador")))</f>
        <v/>
      </c>
      <c r="CG40" s="13" t="str">
        <f aca="false">IF($B40="","",BB40/9)</f>
        <v/>
      </c>
      <c r="CH40" s="11" t="str">
        <f aca="false">IF($B40="","",IF(CG40&lt;0.4,"Bajo",IF(CG40&lt;0.7,"Medio","Alto")))</f>
        <v/>
      </c>
      <c r="CI40" s="13" t="str">
        <f aca="false">IF($B40="","",((AVERAGE(BU40,BW40,BY40))-1)/4)</f>
        <v/>
      </c>
      <c r="CJ40" s="11" t="str">
        <f aca="false">IF($B40="","",IF(CG40-CI40&gt;0.25,"Subvalora",IF(CI40-CG40&gt;0.25,"Sobreconfía","Consistente")))</f>
        <v/>
      </c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 t="str">
        <f aca="false">IF($B41="","",6-L41)</f>
        <v/>
      </c>
      <c r="BM41" s="11" t="str">
        <f aca="false">IF($B41="","",6-O41)</f>
        <v/>
      </c>
      <c r="BN41" s="11" t="str">
        <f aca="false">IF($B41="","",J41+K41+BL41+M41+N41+BM41+P41+Q41+R41)</f>
        <v/>
      </c>
      <c r="BO41" s="11" t="str">
        <f aca="false">IF($B41="","",SUM(S41:W41))</f>
        <v/>
      </c>
      <c r="BP41" s="11" t="str">
        <f aca="false">IF($B41="","",SUM(Y41:AC41))</f>
        <v/>
      </c>
      <c r="BQ41" s="11" t="str">
        <f aca="false">IF($B41="","",SUM(AE41:AK41))</f>
        <v/>
      </c>
      <c r="BR41" s="11" t="str">
        <f aca="false">IF($B41="","",SUM(AL41:AR41))</f>
        <v/>
      </c>
      <c r="BS41" s="11" t="str">
        <f aca="false">IF($B41="","",SUM(AS41:AY41))</f>
        <v/>
      </c>
      <c r="BT41" s="12" t="str">
        <f aca="false">IF($B41="","",BN41/9)</f>
        <v/>
      </c>
      <c r="BU41" s="12" t="str">
        <f aca="false">IF($B41="","",BO41/5)</f>
        <v/>
      </c>
      <c r="BV41" s="12" t="str">
        <f aca="false">IF($B41="","",BP41/5)</f>
        <v/>
      </c>
      <c r="BW41" s="12" t="str">
        <f aca="false">IF($B41="","",BQ41/7)</f>
        <v/>
      </c>
      <c r="BX41" s="12" t="str">
        <f aca="false">IF($B41="","",BR41/7)</f>
        <v/>
      </c>
      <c r="BY41" s="12" t="str">
        <f aca="false">IF($B41="","",BS41/7)</f>
        <v/>
      </c>
      <c r="BZ41" s="11" t="str">
        <f aca="false">IF($B41="","",AZ41)</f>
        <v/>
      </c>
      <c r="CA41" s="11" t="str">
        <f aca="false">IF($B41="","",IF(BT41&lt;2.5,"Explorador",IF(BT41&lt;3.75,"Integrador","Innovador")))</f>
        <v/>
      </c>
      <c r="CB41" s="11" t="str">
        <f aca="false">IF($B41="","",IF(BU41&lt;2.5,"Explorador",IF(BU41&lt;3.75,"Integrador","Innovador")))</f>
        <v/>
      </c>
      <c r="CC41" s="11" t="str">
        <f aca="false">IF($B41="","",IF(BV41&lt;2.5,"Explorador",IF(BV41&lt;3.75,"Integrador","Innovador")))</f>
        <v/>
      </c>
      <c r="CD41" s="11" t="str">
        <f aca="false">IF($B41="","",IF(BW41&lt;2.5,"Explorador",IF(BW41&lt;3.75,"Integrador","Innovador")))</f>
        <v/>
      </c>
      <c r="CE41" s="11" t="str">
        <f aca="false">IF($B41="","",IF(BX41&lt;2.5,"Explorador",IF(BX41&lt;3.75,"Integrador","Innovador")))</f>
        <v/>
      </c>
      <c r="CF41" s="11" t="str">
        <f aca="false">IF($B41="","",IF(BY41&lt;2.5,"Explorador",IF(BY41&lt;3.75,"Integrador","Innovador")))</f>
        <v/>
      </c>
      <c r="CG41" s="13" t="str">
        <f aca="false">IF($B41="","",BB41/9)</f>
        <v/>
      </c>
      <c r="CH41" s="11" t="str">
        <f aca="false">IF($B41="","",IF(CG41&lt;0.4,"Bajo",IF(CG41&lt;0.7,"Medio","Alto")))</f>
        <v/>
      </c>
      <c r="CI41" s="13" t="str">
        <f aca="false">IF($B41="","",((AVERAGE(BU41,BW41,BY41))-1)/4)</f>
        <v/>
      </c>
      <c r="CJ41" s="11" t="str">
        <f aca="false">IF($B41="","",IF(CG41-CI41&gt;0.25,"Subvalora",IF(CI41-CG41&gt;0.25,"Sobreconfía","Consistente")))</f>
        <v/>
      </c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 t="str">
        <f aca="false">IF($B42="","",6-L42)</f>
        <v/>
      </c>
      <c r="BM42" s="11" t="str">
        <f aca="false">IF($B42="","",6-O42)</f>
        <v/>
      </c>
      <c r="BN42" s="11" t="str">
        <f aca="false">IF($B42="","",J42+K42+BL42+M42+N42+BM42+P42+Q42+R42)</f>
        <v/>
      </c>
      <c r="BO42" s="11" t="str">
        <f aca="false">IF($B42="","",SUM(S42:W42))</f>
        <v/>
      </c>
      <c r="BP42" s="11" t="str">
        <f aca="false">IF($B42="","",SUM(Y42:AC42))</f>
        <v/>
      </c>
      <c r="BQ42" s="11" t="str">
        <f aca="false">IF($B42="","",SUM(AE42:AK42))</f>
        <v/>
      </c>
      <c r="BR42" s="11" t="str">
        <f aca="false">IF($B42="","",SUM(AL42:AR42))</f>
        <v/>
      </c>
      <c r="BS42" s="11" t="str">
        <f aca="false">IF($B42="","",SUM(AS42:AY42))</f>
        <v/>
      </c>
      <c r="BT42" s="12" t="str">
        <f aca="false">IF($B42="","",BN42/9)</f>
        <v/>
      </c>
      <c r="BU42" s="12" t="str">
        <f aca="false">IF($B42="","",BO42/5)</f>
        <v/>
      </c>
      <c r="BV42" s="12" t="str">
        <f aca="false">IF($B42="","",BP42/5)</f>
        <v/>
      </c>
      <c r="BW42" s="12" t="str">
        <f aca="false">IF($B42="","",BQ42/7)</f>
        <v/>
      </c>
      <c r="BX42" s="12" t="str">
        <f aca="false">IF($B42="","",BR42/7)</f>
        <v/>
      </c>
      <c r="BY42" s="12" t="str">
        <f aca="false">IF($B42="","",BS42/7)</f>
        <v/>
      </c>
      <c r="BZ42" s="11" t="str">
        <f aca="false">IF($B42="","",AZ42)</f>
        <v/>
      </c>
      <c r="CA42" s="11" t="str">
        <f aca="false">IF($B42="","",IF(BT42&lt;2.5,"Explorador",IF(BT42&lt;3.75,"Integrador","Innovador")))</f>
        <v/>
      </c>
      <c r="CB42" s="11" t="str">
        <f aca="false">IF($B42="","",IF(BU42&lt;2.5,"Explorador",IF(BU42&lt;3.75,"Integrador","Innovador")))</f>
        <v/>
      </c>
      <c r="CC42" s="11" t="str">
        <f aca="false">IF($B42="","",IF(BV42&lt;2.5,"Explorador",IF(BV42&lt;3.75,"Integrador","Innovador")))</f>
        <v/>
      </c>
      <c r="CD42" s="11" t="str">
        <f aca="false">IF($B42="","",IF(BW42&lt;2.5,"Explorador",IF(BW42&lt;3.75,"Integrador","Innovador")))</f>
        <v/>
      </c>
      <c r="CE42" s="11" t="str">
        <f aca="false">IF($B42="","",IF(BX42&lt;2.5,"Explorador",IF(BX42&lt;3.75,"Integrador","Innovador")))</f>
        <v/>
      </c>
      <c r="CF42" s="11" t="str">
        <f aca="false">IF($B42="","",IF(BY42&lt;2.5,"Explorador",IF(BY42&lt;3.75,"Integrador","Innovador")))</f>
        <v/>
      </c>
      <c r="CG42" s="13" t="str">
        <f aca="false">IF($B42="","",BB42/9)</f>
        <v/>
      </c>
      <c r="CH42" s="11" t="str">
        <f aca="false">IF($B42="","",IF(CG42&lt;0.4,"Bajo",IF(CG42&lt;0.7,"Medio","Alto")))</f>
        <v/>
      </c>
      <c r="CI42" s="13" t="str">
        <f aca="false">IF($B42="","",((AVERAGE(BU42,BW42,BY42))-1)/4)</f>
        <v/>
      </c>
      <c r="CJ42" s="11" t="str">
        <f aca="false">IF($B42="","",IF(CG42-CI42&gt;0.25,"Subvalora",IF(CI42-CG42&gt;0.25,"Sobreconfía","Consistente")))</f>
        <v/>
      </c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 t="str">
        <f aca="false">IF($B43="","",6-L43)</f>
        <v/>
      </c>
      <c r="BM43" s="11" t="str">
        <f aca="false">IF($B43="","",6-O43)</f>
        <v/>
      </c>
      <c r="BN43" s="11" t="str">
        <f aca="false">IF($B43="","",J43+K43+BL43+M43+N43+BM43+P43+Q43+R43)</f>
        <v/>
      </c>
      <c r="BO43" s="11" t="str">
        <f aca="false">IF($B43="","",SUM(S43:W43))</f>
        <v/>
      </c>
      <c r="BP43" s="11" t="str">
        <f aca="false">IF($B43="","",SUM(Y43:AC43))</f>
        <v/>
      </c>
      <c r="BQ43" s="11" t="str">
        <f aca="false">IF($B43="","",SUM(AE43:AK43))</f>
        <v/>
      </c>
      <c r="BR43" s="11" t="str">
        <f aca="false">IF($B43="","",SUM(AL43:AR43))</f>
        <v/>
      </c>
      <c r="BS43" s="11" t="str">
        <f aca="false">IF($B43="","",SUM(AS43:AY43))</f>
        <v/>
      </c>
      <c r="BT43" s="12" t="str">
        <f aca="false">IF($B43="","",BN43/9)</f>
        <v/>
      </c>
      <c r="BU43" s="12" t="str">
        <f aca="false">IF($B43="","",BO43/5)</f>
        <v/>
      </c>
      <c r="BV43" s="12" t="str">
        <f aca="false">IF($B43="","",BP43/5)</f>
        <v/>
      </c>
      <c r="BW43" s="12" t="str">
        <f aca="false">IF($B43="","",BQ43/7)</f>
        <v/>
      </c>
      <c r="BX43" s="12" t="str">
        <f aca="false">IF($B43="","",BR43/7)</f>
        <v/>
      </c>
      <c r="BY43" s="12" t="str">
        <f aca="false">IF($B43="","",BS43/7)</f>
        <v/>
      </c>
      <c r="BZ43" s="11" t="str">
        <f aca="false">IF($B43="","",AZ43)</f>
        <v/>
      </c>
      <c r="CA43" s="11" t="str">
        <f aca="false">IF($B43="","",IF(BT43&lt;2.5,"Explorador",IF(BT43&lt;3.75,"Integrador","Innovador")))</f>
        <v/>
      </c>
      <c r="CB43" s="11" t="str">
        <f aca="false">IF($B43="","",IF(BU43&lt;2.5,"Explorador",IF(BU43&lt;3.75,"Integrador","Innovador")))</f>
        <v/>
      </c>
      <c r="CC43" s="11" t="str">
        <f aca="false">IF($B43="","",IF(BV43&lt;2.5,"Explorador",IF(BV43&lt;3.75,"Integrador","Innovador")))</f>
        <v/>
      </c>
      <c r="CD43" s="11" t="str">
        <f aca="false">IF($B43="","",IF(BW43&lt;2.5,"Explorador",IF(BW43&lt;3.75,"Integrador","Innovador")))</f>
        <v/>
      </c>
      <c r="CE43" s="11" t="str">
        <f aca="false">IF($B43="","",IF(BX43&lt;2.5,"Explorador",IF(BX43&lt;3.75,"Integrador","Innovador")))</f>
        <v/>
      </c>
      <c r="CF43" s="11" t="str">
        <f aca="false">IF($B43="","",IF(BY43&lt;2.5,"Explorador",IF(BY43&lt;3.75,"Integrador","Innovador")))</f>
        <v/>
      </c>
      <c r="CG43" s="13" t="str">
        <f aca="false">IF($B43="","",BB43/9)</f>
        <v/>
      </c>
      <c r="CH43" s="11" t="str">
        <f aca="false">IF($B43="","",IF(CG43&lt;0.4,"Bajo",IF(CG43&lt;0.7,"Medio","Alto")))</f>
        <v/>
      </c>
      <c r="CI43" s="13" t="str">
        <f aca="false">IF($B43="","",((AVERAGE(BU43,BW43,BY43))-1)/4)</f>
        <v/>
      </c>
      <c r="CJ43" s="11" t="str">
        <f aca="false">IF($B43="","",IF(CG43-CI43&gt;0.25,"Subvalora",IF(CI43-CG43&gt;0.25,"Sobreconfía","Consistente")))</f>
        <v/>
      </c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 t="str">
        <f aca="false">IF($B44="","",6-L44)</f>
        <v/>
      </c>
      <c r="BM44" s="11" t="str">
        <f aca="false">IF($B44="","",6-O44)</f>
        <v/>
      </c>
      <c r="BN44" s="11" t="str">
        <f aca="false">IF($B44="","",J44+K44+BL44+M44+N44+BM44+P44+Q44+R44)</f>
        <v/>
      </c>
      <c r="BO44" s="11" t="str">
        <f aca="false">IF($B44="","",SUM(S44:W44))</f>
        <v/>
      </c>
      <c r="BP44" s="11" t="str">
        <f aca="false">IF($B44="","",SUM(Y44:AC44))</f>
        <v/>
      </c>
      <c r="BQ44" s="11" t="str">
        <f aca="false">IF($B44="","",SUM(AE44:AK44))</f>
        <v/>
      </c>
      <c r="BR44" s="11" t="str">
        <f aca="false">IF($B44="","",SUM(AL44:AR44))</f>
        <v/>
      </c>
      <c r="BS44" s="11" t="str">
        <f aca="false">IF($B44="","",SUM(AS44:AY44))</f>
        <v/>
      </c>
      <c r="BT44" s="12" t="str">
        <f aca="false">IF($B44="","",BN44/9)</f>
        <v/>
      </c>
      <c r="BU44" s="12" t="str">
        <f aca="false">IF($B44="","",BO44/5)</f>
        <v/>
      </c>
      <c r="BV44" s="12" t="str">
        <f aca="false">IF($B44="","",BP44/5)</f>
        <v/>
      </c>
      <c r="BW44" s="12" t="str">
        <f aca="false">IF($B44="","",BQ44/7)</f>
        <v/>
      </c>
      <c r="BX44" s="12" t="str">
        <f aca="false">IF($B44="","",BR44/7)</f>
        <v/>
      </c>
      <c r="BY44" s="12" t="str">
        <f aca="false">IF($B44="","",BS44/7)</f>
        <v/>
      </c>
      <c r="BZ44" s="11" t="str">
        <f aca="false">IF($B44="","",AZ44)</f>
        <v/>
      </c>
      <c r="CA44" s="11" t="str">
        <f aca="false">IF($B44="","",IF(BT44&lt;2.5,"Explorador",IF(BT44&lt;3.75,"Integrador","Innovador")))</f>
        <v/>
      </c>
      <c r="CB44" s="11" t="str">
        <f aca="false">IF($B44="","",IF(BU44&lt;2.5,"Explorador",IF(BU44&lt;3.75,"Integrador","Innovador")))</f>
        <v/>
      </c>
      <c r="CC44" s="11" t="str">
        <f aca="false">IF($B44="","",IF(BV44&lt;2.5,"Explorador",IF(BV44&lt;3.75,"Integrador","Innovador")))</f>
        <v/>
      </c>
      <c r="CD44" s="11" t="str">
        <f aca="false">IF($B44="","",IF(BW44&lt;2.5,"Explorador",IF(BW44&lt;3.75,"Integrador","Innovador")))</f>
        <v/>
      </c>
      <c r="CE44" s="11" t="str">
        <f aca="false">IF($B44="","",IF(BX44&lt;2.5,"Explorador",IF(BX44&lt;3.75,"Integrador","Innovador")))</f>
        <v/>
      </c>
      <c r="CF44" s="11" t="str">
        <f aca="false">IF($B44="","",IF(BY44&lt;2.5,"Explorador",IF(BY44&lt;3.75,"Integrador","Innovador")))</f>
        <v/>
      </c>
      <c r="CG44" s="13" t="str">
        <f aca="false">IF($B44="","",BB44/9)</f>
        <v/>
      </c>
      <c r="CH44" s="11" t="str">
        <f aca="false">IF($B44="","",IF(CG44&lt;0.4,"Bajo",IF(CG44&lt;0.7,"Medio","Alto")))</f>
        <v/>
      </c>
      <c r="CI44" s="13" t="str">
        <f aca="false">IF($B44="","",((AVERAGE(BU44,BW44,BY44))-1)/4)</f>
        <v/>
      </c>
      <c r="CJ44" s="11" t="str">
        <f aca="false">IF($B44="","",IF(CG44-CI44&gt;0.25,"Subvalora",IF(CI44-CG44&gt;0.25,"Sobreconfía","Consistente")))</f>
        <v/>
      </c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 t="str">
        <f aca="false">IF($B45="","",6-L45)</f>
        <v/>
      </c>
      <c r="BM45" s="11" t="str">
        <f aca="false">IF($B45="","",6-O45)</f>
        <v/>
      </c>
      <c r="BN45" s="11" t="str">
        <f aca="false">IF($B45="","",J45+K45+BL45+M45+N45+BM45+P45+Q45+R45)</f>
        <v/>
      </c>
      <c r="BO45" s="11" t="str">
        <f aca="false">IF($B45="","",SUM(S45:W45))</f>
        <v/>
      </c>
      <c r="BP45" s="11" t="str">
        <f aca="false">IF($B45="","",SUM(Y45:AC45))</f>
        <v/>
      </c>
      <c r="BQ45" s="11" t="str">
        <f aca="false">IF($B45="","",SUM(AE45:AK45))</f>
        <v/>
      </c>
      <c r="BR45" s="11" t="str">
        <f aca="false">IF($B45="","",SUM(AL45:AR45))</f>
        <v/>
      </c>
      <c r="BS45" s="11" t="str">
        <f aca="false">IF($B45="","",SUM(AS45:AY45))</f>
        <v/>
      </c>
      <c r="BT45" s="12" t="str">
        <f aca="false">IF($B45="","",BN45/9)</f>
        <v/>
      </c>
      <c r="BU45" s="12" t="str">
        <f aca="false">IF($B45="","",BO45/5)</f>
        <v/>
      </c>
      <c r="BV45" s="12" t="str">
        <f aca="false">IF($B45="","",BP45/5)</f>
        <v/>
      </c>
      <c r="BW45" s="12" t="str">
        <f aca="false">IF($B45="","",BQ45/7)</f>
        <v/>
      </c>
      <c r="BX45" s="12" t="str">
        <f aca="false">IF($B45="","",BR45/7)</f>
        <v/>
      </c>
      <c r="BY45" s="12" t="str">
        <f aca="false">IF($B45="","",BS45/7)</f>
        <v/>
      </c>
      <c r="BZ45" s="11" t="str">
        <f aca="false">IF($B45="","",AZ45)</f>
        <v/>
      </c>
      <c r="CA45" s="11" t="str">
        <f aca="false">IF($B45="","",IF(BT45&lt;2.5,"Explorador",IF(BT45&lt;3.75,"Integrador","Innovador")))</f>
        <v/>
      </c>
      <c r="CB45" s="11" t="str">
        <f aca="false">IF($B45="","",IF(BU45&lt;2.5,"Explorador",IF(BU45&lt;3.75,"Integrador","Innovador")))</f>
        <v/>
      </c>
      <c r="CC45" s="11" t="str">
        <f aca="false">IF($B45="","",IF(BV45&lt;2.5,"Explorador",IF(BV45&lt;3.75,"Integrador","Innovador")))</f>
        <v/>
      </c>
      <c r="CD45" s="11" t="str">
        <f aca="false">IF($B45="","",IF(BW45&lt;2.5,"Explorador",IF(BW45&lt;3.75,"Integrador","Innovador")))</f>
        <v/>
      </c>
      <c r="CE45" s="11" t="str">
        <f aca="false">IF($B45="","",IF(BX45&lt;2.5,"Explorador",IF(BX45&lt;3.75,"Integrador","Innovador")))</f>
        <v/>
      </c>
      <c r="CF45" s="11" t="str">
        <f aca="false">IF($B45="","",IF(BY45&lt;2.5,"Explorador",IF(BY45&lt;3.75,"Integrador","Innovador")))</f>
        <v/>
      </c>
      <c r="CG45" s="13" t="str">
        <f aca="false">IF($B45="","",BB45/9)</f>
        <v/>
      </c>
      <c r="CH45" s="11" t="str">
        <f aca="false">IF($B45="","",IF(CG45&lt;0.4,"Bajo",IF(CG45&lt;0.7,"Medio","Alto")))</f>
        <v/>
      </c>
      <c r="CI45" s="13" t="str">
        <f aca="false">IF($B45="","",((AVERAGE(BU45,BW45,BY45))-1)/4)</f>
        <v/>
      </c>
      <c r="CJ45" s="11" t="str">
        <f aca="false">IF($B45="","",IF(CG45-CI45&gt;0.25,"Subvalora",IF(CI45-CG45&gt;0.25,"Sobreconfía","Consistente")))</f>
        <v/>
      </c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 t="str">
        <f aca="false">IF($B46="","",6-L46)</f>
        <v/>
      </c>
      <c r="BM46" s="11" t="str">
        <f aca="false">IF($B46="","",6-O46)</f>
        <v/>
      </c>
      <c r="BN46" s="11" t="str">
        <f aca="false">IF($B46="","",J46+K46+BL46+M46+N46+BM46+P46+Q46+R46)</f>
        <v/>
      </c>
      <c r="BO46" s="11" t="str">
        <f aca="false">IF($B46="","",SUM(S46:W46))</f>
        <v/>
      </c>
      <c r="BP46" s="11" t="str">
        <f aca="false">IF($B46="","",SUM(Y46:AC46))</f>
        <v/>
      </c>
      <c r="BQ46" s="11" t="str">
        <f aca="false">IF($B46="","",SUM(AE46:AK46))</f>
        <v/>
      </c>
      <c r="BR46" s="11" t="str">
        <f aca="false">IF($B46="","",SUM(AL46:AR46))</f>
        <v/>
      </c>
      <c r="BS46" s="11" t="str">
        <f aca="false">IF($B46="","",SUM(AS46:AY46))</f>
        <v/>
      </c>
      <c r="BT46" s="12" t="str">
        <f aca="false">IF($B46="","",BN46/9)</f>
        <v/>
      </c>
      <c r="BU46" s="12" t="str">
        <f aca="false">IF($B46="","",BO46/5)</f>
        <v/>
      </c>
      <c r="BV46" s="12" t="str">
        <f aca="false">IF($B46="","",BP46/5)</f>
        <v/>
      </c>
      <c r="BW46" s="12" t="str">
        <f aca="false">IF($B46="","",BQ46/7)</f>
        <v/>
      </c>
      <c r="BX46" s="12" t="str">
        <f aca="false">IF($B46="","",BR46/7)</f>
        <v/>
      </c>
      <c r="BY46" s="12" t="str">
        <f aca="false">IF($B46="","",BS46/7)</f>
        <v/>
      </c>
      <c r="BZ46" s="11" t="str">
        <f aca="false">IF($B46="","",AZ46)</f>
        <v/>
      </c>
      <c r="CA46" s="11" t="str">
        <f aca="false">IF($B46="","",IF(BT46&lt;2.5,"Explorador",IF(BT46&lt;3.75,"Integrador","Innovador")))</f>
        <v/>
      </c>
      <c r="CB46" s="11" t="str">
        <f aca="false">IF($B46="","",IF(BU46&lt;2.5,"Explorador",IF(BU46&lt;3.75,"Integrador","Innovador")))</f>
        <v/>
      </c>
      <c r="CC46" s="11" t="str">
        <f aca="false">IF($B46="","",IF(BV46&lt;2.5,"Explorador",IF(BV46&lt;3.75,"Integrador","Innovador")))</f>
        <v/>
      </c>
      <c r="CD46" s="11" t="str">
        <f aca="false">IF($B46="","",IF(BW46&lt;2.5,"Explorador",IF(BW46&lt;3.75,"Integrador","Innovador")))</f>
        <v/>
      </c>
      <c r="CE46" s="11" t="str">
        <f aca="false">IF($B46="","",IF(BX46&lt;2.5,"Explorador",IF(BX46&lt;3.75,"Integrador","Innovador")))</f>
        <v/>
      </c>
      <c r="CF46" s="11" t="str">
        <f aca="false">IF($B46="","",IF(BY46&lt;2.5,"Explorador",IF(BY46&lt;3.75,"Integrador","Innovador")))</f>
        <v/>
      </c>
      <c r="CG46" s="13" t="str">
        <f aca="false">IF($B46="","",BB46/9)</f>
        <v/>
      </c>
      <c r="CH46" s="11" t="str">
        <f aca="false">IF($B46="","",IF(CG46&lt;0.4,"Bajo",IF(CG46&lt;0.7,"Medio","Alto")))</f>
        <v/>
      </c>
      <c r="CI46" s="13" t="str">
        <f aca="false">IF($B46="","",((AVERAGE(BU46,BW46,BY46))-1)/4)</f>
        <v/>
      </c>
      <c r="CJ46" s="11" t="str">
        <f aca="false">IF($B46="","",IF(CG46-CI46&gt;0.25,"Subvalora",IF(CI46-CG46&gt;0.25,"Sobreconfía","Consistente")))</f>
        <v/>
      </c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 t="str">
        <f aca="false">IF($B47="","",6-L47)</f>
        <v/>
      </c>
      <c r="BM47" s="11" t="str">
        <f aca="false">IF($B47="","",6-O47)</f>
        <v/>
      </c>
      <c r="BN47" s="11" t="str">
        <f aca="false">IF($B47="","",J47+K47+BL47+M47+N47+BM47+P47+Q47+R47)</f>
        <v/>
      </c>
      <c r="BO47" s="11" t="str">
        <f aca="false">IF($B47="","",SUM(S47:W47))</f>
        <v/>
      </c>
      <c r="BP47" s="11" t="str">
        <f aca="false">IF($B47="","",SUM(Y47:AC47))</f>
        <v/>
      </c>
      <c r="BQ47" s="11" t="str">
        <f aca="false">IF($B47="","",SUM(AE47:AK47))</f>
        <v/>
      </c>
      <c r="BR47" s="11" t="str">
        <f aca="false">IF($B47="","",SUM(AL47:AR47))</f>
        <v/>
      </c>
      <c r="BS47" s="11" t="str">
        <f aca="false">IF($B47="","",SUM(AS47:AY47))</f>
        <v/>
      </c>
      <c r="BT47" s="12" t="str">
        <f aca="false">IF($B47="","",BN47/9)</f>
        <v/>
      </c>
      <c r="BU47" s="12" t="str">
        <f aca="false">IF($B47="","",BO47/5)</f>
        <v/>
      </c>
      <c r="BV47" s="12" t="str">
        <f aca="false">IF($B47="","",BP47/5)</f>
        <v/>
      </c>
      <c r="BW47" s="12" t="str">
        <f aca="false">IF($B47="","",BQ47/7)</f>
        <v/>
      </c>
      <c r="BX47" s="12" t="str">
        <f aca="false">IF($B47="","",BR47/7)</f>
        <v/>
      </c>
      <c r="BY47" s="12" t="str">
        <f aca="false">IF($B47="","",BS47/7)</f>
        <v/>
      </c>
      <c r="BZ47" s="11" t="str">
        <f aca="false">IF($B47="","",AZ47)</f>
        <v/>
      </c>
      <c r="CA47" s="11" t="str">
        <f aca="false">IF($B47="","",IF(BT47&lt;2.5,"Explorador",IF(BT47&lt;3.75,"Integrador","Innovador")))</f>
        <v/>
      </c>
      <c r="CB47" s="11" t="str">
        <f aca="false">IF($B47="","",IF(BU47&lt;2.5,"Explorador",IF(BU47&lt;3.75,"Integrador","Innovador")))</f>
        <v/>
      </c>
      <c r="CC47" s="11" t="str">
        <f aca="false">IF($B47="","",IF(BV47&lt;2.5,"Explorador",IF(BV47&lt;3.75,"Integrador","Innovador")))</f>
        <v/>
      </c>
      <c r="CD47" s="11" t="str">
        <f aca="false">IF($B47="","",IF(BW47&lt;2.5,"Explorador",IF(BW47&lt;3.75,"Integrador","Innovador")))</f>
        <v/>
      </c>
      <c r="CE47" s="11" t="str">
        <f aca="false">IF($B47="","",IF(BX47&lt;2.5,"Explorador",IF(BX47&lt;3.75,"Integrador","Innovador")))</f>
        <v/>
      </c>
      <c r="CF47" s="11" t="str">
        <f aca="false">IF($B47="","",IF(BY47&lt;2.5,"Explorador",IF(BY47&lt;3.75,"Integrador","Innovador")))</f>
        <v/>
      </c>
      <c r="CG47" s="13" t="str">
        <f aca="false">IF($B47="","",BB47/9)</f>
        <v/>
      </c>
      <c r="CH47" s="11" t="str">
        <f aca="false">IF($B47="","",IF(CG47&lt;0.4,"Bajo",IF(CG47&lt;0.7,"Medio","Alto")))</f>
        <v/>
      </c>
      <c r="CI47" s="13" t="str">
        <f aca="false">IF($B47="","",((AVERAGE(BU47,BW47,BY47))-1)/4)</f>
        <v/>
      </c>
      <c r="CJ47" s="11" t="str">
        <f aca="false">IF($B47="","",IF(CG47-CI47&gt;0.25,"Subvalora",IF(CI47-CG47&gt;0.25,"Sobreconfía","Consistente")))</f>
        <v/>
      </c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 t="str">
        <f aca="false">IF($B48="","",6-L48)</f>
        <v/>
      </c>
      <c r="BM48" s="11" t="str">
        <f aca="false">IF($B48="","",6-O48)</f>
        <v/>
      </c>
      <c r="BN48" s="11" t="str">
        <f aca="false">IF($B48="","",J48+K48+BL48+M48+N48+BM48+P48+Q48+R48)</f>
        <v/>
      </c>
      <c r="BO48" s="11" t="str">
        <f aca="false">IF($B48="","",SUM(S48:W48))</f>
        <v/>
      </c>
      <c r="BP48" s="11" t="str">
        <f aca="false">IF($B48="","",SUM(Y48:AC48))</f>
        <v/>
      </c>
      <c r="BQ48" s="11" t="str">
        <f aca="false">IF($B48="","",SUM(AE48:AK48))</f>
        <v/>
      </c>
      <c r="BR48" s="11" t="str">
        <f aca="false">IF($B48="","",SUM(AL48:AR48))</f>
        <v/>
      </c>
      <c r="BS48" s="11" t="str">
        <f aca="false">IF($B48="","",SUM(AS48:AY48))</f>
        <v/>
      </c>
      <c r="BT48" s="12" t="str">
        <f aca="false">IF($B48="","",BN48/9)</f>
        <v/>
      </c>
      <c r="BU48" s="12" t="str">
        <f aca="false">IF($B48="","",BO48/5)</f>
        <v/>
      </c>
      <c r="BV48" s="12" t="str">
        <f aca="false">IF($B48="","",BP48/5)</f>
        <v/>
      </c>
      <c r="BW48" s="12" t="str">
        <f aca="false">IF($B48="","",BQ48/7)</f>
        <v/>
      </c>
      <c r="BX48" s="12" t="str">
        <f aca="false">IF($B48="","",BR48/7)</f>
        <v/>
      </c>
      <c r="BY48" s="12" t="str">
        <f aca="false">IF($B48="","",BS48/7)</f>
        <v/>
      </c>
      <c r="BZ48" s="11" t="str">
        <f aca="false">IF($B48="","",AZ48)</f>
        <v/>
      </c>
      <c r="CA48" s="11" t="str">
        <f aca="false">IF($B48="","",IF(BT48&lt;2.5,"Explorador",IF(BT48&lt;3.75,"Integrador","Innovador")))</f>
        <v/>
      </c>
      <c r="CB48" s="11" t="str">
        <f aca="false">IF($B48="","",IF(BU48&lt;2.5,"Explorador",IF(BU48&lt;3.75,"Integrador","Innovador")))</f>
        <v/>
      </c>
      <c r="CC48" s="11" t="str">
        <f aca="false">IF($B48="","",IF(BV48&lt;2.5,"Explorador",IF(BV48&lt;3.75,"Integrador","Innovador")))</f>
        <v/>
      </c>
      <c r="CD48" s="11" t="str">
        <f aca="false">IF($B48="","",IF(BW48&lt;2.5,"Explorador",IF(BW48&lt;3.75,"Integrador","Innovador")))</f>
        <v/>
      </c>
      <c r="CE48" s="11" t="str">
        <f aca="false">IF($B48="","",IF(BX48&lt;2.5,"Explorador",IF(BX48&lt;3.75,"Integrador","Innovador")))</f>
        <v/>
      </c>
      <c r="CF48" s="11" t="str">
        <f aca="false">IF($B48="","",IF(BY48&lt;2.5,"Explorador",IF(BY48&lt;3.75,"Integrador","Innovador")))</f>
        <v/>
      </c>
      <c r="CG48" s="13" t="str">
        <f aca="false">IF($B48="","",BB48/9)</f>
        <v/>
      </c>
      <c r="CH48" s="11" t="str">
        <f aca="false">IF($B48="","",IF(CG48&lt;0.4,"Bajo",IF(CG48&lt;0.7,"Medio","Alto")))</f>
        <v/>
      </c>
      <c r="CI48" s="13" t="str">
        <f aca="false">IF($B48="","",((AVERAGE(BU48,BW48,BY48))-1)/4)</f>
        <v/>
      </c>
      <c r="CJ48" s="11" t="str">
        <f aca="false">IF($B48="","",IF(CG48-CI48&gt;0.25,"Subvalora",IF(CI48-CG48&gt;0.25,"Sobreconfía","Consistente")))</f>
        <v/>
      </c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 t="str">
        <f aca="false">IF($B49="","",6-L49)</f>
        <v/>
      </c>
      <c r="BM49" s="11" t="str">
        <f aca="false">IF($B49="","",6-O49)</f>
        <v/>
      </c>
      <c r="BN49" s="11" t="str">
        <f aca="false">IF($B49="","",J49+K49+BL49+M49+N49+BM49+P49+Q49+R49)</f>
        <v/>
      </c>
      <c r="BO49" s="11" t="str">
        <f aca="false">IF($B49="","",SUM(S49:W49))</f>
        <v/>
      </c>
      <c r="BP49" s="11" t="str">
        <f aca="false">IF($B49="","",SUM(Y49:AC49))</f>
        <v/>
      </c>
      <c r="BQ49" s="11" t="str">
        <f aca="false">IF($B49="","",SUM(AE49:AK49))</f>
        <v/>
      </c>
      <c r="BR49" s="11" t="str">
        <f aca="false">IF($B49="","",SUM(AL49:AR49))</f>
        <v/>
      </c>
      <c r="BS49" s="11" t="str">
        <f aca="false">IF($B49="","",SUM(AS49:AY49))</f>
        <v/>
      </c>
      <c r="BT49" s="12" t="str">
        <f aca="false">IF($B49="","",BN49/9)</f>
        <v/>
      </c>
      <c r="BU49" s="12" t="str">
        <f aca="false">IF($B49="","",BO49/5)</f>
        <v/>
      </c>
      <c r="BV49" s="12" t="str">
        <f aca="false">IF($B49="","",BP49/5)</f>
        <v/>
      </c>
      <c r="BW49" s="12" t="str">
        <f aca="false">IF($B49="","",BQ49/7)</f>
        <v/>
      </c>
      <c r="BX49" s="12" t="str">
        <f aca="false">IF($B49="","",BR49/7)</f>
        <v/>
      </c>
      <c r="BY49" s="12" t="str">
        <f aca="false">IF($B49="","",BS49/7)</f>
        <v/>
      </c>
      <c r="BZ49" s="11" t="str">
        <f aca="false">IF($B49="","",AZ49)</f>
        <v/>
      </c>
      <c r="CA49" s="11" t="str">
        <f aca="false">IF($B49="","",IF(BT49&lt;2.5,"Explorador",IF(BT49&lt;3.75,"Integrador","Innovador")))</f>
        <v/>
      </c>
      <c r="CB49" s="11" t="str">
        <f aca="false">IF($B49="","",IF(BU49&lt;2.5,"Explorador",IF(BU49&lt;3.75,"Integrador","Innovador")))</f>
        <v/>
      </c>
      <c r="CC49" s="11" t="str">
        <f aca="false">IF($B49="","",IF(BV49&lt;2.5,"Explorador",IF(BV49&lt;3.75,"Integrador","Innovador")))</f>
        <v/>
      </c>
      <c r="CD49" s="11" t="str">
        <f aca="false">IF($B49="","",IF(BW49&lt;2.5,"Explorador",IF(BW49&lt;3.75,"Integrador","Innovador")))</f>
        <v/>
      </c>
      <c r="CE49" s="11" t="str">
        <f aca="false">IF($B49="","",IF(BX49&lt;2.5,"Explorador",IF(BX49&lt;3.75,"Integrador","Innovador")))</f>
        <v/>
      </c>
      <c r="CF49" s="11" t="str">
        <f aca="false">IF($B49="","",IF(BY49&lt;2.5,"Explorador",IF(BY49&lt;3.75,"Integrador","Innovador")))</f>
        <v/>
      </c>
      <c r="CG49" s="13" t="str">
        <f aca="false">IF($B49="","",BB49/9)</f>
        <v/>
      </c>
      <c r="CH49" s="11" t="str">
        <f aca="false">IF($B49="","",IF(CG49&lt;0.4,"Bajo",IF(CG49&lt;0.7,"Medio","Alto")))</f>
        <v/>
      </c>
      <c r="CI49" s="13" t="str">
        <f aca="false">IF($B49="","",((AVERAGE(BU49,BW49,BY49))-1)/4)</f>
        <v/>
      </c>
      <c r="CJ49" s="11" t="str">
        <f aca="false">IF($B49="","",IF(CG49-CI49&gt;0.25,"Subvalora",IF(CI49-CG49&gt;0.25,"Sobreconfía","Consistente")))</f>
        <v/>
      </c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 t="str">
        <f aca="false">IF($B50="","",6-L50)</f>
        <v/>
      </c>
      <c r="BM50" s="11" t="str">
        <f aca="false">IF($B50="","",6-O50)</f>
        <v/>
      </c>
      <c r="BN50" s="11" t="str">
        <f aca="false">IF($B50="","",J50+K50+BL50+M50+N50+BM50+P50+Q50+R50)</f>
        <v/>
      </c>
      <c r="BO50" s="11" t="str">
        <f aca="false">IF($B50="","",SUM(S50:W50))</f>
        <v/>
      </c>
      <c r="BP50" s="11" t="str">
        <f aca="false">IF($B50="","",SUM(Y50:AC50))</f>
        <v/>
      </c>
      <c r="BQ50" s="11" t="str">
        <f aca="false">IF($B50="","",SUM(AE50:AK50))</f>
        <v/>
      </c>
      <c r="BR50" s="11" t="str">
        <f aca="false">IF($B50="","",SUM(AL50:AR50))</f>
        <v/>
      </c>
      <c r="BS50" s="11" t="str">
        <f aca="false">IF($B50="","",SUM(AS50:AY50))</f>
        <v/>
      </c>
      <c r="BT50" s="12" t="str">
        <f aca="false">IF($B50="","",BN50/9)</f>
        <v/>
      </c>
      <c r="BU50" s="12" t="str">
        <f aca="false">IF($B50="","",BO50/5)</f>
        <v/>
      </c>
      <c r="BV50" s="12" t="str">
        <f aca="false">IF($B50="","",BP50/5)</f>
        <v/>
      </c>
      <c r="BW50" s="12" t="str">
        <f aca="false">IF($B50="","",BQ50/7)</f>
        <v/>
      </c>
      <c r="BX50" s="12" t="str">
        <f aca="false">IF($B50="","",BR50/7)</f>
        <v/>
      </c>
      <c r="BY50" s="12" t="str">
        <f aca="false">IF($B50="","",BS50/7)</f>
        <v/>
      </c>
      <c r="BZ50" s="11" t="str">
        <f aca="false">IF($B50="","",AZ50)</f>
        <v/>
      </c>
      <c r="CA50" s="11" t="str">
        <f aca="false">IF($B50="","",IF(BT50&lt;2.5,"Explorador",IF(BT50&lt;3.75,"Integrador","Innovador")))</f>
        <v/>
      </c>
      <c r="CB50" s="11" t="str">
        <f aca="false">IF($B50="","",IF(BU50&lt;2.5,"Explorador",IF(BU50&lt;3.75,"Integrador","Innovador")))</f>
        <v/>
      </c>
      <c r="CC50" s="11" t="str">
        <f aca="false">IF($B50="","",IF(BV50&lt;2.5,"Explorador",IF(BV50&lt;3.75,"Integrador","Innovador")))</f>
        <v/>
      </c>
      <c r="CD50" s="11" t="str">
        <f aca="false">IF($B50="","",IF(BW50&lt;2.5,"Explorador",IF(BW50&lt;3.75,"Integrador","Innovador")))</f>
        <v/>
      </c>
      <c r="CE50" s="11" t="str">
        <f aca="false">IF($B50="","",IF(BX50&lt;2.5,"Explorador",IF(BX50&lt;3.75,"Integrador","Innovador")))</f>
        <v/>
      </c>
      <c r="CF50" s="11" t="str">
        <f aca="false">IF($B50="","",IF(BY50&lt;2.5,"Explorador",IF(BY50&lt;3.75,"Integrador","Innovador")))</f>
        <v/>
      </c>
      <c r="CG50" s="13" t="str">
        <f aca="false">IF($B50="","",BB50/9)</f>
        <v/>
      </c>
      <c r="CH50" s="11" t="str">
        <f aca="false">IF($B50="","",IF(CG50&lt;0.4,"Bajo",IF(CG50&lt;0.7,"Medio","Alto")))</f>
        <v/>
      </c>
      <c r="CI50" s="13" t="str">
        <f aca="false">IF($B50="","",((AVERAGE(BU50,BW50,BY50))-1)/4)</f>
        <v/>
      </c>
      <c r="CJ50" s="11" t="str">
        <f aca="false">IF($B50="","",IF(CG50-CI50&gt;0.25,"Subvalora",IF(CI50-CG50&gt;0.25,"Sobreconfía","Consistente")))</f>
        <v/>
      </c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 t="str">
        <f aca="false">IF($B51="","",6-L51)</f>
        <v/>
      </c>
      <c r="BM51" s="11" t="str">
        <f aca="false">IF($B51="","",6-O51)</f>
        <v/>
      </c>
      <c r="BN51" s="11" t="str">
        <f aca="false">IF($B51="","",J51+K51+BL51+M51+N51+BM51+P51+Q51+R51)</f>
        <v/>
      </c>
      <c r="BO51" s="11" t="str">
        <f aca="false">IF($B51="","",SUM(S51:W51))</f>
        <v/>
      </c>
      <c r="BP51" s="11" t="str">
        <f aca="false">IF($B51="","",SUM(Y51:AC51))</f>
        <v/>
      </c>
      <c r="BQ51" s="11" t="str">
        <f aca="false">IF($B51="","",SUM(AE51:AK51))</f>
        <v/>
      </c>
      <c r="BR51" s="11" t="str">
        <f aca="false">IF($B51="","",SUM(AL51:AR51))</f>
        <v/>
      </c>
      <c r="BS51" s="11" t="str">
        <f aca="false">IF($B51="","",SUM(AS51:AY51))</f>
        <v/>
      </c>
      <c r="BT51" s="12" t="str">
        <f aca="false">IF($B51="","",BN51/9)</f>
        <v/>
      </c>
      <c r="BU51" s="12" t="str">
        <f aca="false">IF($B51="","",BO51/5)</f>
        <v/>
      </c>
      <c r="BV51" s="12" t="str">
        <f aca="false">IF($B51="","",BP51/5)</f>
        <v/>
      </c>
      <c r="BW51" s="12" t="str">
        <f aca="false">IF($B51="","",BQ51/7)</f>
        <v/>
      </c>
      <c r="BX51" s="12" t="str">
        <f aca="false">IF($B51="","",BR51/7)</f>
        <v/>
      </c>
      <c r="BY51" s="12" t="str">
        <f aca="false">IF($B51="","",BS51/7)</f>
        <v/>
      </c>
      <c r="BZ51" s="11" t="str">
        <f aca="false">IF($B51="","",AZ51)</f>
        <v/>
      </c>
      <c r="CA51" s="11" t="str">
        <f aca="false">IF($B51="","",IF(BT51&lt;2.5,"Explorador",IF(BT51&lt;3.75,"Integrador","Innovador")))</f>
        <v/>
      </c>
      <c r="CB51" s="11" t="str">
        <f aca="false">IF($B51="","",IF(BU51&lt;2.5,"Explorador",IF(BU51&lt;3.75,"Integrador","Innovador")))</f>
        <v/>
      </c>
      <c r="CC51" s="11" t="str">
        <f aca="false">IF($B51="","",IF(BV51&lt;2.5,"Explorador",IF(BV51&lt;3.75,"Integrador","Innovador")))</f>
        <v/>
      </c>
      <c r="CD51" s="11" t="str">
        <f aca="false">IF($B51="","",IF(BW51&lt;2.5,"Explorador",IF(BW51&lt;3.75,"Integrador","Innovador")))</f>
        <v/>
      </c>
      <c r="CE51" s="11" t="str">
        <f aca="false">IF($B51="","",IF(BX51&lt;2.5,"Explorador",IF(BX51&lt;3.75,"Integrador","Innovador")))</f>
        <v/>
      </c>
      <c r="CF51" s="11" t="str">
        <f aca="false">IF($B51="","",IF(BY51&lt;2.5,"Explorador",IF(BY51&lt;3.75,"Integrador","Innovador")))</f>
        <v/>
      </c>
      <c r="CG51" s="13" t="str">
        <f aca="false">IF($B51="","",BB51/9)</f>
        <v/>
      </c>
      <c r="CH51" s="11" t="str">
        <f aca="false">IF($B51="","",IF(CG51&lt;0.4,"Bajo",IF(CG51&lt;0.7,"Medio","Alto")))</f>
        <v/>
      </c>
      <c r="CI51" s="13" t="str">
        <f aca="false">IF($B51="","",((AVERAGE(BU51,BW51,BY51))-1)/4)</f>
        <v/>
      </c>
      <c r="CJ51" s="11" t="str">
        <f aca="false">IF($B51="","",IF(CG51-CI51&gt;0.25,"Subvalora",IF(CI51-CG51&gt;0.25,"Sobreconfía","Consistente")))</f>
        <v/>
      </c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 t="str">
        <f aca="false">IF($B52="","",6-L52)</f>
        <v/>
      </c>
      <c r="BM52" s="11" t="str">
        <f aca="false">IF($B52="","",6-O52)</f>
        <v/>
      </c>
      <c r="BN52" s="11" t="str">
        <f aca="false">IF($B52="","",J52+K52+BL52+M52+N52+BM52+P52+Q52+R52)</f>
        <v/>
      </c>
      <c r="BO52" s="11" t="str">
        <f aca="false">IF($B52="","",SUM(S52:W52))</f>
        <v/>
      </c>
      <c r="BP52" s="11" t="str">
        <f aca="false">IF($B52="","",SUM(Y52:AC52))</f>
        <v/>
      </c>
      <c r="BQ52" s="11" t="str">
        <f aca="false">IF($B52="","",SUM(AE52:AK52))</f>
        <v/>
      </c>
      <c r="BR52" s="11" t="str">
        <f aca="false">IF($B52="","",SUM(AL52:AR52))</f>
        <v/>
      </c>
      <c r="BS52" s="11" t="str">
        <f aca="false">IF($B52="","",SUM(AS52:AY52))</f>
        <v/>
      </c>
      <c r="BT52" s="12" t="str">
        <f aca="false">IF($B52="","",BN52/9)</f>
        <v/>
      </c>
      <c r="BU52" s="12" t="str">
        <f aca="false">IF($B52="","",BO52/5)</f>
        <v/>
      </c>
      <c r="BV52" s="12" t="str">
        <f aca="false">IF($B52="","",BP52/5)</f>
        <v/>
      </c>
      <c r="BW52" s="12" t="str">
        <f aca="false">IF($B52="","",BQ52/7)</f>
        <v/>
      </c>
      <c r="BX52" s="12" t="str">
        <f aca="false">IF($B52="","",BR52/7)</f>
        <v/>
      </c>
      <c r="BY52" s="12" t="str">
        <f aca="false">IF($B52="","",BS52/7)</f>
        <v/>
      </c>
      <c r="BZ52" s="11" t="str">
        <f aca="false">IF($B52="","",AZ52)</f>
        <v/>
      </c>
      <c r="CA52" s="11" t="str">
        <f aca="false">IF($B52="","",IF(BT52&lt;2.5,"Explorador",IF(BT52&lt;3.75,"Integrador","Innovador")))</f>
        <v/>
      </c>
      <c r="CB52" s="11" t="str">
        <f aca="false">IF($B52="","",IF(BU52&lt;2.5,"Explorador",IF(BU52&lt;3.75,"Integrador","Innovador")))</f>
        <v/>
      </c>
      <c r="CC52" s="11" t="str">
        <f aca="false">IF($B52="","",IF(BV52&lt;2.5,"Explorador",IF(BV52&lt;3.75,"Integrador","Innovador")))</f>
        <v/>
      </c>
      <c r="CD52" s="11" t="str">
        <f aca="false">IF($B52="","",IF(BW52&lt;2.5,"Explorador",IF(BW52&lt;3.75,"Integrador","Innovador")))</f>
        <v/>
      </c>
      <c r="CE52" s="11" t="str">
        <f aca="false">IF($B52="","",IF(BX52&lt;2.5,"Explorador",IF(BX52&lt;3.75,"Integrador","Innovador")))</f>
        <v/>
      </c>
      <c r="CF52" s="11" t="str">
        <f aca="false">IF($B52="","",IF(BY52&lt;2.5,"Explorador",IF(BY52&lt;3.75,"Integrador","Innovador")))</f>
        <v/>
      </c>
      <c r="CG52" s="13" t="str">
        <f aca="false">IF($B52="","",BB52/9)</f>
        <v/>
      </c>
      <c r="CH52" s="11" t="str">
        <f aca="false">IF($B52="","",IF(CG52&lt;0.4,"Bajo",IF(CG52&lt;0.7,"Medio","Alto")))</f>
        <v/>
      </c>
      <c r="CI52" s="13" t="str">
        <f aca="false">IF($B52="","",((AVERAGE(BU52,BW52,BY52))-1)/4)</f>
        <v/>
      </c>
      <c r="CJ52" s="11" t="str">
        <f aca="false">IF($B52="","",IF(CG52-CI52&gt;0.25,"Subvalora",IF(CI52-CG52&gt;0.25,"Sobreconfía","Consistente")))</f>
        <v/>
      </c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 t="str">
        <f aca="false">IF($B53="","",6-L53)</f>
        <v/>
      </c>
      <c r="BM53" s="11" t="str">
        <f aca="false">IF($B53="","",6-O53)</f>
        <v/>
      </c>
      <c r="BN53" s="11" t="str">
        <f aca="false">IF($B53="","",J53+K53+BL53+M53+N53+BM53+P53+Q53+R53)</f>
        <v/>
      </c>
      <c r="BO53" s="11" t="str">
        <f aca="false">IF($B53="","",SUM(S53:W53))</f>
        <v/>
      </c>
      <c r="BP53" s="11" t="str">
        <f aca="false">IF($B53="","",SUM(Y53:AC53))</f>
        <v/>
      </c>
      <c r="BQ53" s="11" t="str">
        <f aca="false">IF($B53="","",SUM(AE53:AK53))</f>
        <v/>
      </c>
      <c r="BR53" s="11" t="str">
        <f aca="false">IF($B53="","",SUM(AL53:AR53))</f>
        <v/>
      </c>
      <c r="BS53" s="11" t="str">
        <f aca="false">IF($B53="","",SUM(AS53:AY53))</f>
        <v/>
      </c>
      <c r="BT53" s="12" t="str">
        <f aca="false">IF($B53="","",BN53/9)</f>
        <v/>
      </c>
      <c r="BU53" s="12" t="str">
        <f aca="false">IF($B53="","",BO53/5)</f>
        <v/>
      </c>
      <c r="BV53" s="12" t="str">
        <f aca="false">IF($B53="","",BP53/5)</f>
        <v/>
      </c>
      <c r="BW53" s="12" t="str">
        <f aca="false">IF($B53="","",BQ53/7)</f>
        <v/>
      </c>
      <c r="BX53" s="12" t="str">
        <f aca="false">IF($B53="","",BR53/7)</f>
        <v/>
      </c>
      <c r="BY53" s="12" t="str">
        <f aca="false">IF($B53="","",BS53/7)</f>
        <v/>
      </c>
      <c r="BZ53" s="11" t="str">
        <f aca="false">IF($B53="","",AZ53)</f>
        <v/>
      </c>
      <c r="CA53" s="11" t="str">
        <f aca="false">IF($B53="","",IF(BT53&lt;2.5,"Explorador",IF(BT53&lt;3.75,"Integrador","Innovador")))</f>
        <v/>
      </c>
      <c r="CB53" s="11" t="str">
        <f aca="false">IF($B53="","",IF(BU53&lt;2.5,"Explorador",IF(BU53&lt;3.75,"Integrador","Innovador")))</f>
        <v/>
      </c>
      <c r="CC53" s="11" t="str">
        <f aca="false">IF($B53="","",IF(BV53&lt;2.5,"Explorador",IF(BV53&lt;3.75,"Integrador","Innovador")))</f>
        <v/>
      </c>
      <c r="CD53" s="11" t="str">
        <f aca="false">IF($B53="","",IF(BW53&lt;2.5,"Explorador",IF(BW53&lt;3.75,"Integrador","Innovador")))</f>
        <v/>
      </c>
      <c r="CE53" s="11" t="str">
        <f aca="false">IF($B53="","",IF(BX53&lt;2.5,"Explorador",IF(BX53&lt;3.75,"Integrador","Innovador")))</f>
        <v/>
      </c>
      <c r="CF53" s="11" t="str">
        <f aca="false">IF($B53="","",IF(BY53&lt;2.5,"Explorador",IF(BY53&lt;3.75,"Integrador","Innovador")))</f>
        <v/>
      </c>
      <c r="CG53" s="13" t="str">
        <f aca="false">IF($B53="","",BB53/9)</f>
        <v/>
      </c>
      <c r="CH53" s="11" t="str">
        <f aca="false">IF($B53="","",IF(CG53&lt;0.4,"Bajo",IF(CG53&lt;0.7,"Medio","Alto")))</f>
        <v/>
      </c>
      <c r="CI53" s="13" t="str">
        <f aca="false">IF($B53="","",((AVERAGE(BU53,BW53,BY53))-1)/4)</f>
        <v/>
      </c>
      <c r="CJ53" s="11" t="str">
        <f aca="false">IF($B53="","",IF(CG53-CI53&gt;0.25,"Subvalora",IF(CI53-CG53&gt;0.25,"Sobreconfía","Consistente")))</f>
        <v/>
      </c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 t="str">
        <f aca="false">IF($B54="","",6-L54)</f>
        <v/>
      </c>
      <c r="BM54" s="11" t="str">
        <f aca="false">IF($B54="","",6-O54)</f>
        <v/>
      </c>
      <c r="BN54" s="11" t="str">
        <f aca="false">IF($B54="","",J54+K54+BL54+M54+N54+BM54+P54+Q54+R54)</f>
        <v/>
      </c>
      <c r="BO54" s="11" t="str">
        <f aca="false">IF($B54="","",SUM(S54:W54))</f>
        <v/>
      </c>
      <c r="BP54" s="11" t="str">
        <f aca="false">IF($B54="","",SUM(Y54:AC54))</f>
        <v/>
      </c>
      <c r="BQ54" s="11" t="str">
        <f aca="false">IF($B54="","",SUM(AE54:AK54))</f>
        <v/>
      </c>
      <c r="BR54" s="11" t="str">
        <f aca="false">IF($B54="","",SUM(AL54:AR54))</f>
        <v/>
      </c>
      <c r="BS54" s="11" t="str">
        <f aca="false">IF($B54="","",SUM(AS54:AY54))</f>
        <v/>
      </c>
      <c r="BT54" s="12" t="str">
        <f aca="false">IF($B54="","",BN54/9)</f>
        <v/>
      </c>
      <c r="BU54" s="12" t="str">
        <f aca="false">IF($B54="","",BO54/5)</f>
        <v/>
      </c>
      <c r="BV54" s="12" t="str">
        <f aca="false">IF($B54="","",BP54/5)</f>
        <v/>
      </c>
      <c r="BW54" s="12" t="str">
        <f aca="false">IF($B54="","",BQ54/7)</f>
        <v/>
      </c>
      <c r="BX54" s="12" t="str">
        <f aca="false">IF($B54="","",BR54/7)</f>
        <v/>
      </c>
      <c r="BY54" s="12" t="str">
        <f aca="false">IF($B54="","",BS54/7)</f>
        <v/>
      </c>
      <c r="BZ54" s="11" t="str">
        <f aca="false">IF($B54="","",AZ54)</f>
        <v/>
      </c>
      <c r="CA54" s="11" t="str">
        <f aca="false">IF($B54="","",IF(BT54&lt;2.5,"Explorador",IF(BT54&lt;3.75,"Integrador","Innovador")))</f>
        <v/>
      </c>
      <c r="CB54" s="11" t="str">
        <f aca="false">IF($B54="","",IF(BU54&lt;2.5,"Explorador",IF(BU54&lt;3.75,"Integrador","Innovador")))</f>
        <v/>
      </c>
      <c r="CC54" s="11" t="str">
        <f aca="false">IF($B54="","",IF(BV54&lt;2.5,"Explorador",IF(BV54&lt;3.75,"Integrador","Innovador")))</f>
        <v/>
      </c>
      <c r="CD54" s="11" t="str">
        <f aca="false">IF($B54="","",IF(BW54&lt;2.5,"Explorador",IF(BW54&lt;3.75,"Integrador","Innovador")))</f>
        <v/>
      </c>
      <c r="CE54" s="11" t="str">
        <f aca="false">IF($B54="","",IF(BX54&lt;2.5,"Explorador",IF(BX54&lt;3.75,"Integrador","Innovador")))</f>
        <v/>
      </c>
      <c r="CF54" s="11" t="str">
        <f aca="false">IF($B54="","",IF(BY54&lt;2.5,"Explorador",IF(BY54&lt;3.75,"Integrador","Innovador")))</f>
        <v/>
      </c>
      <c r="CG54" s="13" t="str">
        <f aca="false">IF($B54="","",BB54/9)</f>
        <v/>
      </c>
      <c r="CH54" s="11" t="str">
        <f aca="false">IF($B54="","",IF(CG54&lt;0.4,"Bajo",IF(CG54&lt;0.7,"Medio","Alto")))</f>
        <v/>
      </c>
      <c r="CI54" s="13" t="str">
        <f aca="false">IF($B54="","",((AVERAGE(BU54,BW54,BY54))-1)/4)</f>
        <v/>
      </c>
      <c r="CJ54" s="11" t="str">
        <f aca="false">IF($B54="","",IF(CG54-CI54&gt;0.25,"Subvalora",IF(CI54-CG54&gt;0.25,"Sobreconfía","Consistente")))</f>
        <v/>
      </c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 t="str">
        <f aca="false">IF($B55="","",6-L55)</f>
        <v/>
      </c>
      <c r="BM55" s="11" t="str">
        <f aca="false">IF($B55="","",6-O55)</f>
        <v/>
      </c>
      <c r="BN55" s="11" t="str">
        <f aca="false">IF($B55="","",J55+K55+BL55+M55+N55+BM55+P55+Q55+R55)</f>
        <v/>
      </c>
      <c r="BO55" s="11" t="str">
        <f aca="false">IF($B55="","",SUM(S55:W55))</f>
        <v/>
      </c>
      <c r="BP55" s="11" t="str">
        <f aca="false">IF($B55="","",SUM(Y55:AC55))</f>
        <v/>
      </c>
      <c r="BQ55" s="11" t="str">
        <f aca="false">IF($B55="","",SUM(AE55:AK55))</f>
        <v/>
      </c>
      <c r="BR55" s="11" t="str">
        <f aca="false">IF($B55="","",SUM(AL55:AR55))</f>
        <v/>
      </c>
      <c r="BS55" s="11" t="str">
        <f aca="false">IF($B55="","",SUM(AS55:AY55))</f>
        <v/>
      </c>
      <c r="BT55" s="12" t="str">
        <f aca="false">IF($B55="","",BN55/9)</f>
        <v/>
      </c>
      <c r="BU55" s="12" t="str">
        <f aca="false">IF($B55="","",BO55/5)</f>
        <v/>
      </c>
      <c r="BV55" s="12" t="str">
        <f aca="false">IF($B55="","",BP55/5)</f>
        <v/>
      </c>
      <c r="BW55" s="12" t="str">
        <f aca="false">IF($B55="","",BQ55/7)</f>
        <v/>
      </c>
      <c r="BX55" s="12" t="str">
        <f aca="false">IF($B55="","",BR55/7)</f>
        <v/>
      </c>
      <c r="BY55" s="12" t="str">
        <f aca="false">IF($B55="","",BS55/7)</f>
        <v/>
      </c>
      <c r="BZ55" s="11" t="str">
        <f aca="false">IF($B55="","",AZ55)</f>
        <v/>
      </c>
      <c r="CA55" s="11" t="str">
        <f aca="false">IF($B55="","",IF(BT55&lt;2.5,"Explorador",IF(BT55&lt;3.75,"Integrador","Innovador")))</f>
        <v/>
      </c>
      <c r="CB55" s="11" t="str">
        <f aca="false">IF($B55="","",IF(BU55&lt;2.5,"Explorador",IF(BU55&lt;3.75,"Integrador","Innovador")))</f>
        <v/>
      </c>
      <c r="CC55" s="11" t="str">
        <f aca="false">IF($B55="","",IF(BV55&lt;2.5,"Explorador",IF(BV55&lt;3.75,"Integrador","Innovador")))</f>
        <v/>
      </c>
      <c r="CD55" s="11" t="str">
        <f aca="false">IF($B55="","",IF(BW55&lt;2.5,"Explorador",IF(BW55&lt;3.75,"Integrador","Innovador")))</f>
        <v/>
      </c>
      <c r="CE55" s="11" t="str">
        <f aca="false">IF($B55="","",IF(BX55&lt;2.5,"Explorador",IF(BX55&lt;3.75,"Integrador","Innovador")))</f>
        <v/>
      </c>
      <c r="CF55" s="11" t="str">
        <f aca="false">IF($B55="","",IF(BY55&lt;2.5,"Explorador",IF(BY55&lt;3.75,"Integrador","Innovador")))</f>
        <v/>
      </c>
      <c r="CG55" s="13" t="str">
        <f aca="false">IF($B55="","",BB55/9)</f>
        <v/>
      </c>
      <c r="CH55" s="11" t="str">
        <f aca="false">IF($B55="","",IF(CG55&lt;0.4,"Bajo",IF(CG55&lt;0.7,"Medio","Alto")))</f>
        <v/>
      </c>
      <c r="CI55" s="13" t="str">
        <f aca="false">IF($B55="","",((AVERAGE(BU55,BW55,BY55))-1)/4)</f>
        <v/>
      </c>
      <c r="CJ55" s="11" t="str">
        <f aca="false">IF($B55="","",IF(CG55-CI55&gt;0.25,"Subvalora",IF(CI55-CG55&gt;0.25,"Sobreconfía","Consistente")))</f>
        <v/>
      </c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 t="str">
        <f aca="false">IF($B56="","",6-L56)</f>
        <v/>
      </c>
      <c r="BM56" s="11" t="str">
        <f aca="false">IF($B56="","",6-O56)</f>
        <v/>
      </c>
      <c r="BN56" s="11" t="str">
        <f aca="false">IF($B56="","",J56+K56+BL56+M56+N56+BM56+P56+Q56+R56)</f>
        <v/>
      </c>
      <c r="BO56" s="11" t="str">
        <f aca="false">IF($B56="","",SUM(S56:W56))</f>
        <v/>
      </c>
      <c r="BP56" s="11" t="str">
        <f aca="false">IF($B56="","",SUM(Y56:AC56))</f>
        <v/>
      </c>
      <c r="BQ56" s="11" t="str">
        <f aca="false">IF($B56="","",SUM(AE56:AK56))</f>
        <v/>
      </c>
      <c r="BR56" s="11" t="str">
        <f aca="false">IF($B56="","",SUM(AL56:AR56))</f>
        <v/>
      </c>
      <c r="BS56" s="11" t="str">
        <f aca="false">IF($B56="","",SUM(AS56:AY56))</f>
        <v/>
      </c>
      <c r="BT56" s="12" t="str">
        <f aca="false">IF($B56="","",BN56/9)</f>
        <v/>
      </c>
      <c r="BU56" s="12" t="str">
        <f aca="false">IF($B56="","",BO56/5)</f>
        <v/>
      </c>
      <c r="BV56" s="12" t="str">
        <f aca="false">IF($B56="","",BP56/5)</f>
        <v/>
      </c>
      <c r="BW56" s="12" t="str">
        <f aca="false">IF($B56="","",BQ56/7)</f>
        <v/>
      </c>
      <c r="BX56" s="12" t="str">
        <f aca="false">IF($B56="","",BR56/7)</f>
        <v/>
      </c>
      <c r="BY56" s="12" t="str">
        <f aca="false">IF($B56="","",BS56/7)</f>
        <v/>
      </c>
      <c r="BZ56" s="11" t="str">
        <f aca="false">IF($B56="","",AZ56)</f>
        <v/>
      </c>
      <c r="CA56" s="11" t="str">
        <f aca="false">IF($B56="","",IF(BT56&lt;2.5,"Explorador",IF(BT56&lt;3.75,"Integrador","Innovador")))</f>
        <v/>
      </c>
      <c r="CB56" s="11" t="str">
        <f aca="false">IF($B56="","",IF(BU56&lt;2.5,"Explorador",IF(BU56&lt;3.75,"Integrador","Innovador")))</f>
        <v/>
      </c>
      <c r="CC56" s="11" t="str">
        <f aca="false">IF($B56="","",IF(BV56&lt;2.5,"Explorador",IF(BV56&lt;3.75,"Integrador","Innovador")))</f>
        <v/>
      </c>
      <c r="CD56" s="11" t="str">
        <f aca="false">IF($B56="","",IF(BW56&lt;2.5,"Explorador",IF(BW56&lt;3.75,"Integrador","Innovador")))</f>
        <v/>
      </c>
      <c r="CE56" s="11" t="str">
        <f aca="false">IF($B56="","",IF(BX56&lt;2.5,"Explorador",IF(BX56&lt;3.75,"Integrador","Innovador")))</f>
        <v/>
      </c>
      <c r="CF56" s="11" t="str">
        <f aca="false">IF($B56="","",IF(BY56&lt;2.5,"Explorador",IF(BY56&lt;3.75,"Integrador","Innovador")))</f>
        <v/>
      </c>
      <c r="CG56" s="13" t="str">
        <f aca="false">IF($B56="","",BB56/9)</f>
        <v/>
      </c>
      <c r="CH56" s="11" t="str">
        <f aca="false">IF($B56="","",IF(CG56&lt;0.4,"Bajo",IF(CG56&lt;0.7,"Medio","Alto")))</f>
        <v/>
      </c>
      <c r="CI56" s="13" t="str">
        <f aca="false">IF($B56="","",((AVERAGE(BU56,BW56,BY56))-1)/4)</f>
        <v/>
      </c>
      <c r="CJ56" s="11" t="str">
        <f aca="false">IF($B56="","",IF(CG56-CI56&gt;0.25,"Subvalora",IF(CI56-CG56&gt;0.25,"Sobreconfía","Consistente")))</f>
        <v/>
      </c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 t="str">
        <f aca="false">IF($B57="","",6-L57)</f>
        <v/>
      </c>
      <c r="BM57" s="11" t="str">
        <f aca="false">IF($B57="","",6-O57)</f>
        <v/>
      </c>
      <c r="BN57" s="11" t="str">
        <f aca="false">IF($B57="","",J57+K57+BL57+M57+N57+BM57+P57+Q57+R57)</f>
        <v/>
      </c>
      <c r="BO57" s="11" t="str">
        <f aca="false">IF($B57="","",SUM(S57:W57))</f>
        <v/>
      </c>
      <c r="BP57" s="11" t="str">
        <f aca="false">IF($B57="","",SUM(Y57:AC57))</f>
        <v/>
      </c>
      <c r="BQ57" s="11" t="str">
        <f aca="false">IF($B57="","",SUM(AE57:AK57))</f>
        <v/>
      </c>
      <c r="BR57" s="11" t="str">
        <f aca="false">IF($B57="","",SUM(AL57:AR57))</f>
        <v/>
      </c>
      <c r="BS57" s="11" t="str">
        <f aca="false">IF($B57="","",SUM(AS57:AY57))</f>
        <v/>
      </c>
      <c r="BT57" s="12" t="str">
        <f aca="false">IF($B57="","",BN57/9)</f>
        <v/>
      </c>
      <c r="BU57" s="12" t="str">
        <f aca="false">IF($B57="","",BO57/5)</f>
        <v/>
      </c>
      <c r="BV57" s="12" t="str">
        <f aca="false">IF($B57="","",BP57/5)</f>
        <v/>
      </c>
      <c r="BW57" s="12" t="str">
        <f aca="false">IF($B57="","",BQ57/7)</f>
        <v/>
      </c>
      <c r="BX57" s="12" t="str">
        <f aca="false">IF($B57="","",BR57/7)</f>
        <v/>
      </c>
      <c r="BY57" s="12" t="str">
        <f aca="false">IF($B57="","",BS57/7)</f>
        <v/>
      </c>
      <c r="BZ57" s="11" t="str">
        <f aca="false">IF($B57="","",AZ57)</f>
        <v/>
      </c>
      <c r="CA57" s="11" t="str">
        <f aca="false">IF($B57="","",IF(BT57&lt;2.5,"Explorador",IF(BT57&lt;3.75,"Integrador","Innovador")))</f>
        <v/>
      </c>
      <c r="CB57" s="11" t="str">
        <f aca="false">IF($B57="","",IF(BU57&lt;2.5,"Explorador",IF(BU57&lt;3.75,"Integrador","Innovador")))</f>
        <v/>
      </c>
      <c r="CC57" s="11" t="str">
        <f aca="false">IF($B57="","",IF(BV57&lt;2.5,"Explorador",IF(BV57&lt;3.75,"Integrador","Innovador")))</f>
        <v/>
      </c>
      <c r="CD57" s="11" t="str">
        <f aca="false">IF($B57="","",IF(BW57&lt;2.5,"Explorador",IF(BW57&lt;3.75,"Integrador","Innovador")))</f>
        <v/>
      </c>
      <c r="CE57" s="11" t="str">
        <f aca="false">IF($B57="","",IF(BX57&lt;2.5,"Explorador",IF(BX57&lt;3.75,"Integrador","Innovador")))</f>
        <v/>
      </c>
      <c r="CF57" s="11" t="str">
        <f aca="false">IF($B57="","",IF(BY57&lt;2.5,"Explorador",IF(BY57&lt;3.75,"Integrador","Innovador")))</f>
        <v/>
      </c>
      <c r="CG57" s="13" t="str">
        <f aca="false">IF($B57="","",BB57/9)</f>
        <v/>
      </c>
      <c r="CH57" s="11" t="str">
        <f aca="false">IF($B57="","",IF(CG57&lt;0.4,"Bajo",IF(CG57&lt;0.7,"Medio","Alto")))</f>
        <v/>
      </c>
      <c r="CI57" s="13" t="str">
        <f aca="false">IF($B57="","",((AVERAGE(BU57,BW57,BY57))-1)/4)</f>
        <v/>
      </c>
      <c r="CJ57" s="11" t="str">
        <f aca="false">IF($B57="","",IF(CG57-CI57&gt;0.25,"Subvalora",IF(CI57-CG57&gt;0.25,"Sobreconfía","Consistente")))</f>
        <v/>
      </c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 t="str">
        <f aca="false">IF($B58="","",6-L58)</f>
        <v/>
      </c>
      <c r="BM58" s="11" t="str">
        <f aca="false">IF($B58="","",6-O58)</f>
        <v/>
      </c>
      <c r="BN58" s="11" t="str">
        <f aca="false">IF($B58="","",J58+K58+BL58+M58+N58+BM58+P58+Q58+R58)</f>
        <v/>
      </c>
      <c r="BO58" s="11" t="str">
        <f aca="false">IF($B58="","",SUM(S58:W58))</f>
        <v/>
      </c>
      <c r="BP58" s="11" t="str">
        <f aca="false">IF($B58="","",SUM(Y58:AC58))</f>
        <v/>
      </c>
      <c r="BQ58" s="11" t="str">
        <f aca="false">IF($B58="","",SUM(AE58:AK58))</f>
        <v/>
      </c>
      <c r="BR58" s="11" t="str">
        <f aca="false">IF($B58="","",SUM(AL58:AR58))</f>
        <v/>
      </c>
      <c r="BS58" s="11" t="str">
        <f aca="false">IF($B58="","",SUM(AS58:AY58))</f>
        <v/>
      </c>
      <c r="BT58" s="12" t="str">
        <f aca="false">IF($B58="","",BN58/9)</f>
        <v/>
      </c>
      <c r="BU58" s="12" t="str">
        <f aca="false">IF($B58="","",BO58/5)</f>
        <v/>
      </c>
      <c r="BV58" s="12" t="str">
        <f aca="false">IF($B58="","",BP58/5)</f>
        <v/>
      </c>
      <c r="BW58" s="12" t="str">
        <f aca="false">IF($B58="","",BQ58/7)</f>
        <v/>
      </c>
      <c r="BX58" s="12" t="str">
        <f aca="false">IF($B58="","",BR58/7)</f>
        <v/>
      </c>
      <c r="BY58" s="12" t="str">
        <f aca="false">IF($B58="","",BS58/7)</f>
        <v/>
      </c>
      <c r="BZ58" s="11" t="str">
        <f aca="false">IF($B58="","",AZ58)</f>
        <v/>
      </c>
      <c r="CA58" s="11" t="str">
        <f aca="false">IF($B58="","",IF(BT58&lt;2.5,"Explorador",IF(BT58&lt;3.75,"Integrador","Innovador")))</f>
        <v/>
      </c>
      <c r="CB58" s="11" t="str">
        <f aca="false">IF($B58="","",IF(BU58&lt;2.5,"Explorador",IF(BU58&lt;3.75,"Integrador","Innovador")))</f>
        <v/>
      </c>
      <c r="CC58" s="11" t="str">
        <f aca="false">IF($B58="","",IF(BV58&lt;2.5,"Explorador",IF(BV58&lt;3.75,"Integrador","Innovador")))</f>
        <v/>
      </c>
      <c r="CD58" s="11" t="str">
        <f aca="false">IF($B58="","",IF(BW58&lt;2.5,"Explorador",IF(BW58&lt;3.75,"Integrador","Innovador")))</f>
        <v/>
      </c>
      <c r="CE58" s="11" t="str">
        <f aca="false">IF($B58="","",IF(BX58&lt;2.5,"Explorador",IF(BX58&lt;3.75,"Integrador","Innovador")))</f>
        <v/>
      </c>
      <c r="CF58" s="11" t="str">
        <f aca="false">IF($B58="","",IF(BY58&lt;2.5,"Explorador",IF(BY58&lt;3.75,"Integrador","Innovador")))</f>
        <v/>
      </c>
      <c r="CG58" s="13" t="str">
        <f aca="false">IF($B58="","",BB58/9)</f>
        <v/>
      </c>
      <c r="CH58" s="11" t="str">
        <f aca="false">IF($B58="","",IF(CG58&lt;0.4,"Bajo",IF(CG58&lt;0.7,"Medio","Alto")))</f>
        <v/>
      </c>
      <c r="CI58" s="13" t="str">
        <f aca="false">IF($B58="","",((AVERAGE(BU58,BW58,BY58))-1)/4)</f>
        <v/>
      </c>
      <c r="CJ58" s="11" t="str">
        <f aca="false">IF($B58="","",IF(CG58-CI58&gt;0.25,"Subvalora",IF(CI58-CG58&gt;0.25,"Sobreconfía","Consistente")))</f>
        <v/>
      </c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 t="str">
        <f aca="false">IF($B59="","",6-L59)</f>
        <v/>
      </c>
      <c r="BM59" s="11" t="str">
        <f aca="false">IF($B59="","",6-O59)</f>
        <v/>
      </c>
      <c r="BN59" s="11" t="str">
        <f aca="false">IF($B59="","",J59+K59+BL59+M59+N59+BM59+P59+Q59+R59)</f>
        <v/>
      </c>
      <c r="BO59" s="11" t="str">
        <f aca="false">IF($B59="","",SUM(S59:W59))</f>
        <v/>
      </c>
      <c r="BP59" s="11" t="str">
        <f aca="false">IF($B59="","",SUM(Y59:AC59))</f>
        <v/>
      </c>
      <c r="BQ59" s="11" t="str">
        <f aca="false">IF($B59="","",SUM(AE59:AK59))</f>
        <v/>
      </c>
      <c r="BR59" s="11" t="str">
        <f aca="false">IF($B59="","",SUM(AL59:AR59))</f>
        <v/>
      </c>
      <c r="BS59" s="11" t="str">
        <f aca="false">IF($B59="","",SUM(AS59:AY59))</f>
        <v/>
      </c>
      <c r="BT59" s="12" t="str">
        <f aca="false">IF($B59="","",BN59/9)</f>
        <v/>
      </c>
      <c r="BU59" s="12" t="str">
        <f aca="false">IF($B59="","",BO59/5)</f>
        <v/>
      </c>
      <c r="BV59" s="12" t="str">
        <f aca="false">IF($B59="","",BP59/5)</f>
        <v/>
      </c>
      <c r="BW59" s="12" t="str">
        <f aca="false">IF($B59="","",BQ59/7)</f>
        <v/>
      </c>
      <c r="BX59" s="12" t="str">
        <f aca="false">IF($B59="","",BR59/7)</f>
        <v/>
      </c>
      <c r="BY59" s="12" t="str">
        <f aca="false">IF($B59="","",BS59/7)</f>
        <v/>
      </c>
      <c r="BZ59" s="11" t="str">
        <f aca="false">IF($B59="","",AZ59)</f>
        <v/>
      </c>
      <c r="CA59" s="11" t="str">
        <f aca="false">IF($B59="","",IF(BT59&lt;2.5,"Explorador",IF(BT59&lt;3.75,"Integrador","Innovador")))</f>
        <v/>
      </c>
      <c r="CB59" s="11" t="str">
        <f aca="false">IF($B59="","",IF(BU59&lt;2.5,"Explorador",IF(BU59&lt;3.75,"Integrador","Innovador")))</f>
        <v/>
      </c>
      <c r="CC59" s="11" t="str">
        <f aca="false">IF($B59="","",IF(BV59&lt;2.5,"Explorador",IF(BV59&lt;3.75,"Integrador","Innovador")))</f>
        <v/>
      </c>
      <c r="CD59" s="11" t="str">
        <f aca="false">IF($B59="","",IF(BW59&lt;2.5,"Explorador",IF(BW59&lt;3.75,"Integrador","Innovador")))</f>
        <v/>
      </c>
      <c r="CE59" s="11" t="str">
        <f aca="false">IF($B59="","",IF(BX59&lt;2.5,"Explorador",IF(BX59&lt;3.75,"Integrador","Innovador")))</f>
        <v/>
      </c>
      <c r="CF59" s="11" t="str">
        <f aca="false">IF($B59="","",IF(BY59&lt;2.5,"Explorador",IF(BY59&lt;3.75,"Integrador","Innovador")))</f>
        <v/>
      </c>
      <c r="CG59" s="13" t="str">
        <f aca="false">IF($B59="","",BB59/9)</f>
        <v/>
      </c>
      <c r="CH59" s="11" t="str">
        <f aca="false">IF($B59="","",IF(CG59&lt;0.4,"Bajo",IF(CG59&lt;0.7,"Medio","Alto")))</f>
        <v/>
      </c>
      <c r="CI59" s="13" t="str">
        <f aca="false">IF($B59="","",((AVERAGE(BU59,BW59,BY59))-1)/4)</f>
        <v/>
      </c>
      <c r="CJ59" s="11" t="str">
        <f aca="false">IF($B59="","",IF(CG59-CI59&gt;0.25,"Subvalora",IF(CI59-CG59&gt;0.25,"Sobreconfía","Consistente")))</f>
        <v/>
      </c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 t="str">
        <f aca="false">IF($B60="","",6-L60)</f>
        <v/>
      </c>
      <c r="BM60" s="11" t="str">
        <f aca="false">IF($B60="","",6-O60)</f>
        <v/>
      </c>
      <c r="BN60" s="11" t="str">
        <f aca="false">IF($B60="","",J60+K60+BL60+M60+N60+BM60+P60+Q60+R60)</f>
        <v/>
      </c>
      <c r="BO60" s="11" t="str">
        <f aca="false">IF($B60="","",SUM(S60:W60))</f>
        <v/>
      </c>
      <c r="BP60" s="11" t="str">
        <f aca="false">IF($B60="","",SUM(Y60:AC60))</f>
        <v/>
      </c>
      <c r="BQ60" s="11" t="str">
        <f aca="false">IF($B60="","",SUM(AE60:AK60))</f>
        <v/>
      </c>
      <c r="BR60" s="11" t="str">
        <f aca="false">IF($B60="","",SUM(AL60:AR60))</f>
        <v/>
      </c>
      <c r="BS60" s="11" t="str">
        <f aca="false">IF($B60="","",SUM(AS60:AY60))</f>
        <v/>
      </c>
      <c r="BT60" s="12" t="str">
        <f aca="false">IF($B60="","",BN60/9)</f>
        <v/>
      </c>
      <c r="BU60" s="12" t="str">
        <f aca="false">IF($B60="","",BO60/5)</f>
        <v/>
      </c>
      <c r="BV60" s="12" t="str">
        <f aca="false">IF($B60="","",BP60/5)</f>
        <v/>
      </c>
      <c r="BW60" s="12" t="str">
        <f aca="false">IF($B60="","",BQ60/7)</f>
        <v/>
      </c>
      <c r="BX60" s="12" t="str">
        <f aca="false">IF($B60="","",BR60/7)</f>
        <v/>
      </c>
      <c r="BY60" s="12" t="str">
        <f aca="false">IF($B60="","",BS60/7)</f>
        <v/>
      </c>
      <c r="BZ60" s="11" t="str">
        <f aca="false">IF($B60="","",AZ60)</f>
        <v/>
      </c>
      <c r="CA60" s="11" t="str">
        <f aca="false">IF($B60="","",IF(BT60&lt;2.5,"Explorador",IF(BT60&lt;3.75,"Integrador","Innovador")))</f>
        <v/>
      </c>
      <c r="CB60" s="11" t="str">
        <f aca="false">IF($B60="","",IF(BU60&lt;2.5,"Explorador",IF(BU60&lt;3.75,"Integrador","Innovador")))</f>
        <v/>
      </c>
      <c r="CC60" s="11" t="str">
        <f aca="false">IF($B60="","",IF(BV60&lt;2.5,"Explorador",IF(BV60&lt;3.75,"Integrador","Innovador")))</f>
        <v/>
      </c>
      <c r="CD60" s="11" t="str">
        <f aca="false">IF($B60="","",IF(BW60&lt;2.5,"Explorador",IF(BW60&lt;3.75,"Integrador","Innovador")))</f>
        <v/>
      </c>
      <c r="CE60" s="11" t="str">
        <f aca="false">IF($B60="","",IF(BX60&lt;2.5,"Explorador",IF(BX60&lt;3.75,"Integrador","Innovador")))</f>
        <v/>
      </c>
      <c r="CF60" s="11" t="str">
        <f aca="false">IF($B60="","",IF(BY60&lt;2.5,"Explorador",IF(BY60&lt;3.75,"Integrador","Innovador")))</f>
        <v/>
      </c>
      <c r="CG60" s="13" t="str">
        <f aca="false">IF($B60="","",BB60/9)</f>
        <v/>
      </c>
      <c r="CH60" s="11" t="str">
        <f aca="false">IF($B60="","",IF(CG60&lt;0.4,"Bajo",IF(CG60&lt;0.7,"Medio","Alto")))</f>
        <v/>
      </c>
      <c r="CI60" s="13" t="str">
        <f aca="false">IF($B60="","",((AVERAGE(BU60,BW60,BY60))-1)/4)</f>
        <v/>
      </c>
      <c r="CJ60" s="11" t="str">
        <f aca="false">IF($B60="","",IF(CG60-CI60&gt;0.25,"Subvalora",IF(CI60-CG60&gt;0.25,"Sobreconfía","Consistente")))</f>
        <v/>
      </c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 t="str">
        <f aca="false">IF($B61="","",6-L61)</f>
        <v/>
      </c>
      <c r="BM61" s="11" t="str">
        <f aca="false">IF($B61="","",6-O61)</f>
        <v/>
      </c>
      <c r="BN61" s="11" t="str">
        <f aca="false">IF($B61="","",J61+K61+BL61+M61+N61+BM61+P61+Q61+R61)</f>
        <v/>
      </c>
      <c r="BO61" s="11" t="str">
        <f aca="false">IF($B61="","",SUM(S61:W61))</f>
        <v/>
      </c>
      <c r="BP61" s="11" t="str">
        <f aca="false">IF($B61="","",SUM(Y61:AC61))</f>
        <v/>
      </c>
      <c r="BQ61" s="11" t="str">
        <f aca="false">IF($B61="","",SUM(AE61:AK61))</f>
        <v/>
      </c>
      <c r="BR61" s="11" t="str">
        <f aca="false">IF($B61="","",SUM(AL61:AR61))</f>
        <v/>
      </c>
      <c r="BS61" s="11" t="str">
        <f aca="false">IF($B61="","",SUM(AS61:AY61))</f>
        <v/>
      </c>
      <c r="BT61" s="12" t="str">
        <f aca="false">IF($B61="","",BN61/9)</f>
        <v/>
      </c>
      <c r="BU61" s="12" t="str">
        <f aca="false">IF($B61="","",BO61/5)</f>
        <v/>
      </c>
      <c r="BV61" s="12" t="str">
        <f aca="false">IF($B61="","",BP61/5)</f>
        <v/>
      </c>
      <c r="BW61" s="12" t="str">
        <f aca="false">IF($B61="","",BQ61/7)</f>
        <v/>
      </c>
      <c r="BX61" s="12" t="str">
        <f aca="false">IF($B61="","",BR61/7)</f>
        <v/>
      </c>
      <c r="BY61" s="12" t="str">
        <f aca="false">IF($B61="","",BS61/7)</f>
        <v/>
      </c>
      <c r="BZ61" s="11" t="str">
        <f aca="false">IF($B61="","",AZ61)</f>
        <v/>
      </c>
      <c r="CA61" s="11" t="str">
        <f aca="false">IF($B61="","",IF(BT61&lt;2.5,"Explorador",IF(BT61&lt;3.75,"Integrador","Innovador")))</f>
        <v/>
      </c>
      <c r="CB61" s="11" t="str">
        <f aca="false">IF($B61="","",IF(BU61&lt;2.5,"Explorador",IF(BU61&lt;3.75,"Integrador","Innovador")))</f>
        <v/>
      </c>
      <c r="CC61" s="11" t="str">
        <f aca="false">IF($B61="","",IF(BV61&lt;2.5,"Explorador",IF(BV61&lt;3.75,"Integrador","Innovador")))</f>
        <v/>
      </c>
      <c r="CD61" s="11" t="str">
        <f aca="false">IF($B61="","",IF(BW61&lt;2.5,"Explorador",IF(BW61&lt;3.75,"Integrador","Innovador")))</f>
        <v/>
      </c>
      <c r="CE61" s="11" t="str">
        <f aca="false">IF($B61="","",IF(BX61&lt;2.5,"Explorador",IF(BX61&lt;3.75,"Integrador","Innovador")))</f>
        <v/>
      </c>
      <c r="CF61" s="11" t="str">
        <f aca="false">IF($B61="","",IF(BY61&lt;2.5,"Explorador",IF(BY61&lt;3.75,"Integrador","Innovador")))</f>
        <v/>
      </c>
      <c r="CG61" s="13" t="str">
        <f aca="false">IF($B61="","",BB61/9)</f>
        <v/>
      </c>
      <c r="CH61" s="11" t="str">
        <f aca="false">IF($B61="","",IF(CG61&lt;0.4,"Bajo",IF(CG61&lt;0.7,"Medio","Alto")))</f>
        <v/>
      </c>
      <c r="CI61" s="13" t="str">
        <f aca="false">IF($B61="","",((AVERAGE(BU61,BW61,BY61))-1)/4)</f>
        <v/>
      </c>
      <c r="CJ61" s="11" t="str">
        <f aca="false">IF($B61="","",IF(CG61-CI61&gt;0.25,"Subvalora",IF(CI61-CG61&gt;0.25,"Sobreconfía","Consistente")))</f>
        <v/>
      </c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 t="str">
        <f aca="false">IF($B62="","",6-L62)</f>
        <v/>
      </c>
      <c r="BM62" s="11" t="str">
        <f aca="false">IF($B62="","",6-O62)</f>
        <v/>
      </c>
      <c r="BN62" s="11" t="str">
        <f aca="false">IF($B62="","",J62+K62+BL62+M62+N62+BM62+P62+Q62+R62)</f>
        <v/>
      </c>
      <c r="BO62" s="11" t="str">
        <f aca="false">IF($B62="","",SUM(S62:W62))</f>
        <v/>
      </c>
      <c r="BP62" s="11" t="str">
        <f aca="false">IF($B62="","",SUM(Y62:AC62))</f>
        <v/>
      </c>
      <c r="BQ62" s="11" t="str">
        <f aca="false">IF($B62="","",SUM(AE62:AK62))</f>
        <v/>
      </c>
      <c r="BR62" s="11" t="str">
        <f aca="false">IF($B62="","",SUM(AL62:AR62))</f>
        <v/>
      </c>
      <c r="BS62" s="11" t="str">
        <f aca="false">IF($B62="","",SUM(AS62:AY62))</f>
        <v/>
      </c>
      <c r="BT62" s="12" t="str">
        <f aca="false">IF($B62="","",BN62/9)</f>
        <v/>
      </c>
      <c r="BU62" s="12" t="str">
        <f aca="false">IF($B62="","",BO62/5)</f>
        <v/>
      </c>
      <c r="BV62" s="12" t="str">
        <f aca="false">IF($B62="","",BP62/5)</f>
        <v/>
      </c>
      <c r="BW62" s="12" t="str">
        <f aca="false">IF($B62="","",BQ62/7)</f>
        <v/>
      </c>
      <c r="BX62" s="12" t="str">
        <f aca="false">IF($B62="","",BR62/7)</f>
        <v/>
      </c>
      <c r="BY62" s="12" t="str">
        <f aca="false">IF($B62="","",BS62/7)</f>
        <v/>
      </c>
      <c r="BZ62" s="11" t="str">
        <f aca="false">IF($B62="","",AZ62)</f>
        <v/>
      </c>
      <c r="CA62" s="11" t="str">
        <f aca="false">IF($B62="","",IF(BT62&lt;2.5,"Explorador",IF(BT62&lt;3.75,"Integrador","Innovador")))</f>
        <v/>
      </c>
      <c r="CB62" s="11" t="str">
        <f aca="false">IF($B62="","",IF(BU62&lt;2.5,"Explorador",IF(BU62&lt;3.75,"Integrador","Innovador")))</f>
        <v/>
      </c>
      <c r="CC62" s="11" t="str">
        <f aca="false">IF($B62="","",IF(BV62&lt;2.5,"Explorador",IF(BV62&lt;3.75,"Integrador","Innovador")))</f>
        <v/>
      </c>
      <c r="CD62" s="11" t="str">
        <f aca="false">IF($B62="","",IF(BW62&lt;2.5,"Explorador",IF(BW62&lt;3.75,"Integrador","Innovador")))</f>
        <v/>
      </c>
      <c r="CE62" s="11" t="str">
        <f aca="false">IF($B62="","",IF(BX62&lt;2.5,"Explorador",IF(BX62&lt;3.75,"Integrador","Innovador")))</f>
        <v/>
      </c>
      <c r="CF62" s="11" t="str">
        <f aca="false">IF($B62="","",IF(BY62&lt;2.5,"Explorador",IF(BY62&lt;3.75,"Integrador","Innovador")))</f>
        <v/>
      </c>
      <c r="CG62" s="13" t="str">
        <f aca="false">IF($B62="","",BB62/9)</f>
        <v/>
      </c>
      <c r="CH62" s="11" t="str">
        <f aca="false">IF($B62="","",IF(CG62&lt;0.4,"Bajo",IF(CG62&lt;0.7,"Medio","Alto")))</f>
        <v/>
      </c>
      <c r="CI62" s="13" t="str">
        <f aca="false">IF($B62="","",((AVERAGE(BU62,BW62,BY62))-1)/4)</f>
        <v/>
      </c>
      <c r="CJ62" s="11" t="str">
        <f aca="false">IF($B62="","",IF(CG62-CI62&gt;0.25,"Subvalora",IF(CI62-CG62&gt;0.25,"Sobreconfía","Consistente")))</f>
        <v/>
      </c>
    </row>
    <row r="63" customFormat="false" ht="1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 t="str">
        <f aca="false">IF($B63="","",6-L63)</f>
        <v/>
      </c>
      <c r="BM63" s="11" t="str">
        <f aca="false">IF($B63="","",6-O63)</f>
        <v/>
      </c>
      <c r="BN63" s="11" t="str">
        <f aca="false">IF($B63="","",J63+K63+BL63+M63+N63+BM63+P63+Q63+R63)</f>
        <v/>
      </c>
      <c r="BO63" s="11" t="str">
        <f aca="false">IF($B63="","",SUM(S63:W63))</f>
        <v/>
      </c>
      <c r="BP63" s="11" t="str">
        <f aca="false">IF($B63="","",SUM(Y63:AC63))</f>
        <v/>
      </c>
      <c r="BQ63" s="11" t="str">
        <f aca="false">IF($B63="","",SUM(AE63:AK63))</f>
        <v/>
      </c>
      <c r="BR63" s="11" t="str">
        <f aca="false">IF($B63="","",SUM(AL63:AR63))</f>
        <v/>
      </c>
      <c r="BS63" s="11" t="str">
        <f aca="false">IF($B63="","",SUM(AS63:AY63))</f>
        <v/>
      </c>
      <c r="BT63" s="12" t="str">
        <f aca="false">IF($B63="","",BN63/9)</f>
        <v/>
      </c>
      <c r="BU63" s="12" t="str">
        <f aca="false">IF($B63="","",BO63/5)</f>
        <v/>
      </c>
      <c r="BV63" s="12" t="str">
        <f aca="false">IF($B63="","",BP63/5)</f>
        <v/>
      </c>
      <c r="BW63" s="12" t="str">
        <f aca="false">IF($B63="","",BQ63/7)</f>
        <v/>
      </c>
      <c r="BX63" s="12" t="str">
        <f aca="false">IF($B63="","",BR63/7)</f>
        <v/>
      </c>
      <c r="BY63" s="12" t="str">
        <f aca="false">IF($B63="","",BS63/7)</f>
        <v/>
      </c>
      <c r="BZ63" s="11" t="str">
        <f aca="false">IF($B63="","",AZ63)</f>
        <v/>
      </c>
      <c r="CA63" s="11" t="str">
        <f aca="false">IF($B63="","",IF(BT63&lt;2.5,"Explorador",IF(BT63&lt;3.75,"Integrador","Innovador")))</f>
        <v/>
      </c>
      <c r="CB63" s="11" t="str">
        <f aca="false">IF($B63="","",IF(BU63&lt;2.5,"Explorador",IF(BU63&lt;3.75,"Integrador","Innovador")))</f>
        <v/>
      </c>
      <c r="CC63" s="11" t="str">
        <f aca="false">IF($B63="","",IF(BV63&lt;2.5,"Explorador",IF(BV63&lt;3.75,"Integrador","Innovador")))</f>
        <v/>
      </c>
      <c r="CD63" s="11" t="str">
        <f aca="false">IF($B63="","",IF(BW63&lt;2.5,"Explorador",IF(BW63&lt;3.75,"Integrador","Innovador")))</f>
        <v/>
      </c>
      <c r="CE63" s="11" t="str">
        <f aca="false">IF($B63="","",IF(BX63&lt;2.5,"Explorador",IF(BX63&lt;3.75,"Integrador","Innovador")))</f>
        <v/>
      </c>
      <c r="CF63" s="11" t="str">
        <f aca="false">IF($B63="","",IF(BY63&lt;2.5,"Explorador",IF(BY63&lt;3.75,"Integrador","Innovador")))</f>
        <v/>
      </c>
      <c r="CG63" s="13" t="str">
        <f aca="false">IF($B63="","",BB63/9)</f>
        <v/>
      </c>
      <c r="CH63" s="11" t="str">
        <f aca="false">IF($B63="","",IF(CG63&lt;0.4,"Bajo",IF(CG63&lt;0.7,"Medio","Alto")))</f>
        <v/>
      </c>
      <c r="CI63" s="13" t="str">
        <f aca="false">IF($B63="","",((AVERAGE(BU63,BW63,BY63))-1)/4)</f>
        <v/>
      </c>
      <c r="CJ63" s="11" t="str">
        <f aca="false">IF($B63="","",IF(CG63-CI63&gt;0.25,"Subvalora",IF(CI63-CG63&gt;0.25,"Sobreconfía","Consistente")))</f>
        <v/>
      </c>
    </row>
    <row r="64" customFormat="false" ht="1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 t="str">
        <f aca="false">IF($B64="","",6-L64)</f>
        <v/>
      </c>
      <c r="BM64" s="11" t="str">
        <f aca="false">IF($B64="","",6-O64)</f>
        <v/>
      </c>
      <c r="BN64" s="11" t="str">
        <f aca="false">IF($B64="","",J64+K64+BL64+M64+N64+BM64+P64+Q64+R64)</f>
        <v/>
      </c>
      <c r="BO64" s="11" t="str">
        <f aca="false">IF($B64="","",SUM(S64:W64))</f>
        <v/>
      </c>
      <c r="BP64" s="11" t="str">
        <f aca="false">IF($B64="","",SUM(Y64:AC64))</f>
        <v/>
      </c>
      <c r="BQ64" s="11" t="str">
        <f aca="false">IF($B64="","",SUM(AE64:AK64))</f>
        <v/>
      </c>
      <c r="BR64" s="11" t="str">
        <f aca="false">IF($B64="","",SUM(AL64:AR64))</f>
        <v/>
      </c>
      <c r="BS64" s="11" t="str">
        <f aca="false">IF($B64="","",SUM(AS64:AY64))</f>
        <v/>
      </c>
      <c r="BT64" s="12" t="str">
        <f aca="false">IF($B64="","",BN64/9)</f>
        <v/>
      </c>
      <c r="BU64" s="12" t="str">
        <f aca="false">IF($B64="","",BO64/5)</f>
        <v/>
      </c>
      <c r="BV64" s="12" t="str">
        <f aca="false">IF($B64="","",BP64/5)</f>
        <v/>
      </c>
      <c r="BW64" s="12" t="str">
        <f aca="false">IF($B64="","",BQ64/7)</f>
        <v/>
      </c>
      <c r="BX64" s="12" t="str">
        <f aca="false">IF($B64="","",BR64/7)</f>
        <v/>
      </c>
      <c r="BY64" s="12" t="str">
        <f aca="false">IF($B64="","",BS64/7)</f>
        <v/>
      </c>
      <c r="BZ64" s="11" t="str">
        <f aca="false">IF($B64="","",AZ64)</f>
        <v/>
      </c>
      <c r="CA64" s="11" t="str">
        <f aca="false">IF($B64="","",IF(BT64&lt;2.5,"Explorador",IF(BT64&lt;3.75,"Integrador","Innovador")))</f>
        <v/>
      </c>
      <c r="CB64" s="11" t="str">
        <f aca="false">IF($B64="","",IF(BU64&lt;2.5,"Explorador",IF(BU64&lt;3.75,"Integrador","Innovador")))</f>
        <v/>
      </c>
      <c r="CC64" s="11" t="str">
        <f aca="false">IF($B64="","",IF(BV64&lt;2.5,"Explorador",IF(BV64&lt;3.75,"Integrador","Innovador")))</f>
        <v/>
      </c>
      <c r="CD64" s="11" t="str">
        <f aca="false">IF($B64="","",IF(BW64&lt;2.5,"Explorador",IF(BW64&lt;3.75,"Integrador","Innovador")))</f>
        <v/>
      </c>
      <c r="CE64" s="11" t="str">
        <f aca="false">IF($B64="","",IF(BX64&lt;2.5,"Explorador",IF(BX64&lt;3.75,"Integrador","Innovador")))</f>
        <v/>
      </c>
      <c r="CF64" s="11" t="str">
        <f aca="false">IF($B64="","",IF(BY64&lt;2.5,"Explorador",IF(BY64&lt;3.75,"Integrador","Innovador")))</f>
        <v/>
      </c>
      <c r="CG64" s="13" t="str">
        <f aca="false">IF($B64="","",BB64/9)</f>
        <v/>
      </c>
      <c r="CH64" s="11" t="str">
        <f aca="false">IF($B64="","",IF(CG64&lt;0.4,"Bajo",IF(CG64&lt;0.7,"Medio","Alto")))</f>
        <v/>
      </c>
      <c r="CI64" s="13" t="str">
        <f aca="false">IF($B64="","",((AVERAGE(BU64,BW64,BY64))-1)/4)</f>
        <v/>
      </c>
      <c r="CJ64" s="11" t="str">
        <f aca="false">IF($B64="","",IF(CG64-CI64&gt;0.25,"Subvalora",IF(CI64-CG64&gt;0.25,"Sobreconfía","Consistente")))</f>
        <v/>
      </c>
    </row>
    <row r="65" customFormat="false" ht="1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 t="str">
        <f aca="false">IF($B65="","",6-L65)</f>
        <v/>
      </c>
      <c r="BM65" s="11" t="str">
        <f aca="false">IF($B65="","",6-O65)</f>
        <v/>
      </c>
      <c r="BN65" s="11" t="str">
        <f aca="false">IF($B65="","",J65+K65+BL65+M65+N65+BM65+P65+Q65+R65)</f>
        <v/>
      </c>
      <c r="BO65" s="11" t="str">
        <f aca="false">IF($B65="","",SUM(S65:W65))</f>
        <v/>
      </c>
      <c r="BP65" s="11" t="str">
        <f aca="false">IF($B65="","",SUM(Y65:AC65))</f>
        <v/>
      </c>
      <c r="BQ65" s="11" t="str">
        <f aca="false">IF($B65="","",SUM(AE65:AK65))</f>
        <v/>
      </c>
      <c r="BR65" s="11" t="str">
        <f aca="false">IF($B65="","",SUM(AL65:AR65))</f>
        <v/>
      </c>
      <c r="BS65" s="11" t="str">
        <f aca="false">IF($B65="","",SUM(AS65:AY65))</f>
        <v/>
      </c>
      <c r="BT65" s="12" t="str">
        <f aca="false">IF($B65="","",BN65/9)</f>
        <v/>
      </c>
      <c r="BU65" s="12" t="str">
        <f aca="false">IF($B65="","",BO65/5)</f>
        <v/>
      </c>
      <c r="BV65" s="12" t="str">
        <f aca="false">IF($B65="","",BP65/5)</f>
        <v/>
      </c>
      <c r="BW65" s="12" t="str">
        <f aca="false">IF($B65="","",BQ65/7)</f>
        <v/>
      </c>
      <c r="BX65" s="12" t="str">
        <f aca="false">IF($B65="","",BR65/7)</f>
        <v/>
      </c>
      <c r="BY65" s="12" t="str">
        <f aca="false">IF($B65="","",BS65/7)</f>
        <v/>
      </c>
      <c r="BZ65" s="11" t="str">
        <f aca="false">IF($B65="","",AZ65)</f>
        <v/>
      </c>
      <c r="CA65" s="11" t="str">
        <f aca="false">IF($B65="","",IF(BT65&lt;2.5,"Explorador",IF(BT65&lt;3.75,"Integrador","Innovador")))</f>
        <v/>
      </c>
      <c r="CB65" s="11" t="str">
        <f aca="false">IF($B65="","",IF(BU65&lt;2.5,"Explorador",IF(BU65&lt;3.75,"Integrador","Innovador")))</f>
        <v/>
      </c>
      <c r="CC65" s="11" t="str">
        <f aca="false">IF($B65="","",IF(BV65&lt;2.5,"Explorador",IF(BV65&lt;3.75,"Integrador","Innovador")))</f>
        <v/>
      </c>
      <c r="CD65" s="11" t="str">
        <f aca="false">IF($B65="","",IF(BW65&lt;2.5,"Explorador",IF(BW65&lt;3.75,"Integrador","Innovador")))</f>
        <v/>
      </c>
      <c r="CE65" s="11" t="str">
        <f aca="false">IF($B65="","",IF(BX65&lt;2.5,"Explorador",IF(BX65&lt;3.75,"Integrador","Innovador")))</f>
        <v/>
      </c>
      <c r="CF65" s="11" t="str">
        <f aca="false">IF($B65="","",IF(BY65&lt;2.5,"Explorador",IF(BY65&lt;3.75,"Integrador","Innovador")))</f>
        <v/>
      </c>
      <c r="CG65" s="13" t="str">
        <f aca="false">IF($B65="","",BB65/9)</f>
        <v/>
      </c>
      <c r="CH65" s="11" t="str">
        <f aca="false">IF($B65="","",IF(CG65&lt;0.4,"Bajo",IF(CG65&lt;0.7,"Medio","Alto")))</f>
        <v/>
      </c>
      <c r="CI65" s="13" t="str">
        <f aca="false">IF($B65="","",((AVERAGE(BU65,BW65,BY65))-1)/4)</f>
        <v/>
      </c>
      <c r="CJ65" s="11" t="str">
        <f aca="false">IF($B65="","",IF(CG65-CI65&gt;0.25,"Subvalora",IF(CI65-CG65&gt;0.25,"Sobreconfía","Consistente")))</f>
        <v/>
      </c>
    </row>
    <row r="66" customFormat="false" ht="1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 t="str">
        <f aca="false">IF($B66="","",6-L66)</f>
        <v/>
      </c>
      <c r="BM66" s="11" t="str">
        <f aca="false">IF($B66="","",6-O66)</f>
        <v/>
      </c>
      <c r="BN66" s="11" t="str">
        <f aca="false">IF($B66="","",J66+K66+BL66+M66+N66+BM66+P66+Q66+R66)</f>
        <v/>
      </c>
      <c r="BO66" s="11" t="str">
        <f aca="false">IF($B66="","",SUM(S66:W66))</f>
        <v/>
      </c>
      <c r="BP66" s="11" t="str">
        <f aca="false">IF($B66="","",SUM(Y66:AC66))</f>
        <v/>
      </c>
      <c r="BQ66" s="11" t="str">
        <f aca="false">IF($B66="","",SUM(AE66:AK66))</f>
        <v/>
      </c>
      <c r="BR66" s="11" t="str">
        <f aca="false">IF($B66="","",SUM(AL66:AR66))</f>
        <v/>
      </c>
      <c r="BS66" s="11" t="str">
        <f aca="false">IF($B66="","",SUM(AS66:AY66))</f>
        <v/>
      </c>
      <c r="BT66" s="12" t="str">
        <f aca="false">IF($B66="","",BN66/9)</f>
        <v/>
      </c>
      <c r="BU66" s="12" t="str">
        <f aca="false">IF($B66="","",BO66/5)</f>
        <v/>
      </c>
      <c r="BV66" s="12" t="str">
        <f aca="false">IF($B66="","",BP66/5)</f>
        <v/>
      </c>
      <c r="BW66" s="12" t="str">
        <f aca="false">IF($B66="","",BQ66/7)</f>
        <v/>
      </c>
      <c r="BX66" s="12" t="str">
        <f aca="false">IF($B66="","",BR66/7)</f>
        <v/>
      </c>
      <c r="BY66" s="12" t="str">
        <f aca="false">IF($B66="","",BS66/7)</f>
        <v/>
      </c>
      <c r="BZ66" s="11" t="str">
        <f aca="false">IF($B66="","",AZ66)</f>
        <v/>
      </c>
      <c r="CA66" s="11" t="str">
        <f aca="false">IF($B66="","",IF(BT66&lt;2.5,"Explorador",IF(BT66&lt;3.75,"Integrador","Innovador")))</f>
        <v/>
      </c>
      <c r="CB66" s="11" t="str">
        <f aca="false">IF($B66="","",IF(BU66&lt;2.5,"Explorador",IF(BU66&lt;3.75,"Integrador","Innovador")))</f>
        <v/>
      </c>
      <c r="CC66" s="11" t="str">
        <f aca="false">IF($B66="","",IF(BV66&lt;2.5,"Explorador",IF(BV66&lt;3.75,"Integrador","Innovador")))</f>
        <v/>
      </c>
      <c r="CD66" s="11" t="str">
        <f aca="false">IF($B66="","",IF(BW66&lt;2.5,"Explorador",IF(BW66&lt;3.75,"Integrador","Innovador")))</f>
        <v/>
      </c>
      <c r="CE66" s="11" t="str">
        <f aca="false">IF($B66="","",IF(BX66&lt;2.5,"Explorador",IF(BX66&lt;3.75,"Integrador","Innovador")))</f>
        <v/>
      </c>
      <c r="CF66" s="11" t="str">
        <f aca="false">IF($B66="","",IF(BY66&lt;2.5,"Explorador",IF(BY66&lt;3.75,"Integrador","Innovador")))</f>
        <v/>
      </c>
      <c r="CG66" s="13" t="str">
        <f aca="false">IF($B66="","",BB66/9)</f>
        <v/>
      </c>
      <c r="CH66" s="11" t="str">
        <f aca="false">IF($B66="","",IF(CG66&lt;0.4,"Bajo",IF(CG66&lt;0.7,"Medio","Alto")))</f>
        <v/>
      </c>
      <c r="CI66" s="13" t="str">
        <f aca="false">IF($B66="","",((AVERAGE(BU66,BW66,BY66))-1)/4)</f>
        <v/>
      </c>
      <c r="CJ66" s="11" t="str">
        <f aca="false">IF($B66="","",IF(CG66-CI66&gt;0.25,"Subvalora",IF(CI66-CG66&gt;0.25,"Sobreconfía","Consistente")))</f>
        <v/>
      </c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 t="str">
        <f aca="false">IF($B67="","",6-L67)</f>
        <v/>
      </c>
      <c r="BM67" s="11" t="str">
        <f aca="false">IF($B67="","",6-O67)</f>
        <v/>
      </c>
      <c r="BN67" s="11" t="str">
        <f aca="false">IF($B67="","",J67+K67+BL67+M67+N67+BM67+P67+Q67+R67)</f>
        <v/>
      </c>
      <c r="BO67" s="11" t="str">
        <f aca="false">IF($B67="","",SUM(S67:W67))</f>
        <v/>
      </c>
      <c r="BP67" s="11" t="str">
        <f aca="false">IF($B67="","",SUM(Y67:AC67))</f>
        <v/>
      </c>
      <c r="BQ67" s="11" t="str">
        <f aca="false">IF($B67="","",SUM(AE67:AK67))</f>
        <v/>
      </c>
      <c r="BR67" s="11" t="str">
        <f aca="false">IF($B67="","",SUM(AL67:AR67))</f>
        <v/>
      </c>
      <c r="BS67" s="11" t="str">
        <f aca="false">IF($B67="","",SUM(AS67:AY67))</f>
        <v/>
      </c>
      <c r="BT67" s="12" t="str">
        <f aca="false">IF($B67="","",BN67/9)</f>
        <v/>
      </c>
      <c r="BU67" s="12" t="str">
        <f aca="false">IF($B67="","",BO67/5)</f>
        <v/>
      </c>
      <c r="BV67" s="12" t="str">
        <f aca="false">IF($B67="","",BP67/5)</f>
        <v/>
      </c>
      <c r="BW67" s="12" t="str">
        <f aca="false">IF($B67="","",BQ67/7)</f>
        <v/>
      </c>
      <c r="BX67" s="12" t="str">
        <f aca="false">IF($B67="","",BR67/7)</f>
        <v/>
      </c>
      <c r="BY67" s="12" t="str">
        <f aca="false">IF($B67="","",BS67/7)</f>
        <v/>
      </c>
      <c r="BZ67" s="11" t="str">
        <f aca="false">IF($B67="","",AZ67)</f>
        <v/>
      </c>
      <c r="CA67" s="11" t="str">
        <f aca="false">IF($B67="","",IF(BT67&lt;2.5,"Explorador",IF(BT67&lt;3.75,"Integrador","Innovador")))</f>
        <v/>
      </c>
      <c r="CB67" s="11" t="str">
        <f aca="false">IF($B67="","",IF(BU67&lt;2.5,"Explorador",IF(BU67&lt;3.75,"Integrador","Innovador")))</f>
        <v/>
      </c>
      <c r="CC67" s="11" t="str">
        <f aca="false">IF($B67="","",IF(BV67&lt;2.5,"Explorador",IF(BV67&lt;3.75,"Integrador","Innovador")))</f>
        <v/>
      </c>
      <c r="CD67" s="11" t="str">
        <f aca="false">IF($B67="","",IF(BW67&lt;2.5,"Explorador",IF(BW67&lt;3.75,"Integrador","Innovador")))</f>
        <v/>
      </c>
      <c r="CE67" s="11" t="str">
        <f aca="false">IF($B67="","",IF(BX67&lt;2.5,"Explorador",IF(BX67&lt;3.75,"Integrador","Innovador")))</f>
        <v/>
      </c>
      <c r="CF67" s="11" t="str">
        <f aca="false">IF($B67="","",IF(BY67&lt;2.5,"Explorador",IF(BY67&lt;3.75,"Integrador","Innovador")))</f>
        <v/>
      </c>
      <c r="CG67" s="13" t="str">
        <f aca="false">IF($B67="","",BB67/9)</f>
        <v/>
      </c>
      <c r="CH67" s="11" t="str">
        <f aca="false">IF($B67="","",IF(CG67&lt;0.4,"Bajo",IF(CG67&lt;0.7,"Medio","Alto")))</f>
        <v/>
      </c>
      <c r="CI67" s="13" t="str">
        <f aca="false">IF($B67="","",((AVERAGE(BU67,BW67,BY67))-1)/4)</f>
        <v/>
      </c>
      <c r="CJ67" s="11" t="str">
        <f aca="false">IF($B67="","",IF(CG67-CI67&gt;0.25,"Subvalora",IF(CI67-CG67&gt;0.25,"Sobreconfía","Consistente")))</f>
        <v/>
      </c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 t="str">
        <f aca="false">IF($B68="","",6-L68)</f>
        <v/>
      </c>
      <c r="BM68" s="11" t="str">
        <f aca="false">IF($B68="","",6-O68)</f>
        <v/>
      </c>
      <c r="BN68" s="11" t="str">
        <f aca="false">IF($B68="","",J68+K68+BL68+M68+N68+BM68+P68+Q68+R68)</f>
        <v/>
      </c>
      <c r="BO68" s="11" t="str">
        <f aca="false">IF($B68="","",SUM(S68:W68))</f>
        <v/>
      </c>
      <c r="BP68" s="11" t="str">
        <f aca="false">IF($B68="","",SUM(Y68:AC68))</f>
        <v/>
      </c>
      <c r="BQ68" s="11" t="str">
        <f aca="false">IF($B68="","",SUM(AE68:AK68))</f>
        <v/>
      </c>
      <c r="BR68" s="11" t="str">
        <f aca="false">IF($B68="","",SUM(AL68:AR68))</f>
        <v/>
      </c>
      <c r="BS68" s="11" t="str">
        <f aca="false">IF($B68="","",SUM(AS68:AY68))</f>
        <v/>
      </c>
      <c r="BT68" s="12" t="str">
        <f aca="false">IF($B68="","",BN68/9)</f>
        <v/>
      </c>
      <c r="BU68" s="12" t="str">
        <f aca="false">IF($B68="","",BO68/5)</f>
        <v/>
      </c>
      <c r="BV68" s="12" t="str">
        <f aca="false">IF($B68="","",BP68/5)</f>
        <v/>
      </c>
      <c r="BW68" s="12" t="str">
        <f aca="false">IF($B68="","",BQ68/7)</f>
        <v/>
      </c>
      <c r="BX68" s="12" t="str">
        <f aca="false">IF($B68="","",BR68/7)</f>
        <v/>
      </c>
      <c r="BY68" s="12" t="str">
        <f aca="false">IF($B68="","",BS68/7)</f>
        <v/>
      </c>
      <c r="BZ68" s="11" t="str">
        <f aca="false">IF($B68="","",AZ68)</f>
        <v/>
      </c>
      <c r="CA68" s="11" t="str">
        <f aca="false">IF($B68="","",IF(BT68&lt;2.5,"Explorador",IF(BT68&lt;3.75,"Integrador","Innovador")))</f>
        <v/>
      </c>
      <c r="CB68" s="11" t="str">
        <f aca="false">IF($B68="","",IF(BU68&lt;2.5,"Explorador",IF(BU68&lt;3.75,"Integrador","Innovador")))</f>
        <v/>
      </c>
      <c r="CC68" s="11" t="str">
        <f aca="false">IF($B68="","",IF(BV68&lt;2.5,"Explorador",IF(BV68&lt;3.75,"Integrador","Innovador")))</f>
        <v/>
      </c>
      <c r="CD68" s="11" t="str">
        <f aca="false">IF($B68="","",IF(BW68&lt;2.5,"Explorador",IF(BW68&lt;3.75,"Integrador","Innovador")))</f>
        <v/>
      </c>
      <c r="CE68" s="11" t="str">
        <f aca="false">IF($B68="","",IF(BX68&lt;2.5,"Explorador",IF(BX68&lt;3.75,"Integrador","Innovador")))</f>
        <v/>
      </c>
      <c r="CF68" s="11" t="str">
        <f aca="false">IF($B68="","",IF(BY68&lt;2.5,"Explorador",IF(BY68&lt;3.75,"Integrador","Innovador")))</f>
        <v/>
      </c>
      <c r="CG68" s="13" t="str">
        <f aca="false">IF($B68="","",BB68/9)</f>
        <v/>
      </c>
      <c r="CH68" s="11" t="str">
        <f aca="false">IF($B68="","",IF(CG68&lt;0.4,"Bajo",IF(CG68&lt;0.7,"Medio","Alto")))</f>
        <v/>
      </c>
      <c r="CI68" s="13" t="str">
        <f aca="false">IF($B68="","",((AVERAGE(BU68,BW68,BY68))-1)/4)</f>
        <v/>
      </c>
      <c r="CJ68" s="11" t="str">
        <f aca="false">IF($B68="","",IF(CG68-CI68&gt;0.25,"Subvalora",IF(CI68-CG68&gt;0.25,"Sobreconfía","Consistente")))</f>
        <v/>
      </c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 t="str">
        <f aca="false">IF($B69="","",6-L69)</f>
        <v/>
      </c>
      <c r="BM69" s="11" t="str">
        <f aca="false">IF($B69="","",6-O69)</f>
        <v/>
      </c>
      <c r="BN69" s="11" t="str">
        <f aca="false">IF($B69="","",J69+K69+BL69+M69+N69+BM69+P69+Q69+R69)</f>
        <v/>
      </c>
      <c r="BO69" s="11" t="str">
        <f aca="false">IF($B69="","",SUM(S69:W69))</f>
        <v/>
      </c>
      <c r="BP69" s="11" t="str">
        <f aca="false">IF($B69="","",SUM(Y69:AC69))</f>
        <v/>
      </c>
      <c r="BQ69" s="11" t="str">
        <f aca="false">IF($B69="","",SUM(AE69:AK69))</f>
        <v/>
      </c>
      <c r="BR69" s="11" t="str">
        <f aca="false">IF($B69="","",SUM(AL69:AR69))</f>
        <v/>
      </c>
      <c r="BS69" s="11" t="str">
        <f aca="false">IF($B69="","",SUM(AS69:AY69))</f>
        <v/>
      </c>
      <c r="BT69" s="12" t="str">
        <f aca="false">IF($B69="","",BN69/9)</f>
        <v/>
      </c>
      <c r="BU69" s="12" t="str">
        <f aca="false">IF($B69="","",BO69/5)</f>
        <v/>
      </c>
      <c r="BV69" s="12" t="str">
        <f aca="false">IF($B69="","",BP69/5)</f>
        <v/>
      </c>
      <c r="BW69" s="12" t="str">
        <f aca="false">IF($B69="","",BQ69/7)</f>
        <v/>
      </c>
      <c r="BX69" s="12" t="str">
        <f aca="false">IF($B69="","",BR69/7)</f>
        <v/>
      </c>
      <c r="BY69" s="12" t="str">
        <f aca="false">IF($B69="","",BS69/7)</f>
        <v/>
      </c>
      <c r="BZ69" s="11" t="str">
        <f aca="false">IF($B69="","",AZ69)</f>
        <v/>
      </c>
      <c r="CA69" s="11" t="str">
        <f aca="false">IF($B69="","",IF(BT69&lt;2.5,"Explorador",IF(BT69&lt;3.75,"Integrador","Innovador")))</f>
        <v/>
      </c>
      <c r="CB69" s="11" t="str">
        <f aca="false">IF($B69="","",IF(BU69&lt;2.5,"Explorador",IF(BU69&lt;3.75,"Integrador","Innovador")))</f>
        <v/>
      </c>
      <c r="CC69" s="11" t="str">
        <f aca="false">IF($B69="","",IF(BV69&lt;2.5,"Explorador",IF(BV69&lt;3.75,"Integrador","Innovador")))</f>
        <v/>
      </c>
      <c r="CD69" s="11" t="str">
        <f aca="false">IF($B69="","",IF(BW69&lt;2.5,"Explorador",IF(BW69&lt;3.75,"Integrador","Innovador")))</f>
        <v/>
      </c>
      <c r="CE69" s="11" t="str">
        <f aca="false">IF($B69="","",IF(BX69&lt;2.5,"Explorador",IF(BX69&lt;3.75,"Integrador","Innovador")))</f>
        <v/>
      </c>
      <c r="CF69" s="11" t="str">
        <f aca="false">IF($B69="","",IF(BY69&lt;2.5,"Explorador",IF(BY69&lt;3.75,"Integrador","Innovador")))</f>
        <v/>
      </c>
      <c r="CG69" s="13" t="str">
        <f aca="false">IF($B69="","",BB69/9)</f>
        <v/>
      </c>
      <c r="CH69" s="11" t="str">
        <f aca="false">IF($B69="","",IF(CG69&lt;0.4,"Bajo",IF(CG69&lt;0.7,"Medio","Alto")))</f>
        <v/>
      </c>
      <c r="CI69" s="13" t="str">
        <f aca="false">IF($B69="","",((AVERAGE(BU69,BW69,BY69))-1)/4)</f>
        <v/>
      </c>
      <c r="CJ69" s="11" t="str">
        <f aca="false">IF($B69="","",IF(CG69-CI69&gt;0.25,"Subvalora",IF(CI69-CG69&gt;0.25,"Sobreconfía","Consistente")))</f>
        <v/>
      </c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 t="str">
        <f aca="false">IF($B70="","",6-L70)</f>
        <v/>
      </c>
      <c r="BM70" s="11" t="str">
        <f aca="false">IF($B70="","",6-O70)</f>
        <v/>
      </c>
      <c r="BN70" s="11" t="str">
        <f aca="false">IF($B70="","",J70+K70+BL70+M70+N70+BM70+P70+Q70+R70)</f>
        <v/>
      </c>
      <c r="BO70" s="11" t="str">
        <f aca="false">IF($B70="","",SUM(S70:W70))</f>
        <v/>
      </c>
      <c r="BP70" s="11" t="str">
        <f aca="false">IF($B70="","",SUM(Y70:AC70))</f>
        <v/>
      </c>
      <c r="BQ70" s="11" t="str">
        <f aca="false">IF($B70="","",SUM(AE70:AK70))</f>
        <v/>
      </c>
      <c r="BR70" s="11" t="str">
        <f aca="false">IF($B70="","",SUM(AL70:AR70))</f>
        <v/>
      </c>
      <c r="BS70" s="11" t="str">
        <f aca="false">IF($B70="","",SUM(AS70:AY70))</f>
        <v/>
      </c>
      <c r="BT70" s="12" t="str">
        <f aca="false">IF($B70="","",BN70/9)</f>
        <v/>
      </c>
      <c r="BU70" s="12" t="str">
        <f aca="false">IF($B70="","",BO70/5)</f>
        <v/>
      </c>
      <c r="BV70" s="12" t="str">
        <f aca="false">IF($B70="","",BP70/5)</f>
        <v/>
      </c>
      <c r="BW70" s="12" t="str">
        <f aca="false">IF($B70="","",BQ70/7)</f>
        <v/>
      </c>
      <c r="BX70" s="12" t="str">
        <f aca="false">IF($B70="","",BR70/7)</f>
        <v/>
      </c>
      <c r="BY70" s="12" t="str">
        <f aca="false">IF($B70="","",BS70/7)</f>
        <v/>
      </c>
      <c r="BZ70" s="11" t="str">
        <f aca="false">IF($B70="","",AZ70)</f>
        <v/>
      </c>
      <c r="CA70" s="11" t="str">
        <f aca="false">IF($B70="","",IF(BT70&lt;2.5,"Explorador",IF(BT70&lt;3.75,"Integrador","Innovador")))</f>
        <v/>
      </c>
      <c r="CB70" s="11" t="str">
        <f aca="false">IF($B70="","",IF(BU70&lt;2.5,"Explorador",IF(BU70&lt;3.75,"Integrador","Innovador")))</f>
        <v/>
      </c>
      <c r="CC70" s="11" t="str">
        <f aca="false">IF($B70="","",IF(BV70&lt;2.5,"Explorador",IF(BV70&lt;3.75,"Integrador","Innovador")))</f>
        <v/>
      </c>
      <c r="CD70" s="11" t="str">
        <f aca="false">IF($B70="","",IF(BW70&lt;2.5,"Explorador",IF(BW70&lt;3.75,"Integrador","Innovador")))</f>
        <v/>
      </c>
      <c r="CE70" s="11" t="str">
        <f aca="false">IF($B70="","",IF(BX70&lt;2.5,"Explorador",IF(BX70&lt;3.75,"Integrador","Innovador")))</f>
        <v/>
      </c>
      <c r="CF70" s="11" t="str">
        <f aca="false">IF($B70="","",IF(BY70&lt;2.5,"Explorador",IF(BY70&lt;3.75,"Integrador","Innovador")))</f>
        <v/>
      </c>
      <c r="CG70" s="13" t="str">
        <f aca="false">IF($B70="","",BB70/9)</f>
        <v/>
      </c>
      <c r="CH70" s="11" t="str">
        <f aca="false">IF($B70="","",IF(CG70&lt;0.4,"Bajo",IF(CG70&lt;0.7,"Medio","Alto")))</f>
        <v/>
      </c>
      <c r="CI70" s="13" t="str">
        <f aca="false">IF($B70="","",((AVERAGE(BU70,BW70,BY70))-1)/4)</f>
        <v/>
      </c>
      <c r="CJ70" s="11" t="str">
        <f aca="false">IF($B70="","",IF(CG70-CI70&gt;0.25,"Subvalora",IF(CI70-CG70&gt;0.25,"Sobreconfía","Consistente")))</f>
        <v/>
      </c>
    </row>
    <row r="71" customFormat="false" ht="1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 t="str">
        <f aca="false">IF($B71="","",6-L71)</f>
        <v/>
      </c>
      <c r="BM71" s="11" t="str">
        <f aca="false">IF($B71="","",6-O71)</f>
        <v/>
      </c>
      <c r="BN71" s="11" t="str">
        <f aca="false">IF($B71="","",J71+K71+BL71+M71+N71+BM71+P71+Q71+R71)</f>
        <v/>
      </c>
      <c r="BO71" s="11" t="str">
        <f aca="false">IF($B71="","",SUM(S71:W71))</f>
        <v/>
      </c>
      <c r="BP71" s="11" t="str">
        <f aca="false">IF($B71="","",SUM(Y71:AC71))</f>
        <v/>
      </c>
      <c r="BQ71" s="11" t="str">
        <f aca="false">IF($B71="","",SUM(AE71:AK71))</f>
        <v/>
      </c>
      <c r="BR71" s="11" t="str">
        <f aca="false">IF($B71="","",SUM(AL71:AR71))</f>
        <v/>
      </c>
      <c r="BS71" s="11" t="str">
        <f aca="false">IF($B71="","",SUM(AS71:AY71))</f>
        <v/>
      </c>
      <c r="BT71" s="12" t="str">
        <f aca="false">IF($B71="","",BN71/9)</f>
        <v/>
      </c>
      <c r="BU71" s="12" t="str">
        <f aca="false">IF($B71="","",BO71/5)</f>
        <v/>
      </c>
      <c r="BV71" s="12" t="str">
        <f aca="false">IF($B71="","",BP71/5)</f>
        <v/>
      </c>
      <c r="BW71" s="12" t="str">
        <f aca="false">IF($B71="","",BQ71/7)</f>
        <v/>
      </c>
      <c r="BX71" s="12" t="str">
        <f aca="false">IF($B71="","",BR71/7)</f>
        <v/>
      </c>
      <c r="BY71" s="12" t="str">
        <f aca="false">IF($B71="","",BS71/7)</f>
        <v/>
      </c>
      <c r="BZ71" s="11" t="str">
        <f aca="false">IF($B71="","",AZ71)</f>
        <v/>
      </c>
      <c r="CA71" s="11" t="str">
        <f aca="false">IF($B71="","",IF(BT71&lt;2.5,"Explorador",IF(BT71&lt;3.75,"Integrador","Innovador")))</f>
        <v/>
      </c>
      <c r="CB71" s="11" t="str">
        <f aca="false">IF($B71="","",IF(BU71&lt;2.5,"Explorador",IF(BU71&lt;3.75,"Integrador","Innovador")))</f>
        <v/>
      </c>
      <c r="CC71" s="11" t="str">
        <f aca="false">IF($B71="","",IF(BV71&lt;2.5,"Explorador",IF(BV71&lt;3.75,"Integrador","Innovador")))</f>
        <v/>
      </c>
      <c r="CD71" s="11" t="str">
        <f aca="false">IF($B71="","",IF(BW71&lt;2.5,"Explorador",IF(BW71&lt;3.75,"Integrador","Innovador")))</f>
        <v/>
      </c>
      <c r="CE71" s="11" t="str">
        <f aca="false">IF($B71="","",IF(BX71&lt;2.5,"Explorador",IF(BX71&lt;3.75,"Integrador","Innovador")))</f>
        <v/>
      </c>
      <c r="CF71" s="11" t="str">
        <f aca="false">IF($B71="","",IF(BY71&lt;2.5,"Explorador",IF(BY71&lt;3.75,"Integrador","Innovador")))</f>
        <v/>
      </c>
      <c r="CG71" s="13" t="str">
        <f aca="false">IF($B71="","",BB71/9)</f>
        <v/>
      </c>
      <c r="CH71" s="11" t="str">
        <f aca="false">IF($B71="","",IF(CG71&lt;0.4,"Bajo",IF(CG71&lt;0.7,"Medio","Alto")))</f>
        <v/>
      </c>
      <c r="CI71" s="13" t="str">
        <f aca="false">IF($B71="","",((AVERAGE(BU71,BW71,BY71))-1)/4)</f>
        <v/>
      </c>
      <c r="CJ71" s="11" t="str">
        <f aca="false">IF($B71="","",IF(CG71-CI71&gt;0.25,"Subvalora",IF(CI71-CG71&gt;0.25,"Sobreconfía","Consistente")))</f>
        <v/>
      </c>
    </row>
    <row r="72" customFormat="false" ht="1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 t="str">
        <f aca="false">IF($B72="","",6-L72)</f>
        <v/>
      </c>
      <c r="BM72" s="11" t="str">
        <f aca="false">IF($B72="","",6-O72)</f>
        <v/>
      </c>
      <c r="BN72" s="11" t="str">
        <f aca="false">IF($B72="","",J72+K72+BL72+M72+N72+BM72+P72+Q72+R72)</f>
        <v/>
      </c>
      <c r="BO72" s="11" t="str">
        <f aca="false">IF($B72="","",SUM(S72:W72))</f>
        <v/>
      </c>
      <c r="BP72" s="11" t="str">
        <f aca="false">IF($B72="","",SUM(Y72:AC72))</f>
        <v/>
      </c>
      <c r="BQ72" s="11" t="str">
        <f aca="false">IF($B72="","",SUM(AE72:AK72))</f>
        <v/>
      </c>
      <c r="BR72" s="11" t="str">
        <f aca="false">IF($B72="","",SUM(AL72:AR72))</f>
        <v/>
      </c>
      <c r="BS72" s="11" t="str">
        <f aca="false">IF($B72="","",SUM(AS72:AY72))</f>
        <v/>
      </c>
      <c r="BT72" s="12" t="str">
        <f aca="false">IF($B72="","",BN72/9)</f>
        <v/>
      </c>
      <c r="BU72" s="12" t="str">
        <f aca="false">IF($B72="","",BO72/5)</f>
        <v/>
      </c>
      <c r="BV72" s="12" t="str">
        <f aca="false">IF($B72="","",BP72/5)</f>
        <v/>
      </c>
      <c r="BW72" s="12" t="str">
        <f aca="false">IF($B72="","",BQ72/7)</f>
        <v/>
      </c>
      <c r="BX72" s="12" t="str">
        <f aca="false">IF($B72="","",BR72/7)</f>
        <v/>
      </c>
      <c r="BY72" s="12" t="str">
        <f aca="false">IF($B72="","",BS72/7)</f>
        <v/>
      </c>
      <c r="BZ72" s="11" t="str">
        <f aca="false">IF($B72="","",AZ72)</f>
        <v/>
      </c>
      <c r="CA72" s="11" t="str">
        <f aca="false">IF($B72="","",IF(BT72&lt;2.5,"Explorador",IF(BT72&lt;3.75,"Integrador","Innovador")))</f>
        <v/>
      </c>
      <c r="CB72" s="11" t="str">
        <f aca="false">IF($B72="","",IF(BU72&lt;2.5,"Explorador",IF(BU72&lt;3.75,"Integrador","Innovador")))</f>
        <v/>
      </c>
      <c r="CC72" s="11" t="str">
        <f aca="false">IF($B72="","",IF(BV72&lt;2.5,"Explorador",IF(BV72&lt;3.75,"Integrador","Innovador")))</f>
        <v/>
      </c>
      <c r="CD72" s="11" t="str">
        <f aca="false">IF($B72="","",IF(BW72&lt;2.5,"Explorador",IF(BW72&lt;3.75,"Integrador","Innovador")))</f>
        <v/>
      </c>
      <c r="CE72" s="11" t="str">
        <f aca="false">IF($B72="","",IF(BX72&lt;2.5,"Explorador",IF(BX72&lt;3.75,"Integrador","Innovador")))</f>
        <v/>
      </c>
      <c r="CF72" s="11" t="str">
        <f aca="false">IF($B72="","",IF(BY72&lt;2.5,"Explorador",IF(BY72&lt;3.75,"Integrador","Innovador")))</f>
        <v/>
      </c>
      <c r="CG72" s="13" t="str">
        <f aca="false">IF($B72="","",BB72/9)</f>
        <v/>
      </c>
      <c r="CH72" s="11" t="str">
        <f aca="false">IF($B72="","",IF(CG72&lt;0.4,"Bajo",IF(CG72&lt;0.7,"Medio","Alto")))</f>
        <v/>
      </c>
      <c r="CI72" s="13" t="str">
        <f aca="false">IF($B72="","",((AVERAGE(BU72,BW72,BY72))-1)/4)</f>
        <v/>
      </c>
      <c r="CJ72" s="11" t="str">
        <f aca="false">IF($B72="","",IF(CG72-CI72&gt;0.25,"Subvalora",IF(CI72-CG72&gt;0.25,"Sobreconfía","Consistente")))</f>
        <v/>
      </c>
    </row>
    <row r="73" customFormat="false" ht="1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 t="str">
        <f aca="false">IF($B73="","",6-L73)</f>
        <v/>
      </c>
      <c r="BM73" s="11" t="str">
        <f aca="false">IF($B73="","",6-O73)</f>
        <v/>
      </c>
      <c r="BN73" s="11" t="str">
        <f aca="false">IF($B73="","",J73+K73+BL73+M73+N73+BM73+P73+Q73+R73)</f>
        <v/>
      </c>
      <c r="BO73" s="11" t="str">
        <f aca="false">IF($B73="","",SUM(S73:W73))</f>
        <v/>
      </c>
      <c r="BP73" s="11" t="str">
        <f aca="false">IF($B73="","",SUM(Y73:AC73))</f>
        <v/>
      </c>
      <c r="BQ73" s="11" t="str">
        <f aca="false">IF($B73="","",SUM(AE73:AK73))</f>
        <v/>
      </c>
      <c r="BR73" s="11" t="str">
        <f aca="false">IF($B73="","",SUM(AL73:AR73))</f>
        <v/>
      </c>
      <c r="BS73" s="11" t="str">
        <f aca="false">IF($B73="","",SUM(AS73:AY73))</f>
        <v/>
      </c>
      <c r="BT73" s="12" t="str">
        <f aca="false">IF($B73="","",BN73/9)</f>
        <v/>
      </c>
      <c r="BU73" s="12" t="str">
        <f aca="false">IF($B73="","",BO73/5)</f>
        <v/>
      </c>
      <c r="BV73" s="12" t="str">
        <f aca="false">IF($B73="","",BP73/5)</f>
        <v/>
      </c>
      <c r="BW73" s="12" t="str">
        <f aca="false">IF($B73="","",BQ73/7)</f>
        <v/>
      </c>
      <c r="BX73" s="12" t="str">
        <f aca="false">IF($B73="","",BR73/7)</f>
        <v/>
      </c>
      <c r="BY73" s="12" t="str">
        <f aca="false">IF($B73="","",BS73/7)</f>
        <v/>
      </c>
      <c r="BZ73" s="11" t="str">
        <f aca="false">IF($B73="","",AZ73)</f>
        <v/>
      </c>
      <c r="CA73" s="11" t="str">
        <f aca="false">IF($B73="","",IF(BT73&lt;2.5,"Explorador",IF(BT73&lt;3.75,"Integrador","Innovador")))</f>
        <v/>
      </c>
      <c r="CB73" s="11" t="str">
        <f aca="false">IF($B73="","",IF(BU73&lt;2.5,"Explorador",IF(BU73&lt;3.75,"Integrador","Innovador")))</f>
        <v/>
      </c>
      <c r="CC73" s="11" t="str">
        <f aca="false">IF($B73="","",IF(BV73&lt;2.5,"Explorador",IF(BV73&lt;3.75,"Integrador","Innovador")))</f>
        <v/>
      </c>
      <c r="CD73" s="11" t="str">
        <f aca="false">IF($B73="","",IF(BW73&lt;2.5,"Explorador",IF(BW73&lt;3.75,"Integrador","Innovador")))</f>
        <v/>
      </c>
      <c r="CE73" s="11" t="str">
        <f aca="false">IF($B73="","",IF(BX73&lt;2.5,"Explorador",IF(BX73&lt;3.75,"Integrador","Innovador")))</f>
        <v/>
      </c>
      <c r="CF73" s="11" t="str">
        <f aca="false">IF($B73="","",IF(BY73&lt;2.5,"Explorador",IF(BY73&lt;3.75,"Integrador","Innovador")))</f>
        <v/>
      </c>
      <c r="CG73" s="13" t="str">
        <f aca="false">IF($B73="","",BB73/9)</f>
        <v/>
      </c>
      <c r="CH73" s="11" t="str">
        <f aca="false">IF($B73="","",IF(CG73&lt;0.4,"Bajo",IF(CG73&lt;0.7,"Medio","Alto")))</f>
        <v/>
      </c>
      <c r="CI73" s="13" t="str">
        <f aca="false">IF($B73="","",((AVERAGE(BU73,BW73,BY73))-1)/4)</f>
        <v/>
      </c>
      <c r="CJ73" s="11" t="str">
        <f aca="false">IF($B73="","",IF(CG73-CI73&gt;0.25,"Subvalora",IF(CI73-CG73&gt;0.25,"Sobreconfía","Consistente")))</f>
        <v/>
      </c>
    </row>
    <row r="74" customFormat="false" ht="1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 t="str">
        <f aca="false">IF($B74="","",6-L74)</f>
        <v/>
      </c>
      <c r="BM74" s="11" t="str">
        <f aca="false">IF($B74="","",6-O74)</f>
        <v/>
      </c>
      <c r="BN74" s="11" t="str">
        <f aca="false">IF($B74="","",J74+K74+BL74+M74+N74+BM74+P74+Q74+R74)</f>
        <v/>
      </c>
      <c r="BO74" s="11" t="str">
        <f aca="false">IF($B74="","",SUM(S74:W74))</f>
        <v/>
      </c>
      <c r="BP74" s="11" t="str">
        <f aca="false">IF($B74="","",SUM(Y74:AC74))</f>
        <v/>
      </c>
      <c r="BQ74" s="11" t="str">
        <f aca="false">IF($B74="","",SUM(AE74:AK74))</f>
        <v/>
      </c>
      <c r="BR74" s="11" t="str">
        <f aca="false">IF($B74="","",SUM(AL74:AR74))</f>
        <v/>
      </c>
      <c r="BS74" s="11" t="str">
        <f aca="false">IF($B74="","",SUM(AS74:AY74))</f>
        <v/>
      </c>
      <c r="BT74" s="12" t="str">
        <f aca="false">IF($B74="","",BN74/9)</f>
        <v/>
      </c>
      <c r="BU74" s="12" t="str">
        <f aca="false">IF($B74="","",BO74/5)</f>
        <v/>
      </c>
      <c r="BV74" s="12" t="str">
        <f aca="false">IF($B74="","",BP74/5)</f>
        <v/>
      </c>
      <c r="BW74" s="12" t="str">
        <f aca="false">IF($B74="","",BQ74/7)</f>
        <v/>
      </c>
      <c r="BX74" s="12" t="str">
        <f aca="false">IF($B74="","",BR74/7)</f>
        <v/>
      </c>
      <c r="BY74" s="12" t="str">
        <f aca="false">IF($B74="","",BS74/7)</f>
        <v/>
      </c>
      <c r="BZ74" s="11" t="str">
        <f aca="false">IF($B74="","",AZ74)</f>
        <v/>
      </c>
      <c r="CA74" s="11" t="str">
        <f aca="false">IF($B74="","",IF(BT74&lt;2.5,"Explorador",IF(BT74&lt;3.75,"Integrador","Innovador")))</f>
        <v/>
      </c>
      <c r="CB74" s="11" t="str">
        <f aca="false">IF($B74="","",IF(BU74&lt;2.5,"Explorador",IF(BU74&lt;3.75,"Integrador","Innovador")))</f>
        <v/>
      </c>
      <c r="CC74" s="11" t="str">
        <f aca="false">IF($B74="","",IF(BV74&lt;2.5,"Explorador",IF(BV74&lt;3.75,"Integrador","Innovador")))</f>
        <v/>
      </c>
      <c r="CD74" s="11" t="str">
        <f aca="false">IF($B74="","",IF(BW74&lt;2.5,"Explorador",IF(BW74&lt;3.75,"Integrador","Innovador")))</f>
        <v/>
      </c>
      <c r="CE74" s="11" t="str">
        <f aca="false">IF($B74="","",IF(BX74&lt;2.5,"Explorador",IF(BX74&lt;3.75,"Integrador","Innovador")))</f>
        <v/>
      </c>
      <c r="CF74" s="11" t="str">
        <f aca="false">IF($B74="","",IF(BY74&lt;2.5,"Explorador",IF(BY74&lt;3.75,"Integrador","Innovador")))</f>
        <v/>
      </c>
      <c r="CG74" s="13" t="str">
        <f aca="false">IF($B74="","",BB74/9)</f>
        <v/>
      </c>
      <c r="CH74" s="11" t="str">
        <f aca="false">IF($B74="","",IF(CG74&lt;0.4,"Bajo",IF(CG74&lt;0.7,"Medio","Alto")))</f>
        <v/>
      </c>
      <c r="CI74" s="13" t="str">
        <f aca="false">IF($B74="","",((AVERAGE(BU74,BW74,BY74))-1)/4)</f>
        <v/>
      </c>
      <c r="CJ74" s="11" t="str">
        <f aca="false">IF($B74="","",IF(CG74-CI74&gt;0.25,"Subvalora",IF(CI74-CG74&gt;0.25,"Sobreconfía","Consistente")))</f>
        <v/>
      </c>
    </row>
    <row r="75" customFormat="false" ht="1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 t="str">
        <f aca="false">IF($B75="","",6-L75)</f>
        <v/>
      </c>
      <c r="BM75" s="11" t="str">
        <f aca="false">IF($B75="","",6-O75)</f>
        <v/>
      </c>
      <c r="BN75" s="11" t="str">
        <f aca="false">IF($B75="","",J75+K75+BL75+M75+N75+BM75+P75+Q75+R75)</f>
        <v/>
      </c>
      <c r="BO75" s="11" t="str">
        <f aca="false">IF($B75="","",SUM(S75:W75))</f>
        <v/>
      </c>
      <c r="BP75" s="11" t="str">
        <f aca="false">IF($B75="","",SUM(Y75:AC75))</f>
        <v/>
      </c>
      <c r="BQ75" s="11" t="str">
        <f aca="false">IF($B75="","",SUM(AE75:AK75))</f>
        <v/>
      </c>
      <c r="BR75" s="11" t="str">
        <f aca="false">IF($B75="","",SUM(AL75:AR75))</f>
        <v/>
      </c>
      <c r="BS75" s="11" t="str">
        <f aca="false">IF($B75="","",SUM(AS75:AY75))</f>
        <v/>
      </c>
      <c r="BT75" s="12" t="str">
        <f aca="false">IF($B75="","",BN75/9)</f>
        <v/>
      </c>
      <c r="BU75" s="12" t="str">
        <f aca="false">IF($B75="","",BO75/5)</f>
        <v/>
      </c>
      <c r="BV75" s="12" t="str">
        <f aca="false">IF($B75="","",BP75/5)</f>
        <v/>
      </c>
      <c r="BW75" s="12" t="str">
        <f aca="false">IF($B75="","",BQ75/7)</f>
        <v/>
      </c>
      <c r="BX75" s="12" t="str">
        <f aca="false">IF($B75="","",BR75/7)</f>
        <v/>
      </c>
      <c r="BY75" s="12" t="str">
        <f aca="false">IF($B75="","",BS75/7)</f>
        <v/>
      </c>
      <c r="BZ75" s="11" t="str">
        <f aca="false">IF($B75="","",AZ75)</f>
        <v/>
      </c>
      <c r="CA75" s="11" t="str">
        <f aca="false">IF($B75="","",IF(BT75&lt;2.5,"Explorador",IF(BT75&lt;3.75,"Integrador","Innovador")))</f>
        <v/>
      </c>
      <c r="CB75" s="11" t="str">
        <f aca="false">IF($B75="","",IF(BU75&lt;2.5,"Explorador",IF(BU75&lt;3.75,"Integrador","Innovador")))</f>
        <v/>
      </c>
      <c r="CC75" s="11" t="str">
        <f aca="false">IF($B75="","",IF(BV75&lt;2.5,"Explorador",IF(BV75&lt;3.75,"Integrador","Innovador")))</f>
        <v/>
      </c>
      <c r="CD75" s="11" t="str">
        <f aca="false">IF($B75="","",IF(BW75&lt;2.5,"Explorador",IF(BW75&lt;3.75,"Integrador","Innovador")))</f>
        <v/>
      </c>
      <c r="CE75" s="11" t="str">
        <f aca="false">IF($B75="","",IF(BX75&lt;2.5,"Explorador",IF(BX75&lt;3.75,"Integrador","Innovador")))</f>
        <v/>
      </c>
      <c r="CF75" s="11" t="str">
        <f aca="false">IF($B75="","",IF(BY75&lt;2.5,"Explorador",IF(BY75&lt;3.75,"Integrador","Innovador")))</f>
        <v/>
      </c>
      <c r="CG75" s="13" t="str">
        <f aca="false">IF($B75="","",BB75/9)</f>
        <v/>
      </c>
      <c r="CH75" s="11" t="str">
        <f aca="false">IF($B75="","",IF(CG75&lt;0.4,"Bajo",IF(CG75&lt;0.7,"Medio","Alto")))</f>
        <v/>
      </c>
      <c r="CI75" s="13" t="str">
        <f aca="false">IF($B75="","",((AVERAGE(BU75,BW75,BY75))-1)/4)</f>
        <v/>
      </c>
      <c r="CJ75" s="11" t="str">
        <f aca="false">IF($B75="","",IF(CG75-CI75&gt;0.25,"Subvalora",IF(CI75-CG75&gt;0.25,"Sobreconfía","Consistente")))</f>
        <v/>
      </c>
    </row>
    <row r="76" customFormat="false" ht="1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 t="str">
        <f aca="false">IF($B76="","",6-L76)</f>
        <v/>
      </c>
      <c r="BM76" s="11" t="str">
        <f aca="false">IF($B76="","",6-O76)</f>
        <v/>
      </c>
      <c r="BN76" s="11" t="str">
        <f aca="false">IF($B76="","",J76+K76+BL76+M76+N76+BM76+P76+Q76+R76)</f>
        <v/>
      </c>
      <c r="BO76" s="11" t="str">
        <f aca="false">IF($B76="","",SUM(S76:W76))</f>
        <v/>
      </c>
      <c r="BP76" s="11" t="str">
        <f aca="false">IF($B76="","",SUM(Y76:AC76))</f>
        <v/>
      </c>
      <c r="BQ76" s="11" t="str">
        <f aca="false">IF($B76="","",SUM(AE76:AK76))</f>
        <v/>
      </c>
      <c r="BR76" s="11" t="str">
        <f aca="false">IF($B76="","",SUM(AL76:AR76))</f>
        <v/>
      </c>
      <c r="BS76" s="11" t="str">
        <f aca="false">IF($B76="","",SUM(AS76:AY76))</f>
        <v/>
      </c>
      <c r="BT76" s="12" t="str">
        <f aca="false">IF($B76="","",BN76/9)</f>
        <v/>
      </c>
      <c r="BU76" s="12" t="str">
        <f aca="false">IF($B76="","",BO76/5)</f>
        <v/>
      </c>
      <c r="BV76" s="12" t="str">
        <f aca="false">IF($B76="","",BP76/5)</f>
        <v/>
      </c>
      <c r="BW76" s="12" t="str">
        <f aca="false">IF($B76="","",BQ76/7)</f>
        <v/>
      </c>
      <c r="BX76" s="12" t="str">
        <f aca="false">IF($B76="","",BR76/7)</f>
        <v/>
      </c>
      <c r="BY76" s="12" t="str">
        <f aca="false">IF($B76="","",BS76/7)</f>
        <v/>
      </c>
      <c r="BZ76" s="11" t="str">
        <f aca="false">IF($B76="","",AZ76)</f>
        <v/>
      </c>
      <c r="CA76" s="11" t="str">
        <f aca="false">IF($B76="","",IF(BT76&lt;2.5,"Explorador",IF(BT76&lt;3.75,"Integrador","Innovador")))</f>
        <v/>
      </c>
      <c r="CB76" s="11" t="str">
        <f aca="false">IF($B76="","",IF(BU76&lt;2.5,"Explorador",IF(BU76&lt;3.75,"Integrador","Innovador")))</f>
        <v/>
      </c>
      <c r="CC76" s="11" t="str">
        <f aca="false">IF($B76="","",IF(BV76&lt;2.5,"Explorador",IF(BV76&lt;3.75,"Integrador","Innovador")))</f>
        <v/>
      </c>
      <c r="CD76" s="11" t="str">
        <f aca="false">IF($B76="","",IF(BW76&lt;2.5,"Explorador",IF(BW76&lt;3.75,"Integrador","Innovador")))</f>
        <v/>
      </c>
      <c r="CE76" s="11" t="str">
        <f aca="false">IF($B76="","",IF(BX76&lt;2.5,"Explorador",IF(BX76&lt;3.75,"Integrador","Innovador")))</f>
        <v/>
      </c>
      <c r="CF76" s="11" t="str">
        <f aca="false">IF($B76="","",IF(BY76&lt;2.5,"Explorador",IF(BY76&lt;3.75,"Integrador","Innovador")))</f>
        <v/>
      </c>
      <c r="CG76" s="13" t="str">
        <f aca="false">IF($B76="","",BB76/9)</f>
        <v/>
      </c>
      <c r="CH76" s="11" t="str">
        <f aca="false">IF($B76="","",IF(CG76&lt;0.4,"Bajo",IF(CG76&lt;0.7,"Medio","Alto")))</f>
        <v/>
      </c>
      <c r="CI76" s="13" t="str">
        <f aca="false">IF($B76="","",((AVERAGE(BU76,BW76,BY76))-1)/4)</f>
        <v/>
      </c>
      <c r="CJ76" s="11" t="str">
        <f aca="false">IF($B76="","",IF(CG76-CI76&gt;0.25,"Subvalora",IF(CI76-CG76&gt;0.25,"Sobreconfía","Consistente")))</f>
        <v/>
      </c>
    </row>
    <row r="77" customFormat="false" ht="1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 t="str">
        <f aca="false">IF($B77="","",6-L77)</f>
        <v/>
      </c>
      <c r="BM77" s="11" t="str">
        <f aca="false">IF($B77="","",6-O77)</f>
        <v/>
      </c>
      <c r="BN77" s="11" t="str">
        <f aca="false">IF($B77="","",J77+K77+BL77+M77+N77+BM77+P77+Q77+R77)</f>
        <v/>
      </c>
      <c r="BO77" s="11" t="str">
        <f aca="false">IF($B77="","",SUM(S77:W77))</f>
        <v/>
      </c>
      <c r="BP77" s="11" t="str">
        <f aca="false">IF($B77="","",SUM(Y77:AC77))</f>
        <v/>
      </c>
      <c r="BQ77" s="11" t="str">
        <f aca="false">IF($B77="","",SUM(AE77:AK77))</f>
        <v/>
      </c>
      <c r="BR77" s="11" t="str">
        <f aca="false">IF($B77="","",SUM(AL77:AR77))</f>
        <v/>
      </c>
      <c r="BS77" s="11" t="str">
        <f aca="false">IF($B77="","",SUM(AS77:AY77))</f>
        <v/>
      </c>
      <c r="BT77" s="12" t="str">
        <f aca="false">IF($B77="","",BN77/9)</f>
        <v/>
      </c>
      <c r="BU77" s="12" t="str">
        <f aca="false">IF($B77="","",BO77/5)</f>
        <v/>
      </c>
      <c r="BV77" s="12" t="str">
        <f aca="false">IF($B77="","",BP77/5)</f>
        <v/>
      </c>
      <c r="BW77" s="12" t="str">
        <f aca="false">IF($B77="","",BQ77/7)</f>
        <v/>
      </c>
      <c r="BX77" s="12" t="str">
        <f aca="false">IF($B77="","",BR77/7)</f>
        <v/>
      </c>
      <c r="BY77" s="12" t="str">
        <f aca="false">IF($B77="","",BS77/7)</f>
        <v/>
      </c>
      <c r="BZ77" s="11" t="str">
        <f aca="false">IF($B77="","",AZ77)</f>
        <v/>
      </c>
      <c r="CA77" s="11" t="str">
        <f aca="false">IF($B77="","",IF(BT77&lt;2.5,"Explorador",IF(BT77&lt;3.75,"Integrador","Innovador")))</f>
        <v/>
      </c>
      <c r="CB77" s="11" t="str">
        <f aca="false">IF($B77="","",IF(BU77&lt;2.5,"Explorador",IF(BU77&lt;3.75,"Integrador","Innovador")))</f>
        <v/>
      </c>
      <c r="CC77" s="11" t="str">
        <f aca="false">IF($B77="","",IF(BV77&lt;2.5,"Explorador",IF(BV77&lt;3.75,"Integrador","Innovador")))</f>
        <v/>
      </c>
      <c r="CD77" s="11" t="str">
        <f aca="false">IF($B77="","",IF(BW77&lt;2.5,"Explorador",IF(BW77&lt;3.75,"Integrador","Innovador")))</f>
        <v/>
      </c>
      <c r="CE77" s="11" t="str">
        <f aca="false">IF($B77="","",IF(BX77&lt;2.5,"Explorador",IF(BX77&lt;3.75,"Integrador","Innovador")))</f>
        <v/>
      </c>
      <c r="CF77" s="11" t="str">
        <f aca="false">IF($B77="","",IF(BY77&lt;2.5,"Explorador",IF(BY77&lt;3.75,"Integrador","Innovador")))</f>
        <v/>
      </c>
      <c r="CG77" s="13" t="str">
        <f aca="false">IF($B77="","",BB77/9)</f>
        <v/>
      </c>
      <c r="CH77" s="11" t="str">
        <f aca="false">IF($B77="","",IF(CG77&lt;0.4,"Bajo",IF(CG77&lt;0.7,"Medio","Alto")))</f>
        <v/>
      </c>
      <c r="CI77" s="13" t="str">
        <f aca="false">IF($B77="","",((AVERAGE(BU77,BW77,BY77))-1)/4)</f>
        <v/>
      </c>
      <c r="CJ77" s="11" t="str">
        <f aca="false">IF($B77="","",IF(CG77-CI77&gt;0.25,"Subvalora",IF(CI77-CG77&gt;0.25,"Sobreconfía","Consistente")))</f>
        <v/>
      </c>
    </row>
    <row r="78" customFormat="false" ht="1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 t="str">
        <f aca="false">IF($B78="","",6-L78)</f>
        <v/>
      </c>
      <c r="BM78" s="11" t="str">
        <f aca="false">IF($B78="","",6-O78)</f>
        <v/>
      </c>
      <c r="BN78" s="11" t="str">
        <f aca="false">IF($B78="","",J78+K78+BL78+M78+N78+BM78+P78+Q78+R78)</f>
        <v/>
      </c>
      <c r="BO78" s="11" t="str">
        <f aca="false">IF($B78="","",SUM(S78:W78))</f>
        <v/>
      </c>
      <c r="BP78" s="11" t="str">
        <f aca="false">IF($B78="","",SUM(Y78:AC78))</f>
        <v/>
      </c>
      <c r="BQ78" s="11" t="str">
        <f aca="false">IF($B78="","",SUM(AE78:AK78))</f>
        <v/>
      </c>
      <c r="BR78" s="11" t="str">
        <f aca="false">IF($B78="","",SUM(AL78:AR78))</f>
        <v/>
      </c>
      <c r="BS78" s="11" t="str">
        <f aca="false">IF($B78="","",SUM(AS78:AY78))</f>
        <v/>
      </c>
      <c r="BT78" s="12" t="str">
        <f aca="false">IF($B78="","",BN78/9)</f>
        <v/>
      </c>
      <c r="BU78" s="12" t="str">
        <f aca="false">IF($B78="","",BO78/5)</f>
        <v/>
      </c>
      <c r="BV78" s="12" t="str">
        <f aca="false">IF($B78="","",BP78/5)</f>
        <v/>
      </c>
      <c r="BW78" s="12" t="str">
        <f aca="false">IF($B78="","",BQ78/7)</f>
        <v/>
      </c>
      <c r="BX78" s="12" t="str">
        <f aca="false">IF($B78="","",BR78/7)</f>
        <v/>
      </c>
      <c r="BY78" s="12" t="str">
        <f aca="false">IF($B78="","",BS78/7)</f>
        <v/>
      </c>
      <c r="BZ78" s="11" t="str">
        <f aca="false">IF($B78="","",AZ78)</f>
        <v/>
      </c>
      <c r="CA78" s="11" t="str">
        <f aca="false">IF($B78="","",IF(BT78&lt;2.5,"Explorador",IF(BT78&lt;3.75,"Integrador","Innovador")))</f>
        <v/>
      </c>
      <c r="CB78" s="11" t="str">
        <f aca="false">IF($B78="","",IF(BU78&lt;2.5,"Explorador",IF(BU78&lt;3.75,"Integrador","Innovador")))</f>
        <v/>
      </c>
      <c r="CC78" s="11" t="str">
        <f aca="false">IF($B78="","",IF(BV78&lt;2.5,"Explorador",IF(BV78&lt;3.75,"Integrador","Innovador")))</f>
        <v/>
      </c>
      <c r="CD78" s="11" t="str">
        <f aca="false">IF($B78="","",IF(BW78&lt;2.5,"Explorador",IF(BW78&lt;3.75,"Integrador","Innovador")))</f>
        <v/>
      </c>
      <c r="CE78" s="11" t="str">
        <f aca="false">IF($B78="","",IF(BX78&lt;2.5,"Explorador",IF(BX78&lt;3.75,"Integrador","Innovador")))</f>
        <v/>
      </c>
      <c r="CF78" s="11" t="str">
        <f aca="false">IF($B78="","",IF(BY78&lt;2.5,"Explorador",IF(BY78&lt;3.75,"Integrador","Innovador")))</f>
        <v/>
      </c>
      <c r="CG78" s="13" t="str">
        <f aca="false">IF($B78="","",BB78/9)</f>
        <v/>
      </c>
      <c r="CH78" s="11" t="str">
        <f aca="false">IF($B78="","",IF(CG78&lt;0.4,"Bajo",IF(CG78&lt;0.7,"Medio","Alto")))</f>
        <v/>
      </c>
      <c r="CI78" s="13" t="str">
        <f aca="false">IF($B78="","",((AVERAGE(BU78,BW78,BY78))-1)/4)</f>
        <v/>
      </c>
      <c r="CJ78" s="11" t="str">
        <f aca="false">IF($B78="","",IF(CG78-CI78&gt;0.25,"Subvalora",IF(CI78-CG78&gt;0.25,"Sobreconfía","Consistente")))</f>
        <v/>
      </c>
    </row>
    <row r="79" customFormat="false" ht="1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 t="str">
        <f aca="false">IF($B79="","",6-L79)</f>
        <v/>
      </c>
      <c r="BM79" s="11" t="str">
        <f aca="false">IF($B79="","",6-O79)</f>
        <v/>
      </c>
      <c r="BN79" s="11" t="str">
        <f aca="false">IF($B79="","",J79+K79+BL79+M79+N79+BM79+P79+Q79+R79)</f>
        <v/>
      </c>
      <c r="BO79" s="11" t="str">
        <f aca="false">IF($B79="","",SUM(S79:W79))</f>
        <v/>
      </c>
      <c r="BP79" s="11" t="str">
        <f aca="false">IF($B79="","",SUM(Y79:AC79))</f>
        <v/>
      </c>
      <c r="BQ79" s="11" t="str">
        <f aca="false">IF($B79="","",SUM(AE79:AK79))</f>
        <v/>
      </c>
      <c r="BR79" s="11" t="str">
        <f aca="false">IF($B79="","",SUM(AL79:AR79))</f>
        <v/>
      </c>
      <c r="BS79" s="11" t="str">
        <f aca="false">IF($B79="","",SUM(AS79:AY79))</f>
        <v/>
      </c>
      <c r="BT79" s="12" t="str">
        <f aca="false">IF($B79="","",BN79/9)</f>
        <v/>
      </c>
      <c r="BU79" s="12" t="str">
        <f aca="false">IF($B79="","",BO79/5)</f>
        <v/>
      </c>
      <c r="BV79" s="12" t="str">
        <f aca="false">IF($B79="","",BP79/5)</f>
        <v/>
      </c>
      <c r="BW79" s="12" t="str">
        <f aca="false">IF($B79="","",BQ79/7)</f>
        <v/>
      </c>
      <c r="BX79" s="12" t="str">
        <f aca="false">IF($B79="","",BR79/7)</f>
        <v/>
      </c>
      <c r="BY79" s="12" t="str">
        <f aca="false">IF($B79="","",BS79/7)</f>
        <v/>
      </c>
      <c r="BZ79" s="11" t="str">
        <f aca="false">IF($B79="","",AZ79)</f>
        <v/>
      </c>
      <c r="CA79" s="11" t="str">
        <f aca="false">IF($B79="","",IF(BT79&lt;2.5,"Explorador",IF(BT79&lt;3.75,"Integrador","Innovador")))</f>
        <v/>
      </c>
      <c r="CB79" s="11" t="str">
        <f aca="false">IF($B79="","",IF(BU79&lt;2.5,"Explorador",IF(BU79&lt;3.75,"Integrador","Innovador")))</f>
        <v/>
      </c>
      <c r="CC79" s="11" t="str">
        <f aca="false">IF($B79="","",IF(BV79&lt;2.5,"Explorador",IF(BV79&lt;3.75,"Integrador","Innovador")))</f>
        <v/>
      </c>
      <c r="CD79" s="11" t="str">
        <f aca="false">IF($B79="","",IF(BW79&lt;2.5,"Explorador",IF(BW79&lt;3.75,"Integrador","Innovador")))</f>
        <v/>
      </c>
      <c r="CE79" s="11" t="str">
        <f aca="false">IF($B79="","",IF(BX79&lt;2.5,"Explorador",IF(BX79&lt;3.75,"Integrador","Innovador")))</f>
        <v/>
      </c>
      <c r="CF79" s="11" t="str">
        <f aca="false">IF($B79="","",IF(BY79&lt;2.5,"Explorador",IF(BY79&lt;3.75,"Integrador","Innovador")))</f>
        <v/>
      </c>
      <c r="CG79" s="13" t="str">
        <f aca="false">IF($B79="","",BB79/9)</f>
        <v/>
      </c>
      <c r="CH79" s="11" t="str">
        <f aca="false">IF($B79="","",IF(CG79&lt;0.4,"Bajo",IF(CG79&lt;0.7,"Medio","Alto")))</f>
        <v/>
      </c>
      <c r="CI79" s="13" t="str">
        <f aca="false">IF($B79="","",((AVERAGE(BU79,BW79,BY79))-1)/4)</f>
        <v/>
      </c>
      <c r="CJ79" s="11" t="str">
        <f aca="false">IF($B79="","",IF(CG79-CI79&gt;0.25,"Subvalora",IF(CI79-CG79&gt;0.25,"Sobreconfía","Consistente")))</f>
        <v/>
      </c>
    </row>
    <row r="80" customFormat="false" ht="1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 t="str">
        <f aca="false">IF($B80="","",6-L80)</f>
        <v/>
      </c>
      <c r="BM80" s="11" t="str">
        <f aca="false">IF($B80="","",6-O80)</f>
        <v/>
      </c>
      <c r="BN80" s="11" t="str">
        <f aca="false">IF($B80="","",J80+K80+BL80+M80+N80+BM80+P80+Q80+R80)</f>
        <v/>
      </c>
      <c r="BO80" s="11" t="str">
        <f aca="false">IF($B80="","",SUM(S80:W80))</f>
        <v/>
      </c>
      <c r="BP80" s="11" t="str">
        <f aca="false">IF($B80="","",SUM(Y80:AC80))</f>
        <v/>
      </c>
      <c r="BQ80" s="11" t="str">
        <f aca="false">IF($B80="","",SUM(AE80:AK80))</f>
        <v/>
      </c>
      <c r="BR80" s="11" t="str">
        <f aca="false">IF($B80="","",SUM(AL80:AR80))</f>
        <v/>
      </c>
      <c r="BS80" s="11" t="str">
        <f aca="false">IF($B80="","",SUM(AS80:AY80))</f>
        <v/>
      </c>
      <c r="BT80" s="12" t="str">
        <f aca="false">IF($B80="","",BN80/9)</f>
        <v/>
      </c>
      <c r="BU80" s="12" t="str">
        <f aca="false">IF($B80="","",BO80/5)</f>
        <v/>
      </c>
      <c r="BV80" s="12" t="str">
        <f aca="false">IF($B80="","",BP80/5)</f>
        <v/>
      </c>
      <c r="BW80" s="12" t="str">
        <f aca="false">IF($B80="","",BQ80/7)</f>
        <v/>
      </c>
      <c r="BX80" s="12" t="str">
        <f aca="false">IF($B80="","",BR80/7)</f>
        <v/>
      </c>
      <c r="BY80" s="12" t="str">
        <f aca="false">IF($B80="","",BS80/7)</f>
        <v/>
      </c>
      <c r="BZ80" s="11" t="str">
        <f aca="false">IF($B80="","",AZ80)</f>
        <v/>
      </c>
      <c r="CA80" s="11" t="str">
        <f aca="false">IF($B80="","",IF(BT80&lt;2.5,"Explorador",IF(BT80&lt;3.75,"Integrador","Innovador")))</f>
        <v/>
      </c>
      <c r="CB80" s="11" t="str">
        <f aca="false">IF($B80="","",IF(BU80&lt;2.5,"Explorador",IF(BU80&lt;3.75,"Integrador","Innovador")))</f>
        <v/>
      </c>
      <c r="CC80" s="11" t="str">
        <f aca="false">IF($B80="","",IF(BV80&lt;2.5,"Explorador",IF(BV80&lt;3.75,"Integrador","Innovador")))</f>
        <v/>
      </c>
      <c r="CD80" s="11" t="str">
        <f aca="false">IF($B80="","",IF(BW80&lt;2.5,"Explorador",IF(BW80&lt;3.75,"Integrador","Innovador")))</f>
        <v/>
      </c>
      <c r="CE80" s="11" t="str">
        <f aca="false">IF($B80="","",IF(BX80&lt;2.5,"Explorador",IF(BX80&lt;3.75,"Integrador","Innovador")))</f>
        <v/>
      </c>
      <c r="CF80" s="11" t="str">
        <f aca="false">IF($B80="","",IF(BY80&lt;2.5,"Explorador",IF(BY80&lt;3.75,"Integrador","Innovador")))</f>
        <v/>
      </c>
      <c r="CG80" s="13" t="str">
        <f aca="false">IF($B80="","",BB80/9)</f>
        <v/>
      </c>
      <c r="CH80" s="11" t="str">
        <f aca="false">IF($B80="","",IF(CG80&lt;0.4,"Bajo",IF(CG80&lt;0.7,"Medio","Alto")))</f>
        <v/>
      </c>
      <c r="CI80" s="13" t="str">
        <f aca="false">IF($B80="","",((AVERAGE(BU80,BW80,BY80))-1)/4)</f>
        <v/>
      </c>
      <c r="CJ80" s="11" t="str">
        <f aca="false">IF($B80="","",IF(CG80-CI80&gt;0.25,"Subvalora",IF(CI80-CG80&gt;0.25,"Sobreconfía","Consistente")))</f>
        <v/>
      </c>
    </row>
    <row r="81" customFormat="false" ht="1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 t="str">
        <f aca="false">IF($B81="","",6-L81)</f>
        <v/>
      </c>
      <c r="BM81" s="11" t="str">
        <f aca="false">IF($B81="","",6-O81)</f>
        <v/>
      </c>
      <c r="BN81" s="11" t="str">
        <f aca="false">IF($B81="","",J81+K81+BL81+M81+N81+BM81+P81+Q81+R81)</f>
        <v/>
      </c>
      <c r="BO81" s="11" t="str">
        <f aca="false">IF($B81="","",SUM(S81:W81))</f>
        <v/>
      </c>
      <c r="BP81" s="11" t="str">
        <f aca="false">IF($B81="","",SUM(Y81:AC81))</f>
        <v/>
      </c>
      <c r="BQ81" s="11" t="str">
        <f aca="false">IF($B81="","",SUM(AE81:AK81))</f>
        <v/>
      </c>
      <c r="BR81" s="11" t="str">
        <f aca="false">IF($B81="","",SUM(AL81:AR81))</f>
        <v/>
      </c>
      <c r="BS81" s="11" t="str">
        <f aca="false">IF($B81="","",SUM(AS81:AY81))</f>
        <v/>
      </c>
      <c r="BT81" s="12" t="str">
        <f aca="false">IF($B81="","",BN81/9)</f>
        <v/>
      </c>
      <c r="BU81" s="12" t="str">
        <f aca="false">IF($B81="","",BO81/5)</f>
        <v/>
      </c>
      <c r="BV81" s="12" t="str">
        <f aca="false">IF($B81="","",BP81/5)</f>
        <v/>
      </c>
      <c r="BW81" s="12" t="str">
        <f aca="false">IF($B81="","",BQ81/7)</f>
        <v/>
      </c>
      <c r="BX81" s="12" t="str">
        <f aca="false">IF($B81="","",BR81/7)</f>
        <v/>
      </c>
      <c r="BY81" s="12" t="str">
        <f aca="false">IF($B81="","",BS81/7)</f>
        <v/>
      </c>
      <c r="BZ81" s="11" t="str">
        <f aca="false">IF($B81="","",AZ81)</f>
        <v/>
      </c>
      <c r="CA81" s="11" t="str">
        <f aca="false">IF($B81="","",IF(BT81&lt;2.5,"Explorador",IF(BT81&lt;3.75,"Integrador","Innovador")))</f>
        <v/>
      </c>
      <c r="CB81" s="11" t="str">
        <f aca="false">IF($B81="","",IF(BU81&lt;2.5,"Explorador",IF(BU81&lt;3.75,"Integrador","Innovador")))</f>
        <v/>
      </c>
      <c r="CC81" s="11" t="str">
        <f aca="false">IF($B81="","",IF(BV81&lt;2.5,"Explorador",IF(BV81&lt;3.75,"Integrador","Innovador")))</f>
        <v/>
      </c>
      <c r="CD81" s="11" t="str">
        <f aca="false">IF($B81="","",IF(BW81&lt;2.5,"Explorador",IF(BW81&lt;3.75,"Integrador","Innovador")))</f>
        <v/>
      </c>
      <c r="CE81" s="11" t="str">
        <f aca="false">IF($B81="","",IF(BX81&lt;2.5,"Explorador",IF(BX81&lt;3.75,"Integrador","Innovador")))</f>
        <v/>
      </c>
      <c r="CF81" s="11" t="str">
        <f aca="false">IF($B81="","",IF(BY81&lt;2.5,"Explorador",IF(BY81&lt;3.75,"Integrador","Innovador")))</f>
        <v/>
      </c>
      <c r="CG81" s="13" t="str">
        <f aca="false">IF($B81="","",BB81/9)</f>
        <v/>
      </c>
      <c r="CH81" s="11" t="str">
        <f aca="false">IF($B81="","",IF(CG81&lt;0.4,"Bajo",IF(CG81&lt;0.7,"Medio","Alto")))</f>
        <v/>
      </c>
      <c r="CI81" s="13" t="str">
        <f aca="false">IF($B81="","",((AVERAGE(BU81,BW81,BY81))-1)/4)</f>
        <v/>
      </c>
      <c r="CJ81" s="11" t="str">
        <f aca="false">IF($B81="","",IF(CG81-CI81&gt;0.25,"Subvalora",IF(CI81-CG81&gt;0.25,"Sobreconfía","Consistente")))</f>
        <v/>
      </c>
    </row>
    <row r="82" customFormat="false" ht="1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 t="str">
        <f aca="false">IF($B82="","",6-L82)</f>
        <v/>
      </c>
      <c r="BM82" s="11" t="str">
        <f aca="false">IF($B82="","",6-O82)</f>
        <v/>
      </c>
      <c r="BN82" s="11" t="str">
        <f aca="false">IF($B82="","",J82+K82+BL82+M82+N82+BM82+P82+Q82+R82)</f>
        <v/>
      </c>
      <c r="BO82" s="11" t="str">
        <f aca="false">IF($B82="","",SUM(S82:W82))</f>
        <v/>
      </c>
      <c r="BP82" s="11" t="str">
        <f aca="false">IF($B82="","",SUM(Y82:AC82))</f>
        <v/>
      </c>
      <c r="BQ82" s="11" t="str">
        <f aca="false">IF($B82="","",SUM(AE82:AK82))</f>
        <v/>
      </c>
      <c r="BR82" s="11" t="str">
        <f aca="false">IF($B82="","",SUM(AL82:AR82))</f>
        <v/>
      </c>
      <c r="BS82" s="11" t="str">
        <f aca="false">IF($B82="","",SUM(AS82:AY82))</f>
        <v/>
      </c>
      <c r="BT82" s="12" t="str">
        <f aca="false">IF($B82="","",BN82/9)</f>
        <v/>
      </c>
      <c r="BU82" s="12" t="str">
        <f aca="false">IF($B82="","",BO82/5)</f>
        <v/>
      </c>
      <c r="BV82" s="12" t="str">
        <f aca="false">IF($B82="","",BP82/5)</f>
        <v/>
      </c>
      <c r="BW82" s="12" t="str">
        <f aca="false">IF($B82="","",BQ82/7)</f>
        <v/>
      </c>
      <c r="BX82" s="12" t="str">
        <f aca="false">IF($B82="","",BR82/7)</f>
        <v/>
      </c>
      <c r="BY82" s="12" t="str">
        <f aca="false">IF($B82="","",BS82/7)</f>
        <v/>
      </c>
      <c r="BZ82" s="11" t="str">
        <f aca="false">IF($B82="","",AZ82)</f>
        <v/>
      </c>
      <c r="CA82" s="11" t="str">
        <f aca="false">IF($B82="","",IF(BT82&lt;2.5,"Explorador",IF(BT82&lt;3.75,"Integrador","Innovador")))</f>
        <v/>
      </c>
      <c r="CB82" s="11" t="str">
        <f aca="false">IF($B82="","",IF(BU82&lt;2.5,"Explorador",IF(BU82&lt;3.75,"Integrador","Innovador")))</f>
        <v/>
      </c>
      <c r="CC82" s="11" t="str">
        <f aca="false">IF($B82="","",IF(BV82&lt;2.5,"Explorador",IF(BV82&lt;3.75,"Integrador","Innovador")))</f>
        <v/>
      </c>
      <c r="CD82" s="11" t="str">
        <f aca="false">IF($B82="","",IF(BW82&lt;2.5,"Explorador",IF(BW82&lt;3.75,"Integrador","Innovador")))</f>
        <v/>
      </c>
      <c r="CE82" s="11" t="str">
        <f aca="false">IF($B82="","",IF(BX82&lt;2.5,"Explorador",IF(BX82&lt;3.75,"Integrador","Innovador")))</f>
        <v/>
      </c>
      <c r="CF82" s="11" t="str">
        <f aca="false">IF($B82="","",IF(BY82&lt;2.5,"Explorador",IF(BY82&lt;3.75,"Integrador","Innovador")))</f>
        <v/>
      </c>
      <c r="CG82" s="13" t="str">
        <f aca="false">IF($B82="","",BB82/9)</f>
        <v/>
      </c>
      <c r="CH82" s="11" t="str">
        <f aca="false">IF($B82="","",IF(CG82&lt;0.4,"Bajo",IF(CG82&lt;0.7,"Medio","Alto")))</f>
        <v/>
      </c>
      <c r="CI82" s="13" t="str">
        <f aca="false">IF($B82="","",((AVERAGE(BU82,BW82,BY82))-1)/4)</f>
        <v/>
      </c>
      <c r="CJ82" s="11" t="str">
        <f aca="false">IF($B82="","",IF(CG82-CI82&gt;0.25,"Subvalora",IF(CI82-CG82&gt;0.25,"Sobreconfía","Consistente")))</f>
        <v/>
      </c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 t="str">
        <f aca="false">IF($B83="","",6-L83)</f>
        <v/>
      </c>
      <c r="BM83" s="11" t="str">
        <f aca="false">IF($B83="","",6-O83)</f>
        <v/>
      </c>
      <c r="BN83" s="11" t="str">
        <f aca="false">IF($B83="","",J83+K83+BL83+M83+N83+BM83+P83+Q83+R83)</f>
        <v/>
      </c>
      <c r="BO83" s="11" t="str">
        <f aca="false">IF($B83="","",SUM(S83:W83))</f>
        <v/>
      </c>
      <c r="BP83" s="11" t="str">
        <f aca="false">IF($B83="","",SUM(Y83:AC83))</f>
        <v/>
      </c>
      <c r="BQ83" s="11" t="str">
        <f aca="false">IF($B83="","",SUM(AE83:AK83))</f>
        <v/>
      </c>
      <c r="BR83" s="11" t="str">
        <f aca="false">IF($B83="","",SUM(AL83:AR83))</f>
        <v/>
      </c>
      <c r="BS83" s="11" t="str">
        <f aca="false">IF($B83="","",SUM(AS83:AY83))</f>
        <v/>
      </c>
      <c r="BT83" s="12" t="str">
        <f aca="false">IF($B83="","",BN83/9)</f>
        <v/>
      </c>
      <c r="BU83" s="12" t="str">
        <f aca="false">IF($B83="","",BO83/5)</f>
        <v/>
      </c>
      <c r="BV83" s="12" t="str">
        <f aca="false">IF($B83="","",BP83/5)</f>
        <v/>
      </c>
      <c r="BW83" s="12" t="str">
        <f aca="false">IF($B83="","",BQ83/7)</f>
        <v/>
      </c>
      <c r="BX83" s="12" t="str">
        <f aca="false">IF($B83="","",BR83/7)</f>
        <v/>
      </c>
      <c r="BY83" s="12" t="str">
        <f aca="false">IF($B83="","",BS83/7)</f>
        <v/>
      </c>
      <c r="BZ83" s="11" t="str">
        <f aca="false">IF($B83="","",AZ83)</f>
        <v/>
      </c>
      <c r="CA83" s="11" t="str">
        <f aca="false">IF($B83="","",IF(BT83&lt;2.5,"Explorador",IF(BT83&lt;3.75,"Integrador","Innovador")))</f>
        <v/>
      </c>
      <c r="CB83" s="11" t="str">
        <f aca="false">IF($B83="","",IF(BU83&lt;2.5,"Explorador",IF(BU83&lt;3.75,"Integrador","Innovador")))</f>
        <v/>
      </c>
      <c r="CC83" s="11" t="str">
        <f aca="false">IF($B83="","",IF(BV83&lt;2.5,"Explorador",IF(BV83&lt;3.75,"Integrador","Innovador")))</f>
        <v/>
      </c>
      <c r="CD83" s="11" t="str">
        <f aca="false">IF($B83="","",IF(BW83&lt;2.5,"Explorador",IF(BW83&lt;3.75,"Integrador","Innovador")))</f>
        <v/>
      </c>
      <c r="CE83" s="11" t="str">
        <f aca="false">IF($B83="","",IF(BX83&lt;2.5,"Explorador",IF(BX83&lt;3.75,"Integrador","Innovador")))</f>
        <v/>
      </c>
      <c r="CF83" s="11" t="str">
        <f aca="false">IF($B83="","",IF(BY83&lt;2.5,"Explorador",IF(BY83&lt;3.75,"Integrador","Innovador")))</f>
        <v/>
      </c>
      <c r="CG83" s="13" t="str">
        <f aca="false">IF($B83="","",BB83/9)</f>
        <v/>
      </c>
      <c r="CH83" s="11" t="str">
        <f aca="false">IF($B83="","",IF(CG83&lt;0.4,"Bajo",IF(CG83&lt;0.7,"Medio","Alto")))</f>
        <v/>
      </c>
      <c r="CI83" s="13" t="str">
        <f aca="false">IF($B83="","",((AVERAGE(BU83,BW83,BY83))-1)/4)</f>
        <v/>
      </c>
      <c r="CJ83" s="11" t="str">
        <f aca="false">IF($B83="","",IF(CG83-CI83&gt;0.25,"Subvalora",IF(CI83-CG83&gt;0.25,"Sobreconfía","Consistente")))</f>
        <v/>
      </c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 t="str">
        <f aca="false">IF($B84="","",6-L84)</f>
        <v/>
      </c>
      <c r="BM84" s="11" t="str">
        <f aca="false">IF($B84="","",6-O84)</f>
        <v/>
      </c>
      <c r="BN84" s="11" t="str">
        <f aca="false">IF($B84="","",J84+K84+BL84+M84+N84+BM84+P84+Q84+R84)</f>
        <v/>
      </c>
      <c r="BO84" s="11" t="str">
        <f aca="false">IF($B84="","",SUM(S84:W84))</f>
        <v/>
      </c>
      <c r="BP84" s="11" t="str">
        <f aca="false">IF($B84="","",SUM(Y84:AC84))</f>
        <v/>
      </c>
      <c r="BQ84" s="11" t="str">
        <f aca="false">IF($B84="","",SUM(AE84:AK84))</f>
        <v/>
      </c>
      <c r="BR84" s="11" t="str">
        <f aca="false">IF($B84="","",SUM(AL84:AR84))</f>
        <v/>
      </c>
      <c r="BS84" s="11" t="str">
        <f aca="false">IF($B84="","",SUM(AS84:AY84))</f>
        <v/>
      </c>
      <c r="BT84" s="12" t="str">
        <f aca="false">IF($B84="","",BN84/9)</f>
        <v/>
      </c>
      <c r="BU84" s="12" t="str">
        <f aca="false">IF($B84="","",BO84/5)</f>
        <v/>
      </c>
      <c r="BV84" s="12" t="str">
        <f aca="false">IF($B84="","",BP84/5)</f>
        <v/>
      </c>
      <c r="BW84" s="12" t="str">
        <f aca="false">IF($B84="","",BQ84/7)</f>
        <v/>
      </c>
      <c r="BX84" s="12" t="str">
        <f aca="false">IF($B84="","",BR84/7)</f>
        <v/>
      </c>
      <c r="BY84" s="12" t="str">
        <f aca="false">IF($B84="","",BS84/7)</f>
        <v/>
      </c>
      <c r="BZ84" s="11" t="str">
        <f aca="false">IF($B84="","",AZ84)</f>
        <v/>
      </c>
      <c r="CA84" s="11" t="str">
        <f aca="false">IF($B84="","",IF(BT84&lt;2.5,"Explorador",IF(BT84&lt;3.75,"Integrador","Innovador")))</f>
        <v/>
      </c>
      <c r="CB84" s="11" t="str">
        <f aca="false">IF($B84="","",IF(BU84&lt;2.5,"Explorador",IF(BU84&lt;3.75,"Integrador","Innovador")))</f>
        <v/>
      </c>
      <c r="CC84" s="11" t="str">
        <f aca="false">IF($B84="","",IF(BV84&lt;2.5,"Explorador",IF(BV84&lt;3.75,"Integrador","Innovador")))</f>
        <v/>
      </c>
      <c r="CD84" s="11" t="str">
        <f aca="false">IF($B84="","",IF(BW84&lt;2.5,"Explorador",IF(BW84&lt;3.75,"Integrador","Innovador")))</f>
        <v/>
      </c>
      <c r="CE84" s="11" t="str">
        <f aca="false">IF($B84="","",IF(BX84&lt;2.5,"Explorador",IF(BX84&lt;3.75,"Integrador","Innovador")))</f>
        <v/>
      </c>
      <c r="CF84" s="11" t="str">
        <f aca="false">IF($B84="","",IF(BY84&lt;2.5,"Explorador",IF(BY84&lt;3.75,"Integrador","Innovador")))</f>
        <v/>
      </c>
      <c r="CG84" s="13" t="str">
        <f aca="false">IF($B84="","",BB84/9)</f>
        <v/>
      </c>
      <c r="CH84" s="11" t="str">
        <f aca="false">IF($B84="","",IF(CG84&lt;0.4,"Bajo",IF(CG84&lt;0.7,"Medio","Alto")))</f>
        <v/>
      </c>
      <c r="CI84" s="13" t="str">
        <f aca="false">IF($B84="","",((AVERAGE(BU84,BW84,BY84))-1)/4)</f>
        <v/>
      </c>
      <c r="CJ84" s="11" t="str">
        <f aca="false">IF($B84="","",IF(CG84-CI84&gt;0.25,"Subvalora",IF(CI84-CG84&gt;0.25,"Sobreconfía","Consistente")))</f>
        <v/>
      </c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 t="str">
        <f aca="false">IF($B85="","",6-L85)</f>
        <v/>
      </c>
      <c r="BM85" s="11" t="str">
        <f aca="false">IF($B85="","",6-O85)</f>
        <v/>
      </c>
      <c r="BN85" s="11" t="str">
        <f aca="false">IF($B85="","",J85+K85+BL85+M85+N85+BM85+P85+Q85+R85)</f>
        <v/>
      </c>
      <c r="BO85" s="11" t="str">
        <f aca="false">IF($B85="","",SUM(S85:W85))</f>
        <v/>
      </c>
      <c r="BP85" s="11" t="str">
        <f aca="false">IF($B85="","",SUM(Y85:AC85))</f>
        <v/>
      </c>
      <c r="BQ85" s="11" t="str">
        <f aca="false">IF($B85="","",SUM(AE85:AK85))</f>
        <v/>
      </c>
      <c r="BR85" s="11" t="str">
        <f aca="false">IF($B85="","",SUM(AL85:AR85))</f>
        <v/>
      </c>
      <c r="BS85" s="11" t="str">
        <f aca="false">IF($B85="","",SUM(AS85:AY85))</f>
        <v/>
      </c>
      <c r="BT85" s="12" t="str">
        <f aca="false">IF($B85="","",BN85/9)</f>
        <v/>
      </c>
      <c r="BU85" s="12" t="str">
        <f aca="false">IF($B85="","",BO85/5)</f>
        <v/>
      </c>
      <c r="BV85" s="12" t="str">
        <f aca="false">IF($B85="","",BP85/5)</f>
        <v/>
      </c>
      <c r="BW85" s="12" t="str">
        <f aca="false">IF($B85="","",BQ85/7)</f>
        <v/>
      </c>
      <c r="BX85" s="12" t="str">
        <f aca="false">IF($B85="","",BR85/7)</f>
        <v/>
      </c>
      <c r="BY85" s="12" t="str">
        <f aca="false">IF($B85="","",BS85/7)</f>
        <v/>
      </c>
      <c r="BZ85" s="11" t="str">
        <f aca="false">IF($B85="","",AZ85)</f>
        <v/>
      </c>
      <c r="CA85" s="11" t="str">
        <f aca="false">IF($B85="","",IF(BT85&lt;2.5,"Explorador",IF(BT85&lt;3.75,"Integrador","Innovador")))</f>
        <v/>
      </c>
      <c r="CB85" s="11" t="str">
        <f aca="false">IF($B85="","",IF(BU85&lt;2.5,"Explorador",IF(BU85&lt;3.75,"Integrador","Innovador")))</f>
        <v/>
      </c>
      <c r="CC85" s="11" t="str">
        <f aca="false">IF($B85="","",IF(BV85&lt;2.5,"Explorador",IF(BV85&lt;3.75,"Integrador","Innovador")))</f>
        <v/>
      </c>
      <c r="CD85" s="11" t="str">
        <f aca="false">IF($B85="","",IF(BW85&lt;2.5,"Explorador",IF(BW85&lt;3.75,"Integrador","Innovador")))</f>
        <v/>
      </c>
      <c r="CE85" s="11" t="str">
        <f aca="false">IF($B85="","",IF(BX85&lt;2.5,"Explorador",IF(BX85&lt;3.75,"Integrador","Innovador")))</f>
        <v/>
      </c>
      <c r="CF85" s="11" t="str">
        <f aca="false">IF($B85="","",IF(BY85&lt;2.5,"Explorador",IF(BY85&lt;3.75,"Integrador","Innovador")))</f>
        <v/>
      </c>
      <c r="CG85" s="13" t="str">
        <f aca="false">IF($B85="","",BB85/9)</f>
        <v/>
      </c>
      <c r="CH85" s="11" t="str">
        <f aca="false">IF($B85="","",IF(CG85&lt;0.4,"Bajo",IF(CG85&lt;0.7,"Medio","Alto")))</f>
        <v/>
      </c>
      <c r="CI85" s="13" t="str">
        <f aca="false">IF($B85="","",((AVERAGE(BU85,BW85,BY85))-1)/4)</f>
        <v/>
      </c>
      <c r="CJ85" s="11" t="str">
        <f aca="false">IF($B85="","",IF(CG85-CI85&gt;0.25,"Subvalora",IF(CI85-CG85&gt;0.25,"Sobreconfía","Consistente")))</f>
        <v/>
      </c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 t="str">
        <f aca="false">IF($B86="","",6-L86)</f>
        <v/>
      </c>
      <c r="BM86" s="11" t="str">
        <f aca="false">IF($B86="","",6-O86)</f>
        <v/>
      </c>
      <c r="BN86" s="11" t="str">
        <f aca="false">IF($B86="","",J86+K86+BL86+M86+N86+BM86+P86+Q86+R86)</f>
        <v/>
      </c>
      <c r="BO86" s="11" t="str">
        <f aca="false">IF($B86="","",SUM(S86:W86))</f>
        <v/>
      </c>
      <c r="BP86" s="11" t="str">
        <f aca="false">IF($B86="","",SUM(Y86:AC86))</f>
        <v/>
      </c>
      <c r="BQ86" s="11" t="str">
        <f aca="false">IF($B86="","",SUM(AE86:AK86))</f>
        <v/>
      </c>
      <c r="BR86" s="11" t="str">
        <f aca="false">IF($B86="","",SUM(AL86:AR86))</f>
        <v/>
      </c>
      <c r="BS86" s="11" t="str">
        <f aca="false">IF($B86="","",SUM(AS86:AY86))</f>
        <v/>
      </c>
      <c r="BT86" s="12" t="str">
        <f aca="false">IF($B86="","",BN86/9)</f>
        <v/>
      </c>
      <c r="BU86" s="12" t="str">
        <f aca="false">IF($B86="","",BO86/5)</f>
        <v/>
      </c>
      <c r="BV86" s="12" t="str">
        <f aca="false">IF($B86="","",BP86/5)</f>
        <v/>
      </c>
      <c r="BW86" s="12" t="str">
        <f aca="false">IF($B86="","",BQ86/7)</f>
        <v/>
      </c>
      <c r="BX86" s="12" t="str">
        <f aca="false">IF($B86="","",BR86/7)</f>
        <v/>
      </c>
      <c r="BY86" s="12" t="str">
        <f aca="false">IF($B86="","",BS86/7)</f>
        <v/>
      </c>
      <c r="BZ86" s="11" t="str">
        <f aca="false">IF($B86="","",AZ86)</f>
        <v/>
      </c>
      <c r="CA86" s="11" t="str">
        <f aca="false">IF($B86="","",IF(BT86&lt;2.5,"Explorador",IF(BT86&lt;3.75,"Integrador","Innovador")))</f>
        <v/>
      </c>
      <c r="CB86" s="11" t="str">
        <f aca="false">IF($B86="","",IF(BU86&lt;2.5,"Explorador",IF(BU86&lt;3.75,"Integrador","Innovador")))</f>
        <v/>
      </c>
      <c r="CC86" s="11" t="str">
        <f aca="false">IF($B86="","",IF(BV86&lt;2.5,"Explorador",IF(BV86&lt;3.75,"Integrador","Innovador")))</f>
        <v/>
      </c>
      <c r="CD86" s="11" t="str">
        <f aca="false">IF($B86="","",IF(BW86&lt;2.5,"Explorador",IF(BW86&lt;3.75,"Integrador","Innovador")))</f>
        <v/>
      </c>
      <c r="CE86" s="11" t="str">
        <f aca="false">IF($B86="","",IF(BX86&lt;2.5,"Explorador",IF(BX86&lt;3.75,"Integrador","Innovador")))</f>
        <v/>
      </c>
      <c r="CF86" s="11" t="str">
        <f aca="false">IF($B86="","",IF(BY86&lt;2.5,"Explorador",IF(BY86&lt;3.75,"Integrador","Innovador")))</f>
        <v/>
      </c>
      <c r="CG86" s="13" t="str">
        <f aca="false">IF($B86="","",BB86/9)</f>
        <v/>
      </c>
      <c r="CH86" s="11" t="str">
        <f aca="false">IF($B86="","",IF(CG86&lt;0.4,"Bajo",IF(CG86&lt;0.7,"Medio","Alto")))</f>
        <v/>
      </c>
      <c r="CI86" s="13" t="str">
        <f aca="false">IF($B86="","",((AVERAGE(BU86,BW86,BY86))-1)/4)</f>
        <v/>
      </c>
      <c r="CJ86" s="11" t="str">
        <f aca="false">IF($B86="","",IF(CG86-CI86&gt;0.25,"Subvalora",IF(CI86-CG86&gt;0.25,"Sobreconfía","Consistente")))</f>
        <v/>
      </c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 t="str">
        <f aca="false">IF($B87="","",6-L87)</f>
        <v/>
      </c>
      <c r="BM87" s="11" t="str">
        <f aca="false">IF($B87="","",6-O87)</f>
        <v/>
      </c>
      <c r="BN87" s="11" t="str">
        <f aca="false">IF($B87="","",J87+K87+BL87+M87+N87+BM87+P87+Q87+R87)</f>
        <v/>
      </c>
      <c r="BO87" s="11" t="str">
        <f aca="false">IF($B87="","",SUM(S87:W87))</f>
        <v/>
      </c>
      <c r="BP87" s="11" t="str">
        <f aca="false">IF($B87="","",SUM(Y87:AC87))</f>
        <v/>
      </c>
      <c r="BQ87" s="11" t="str">
        <f aca="false">IF($B87="","",SUM(AE87:AK87))</f>
        <v/>
      </c>
      <c r="BR87" s="11" t="str">
        <f aca="false">IF($B87="","",SUM(AL87:AR87))</f>
        <v/>
      </c>
      <c r="BS87" s="11" t="str">
        <f aca="false">IF($B87="","",SUM(AS87:AY87))</f>
        <v/>
      </c>
      <c r="BT87" s="12" t="str">
        <f aca="false">IF($B87="","",BN87/9)</f>
        <v/>
      </c>
      <c r="BU87" s="12" t="str">
        <f aca="false">IF($B87="","",BO87/5)</f>
        <v/>
      </c>
      <c r="BV87" s="12" t="str">
        <f aca="false">IF($B87="","",BP87/5)</f>
        <v/>
      </c>
      <c r="BW87" s="12" t="str">
        <f aca="false">IF($B87="","",BQ87/7)</f>
        <v/>
      </c>
      <c r="BX87" s="12" t="str">
        <f aca="false">IF($B87="","",BR87/7)</f>
        <v/>
      </c>
      <c r="BY87" s="12" t="str">
        <f aca="false">IF($B87="","",BS87/7)</f>
        <v/>
      </c>
      <c r="BZ87" s="11" t="str">
        <f aca="false">IF($B87="","",AZ87)</f>
        <v/>
      </c>
      <c r="CA87" s="11" t="str">
        <f aca="false">IF($B87="","",IF(BT87&lt;2.5,"Explorador",IF(BT87&lt;3.75,"Integrador","Innovador")))</f>
        <v/>
      </c>
      <c r="CB87" s="11" t="str">
        <f aca="false">IF($B87="","",IF(BU87&lt;2.5,"Explorador",IF(BU87&lt;3.75,"Integrador","Innovador")))</f>
        <v/>
      </c>
      <c r="CC87" s="11" t="str">
        <f aca="false">IF($B87="","",IF(BV87&lt;2.5,"Explorador",IF(BV87&lt;3.75,"Integrador","Innovador")))</f>
        <v/>
      </c>
      <c r="CD87" s="11" t="str">
        <f aca="false">IF($B87="","",IF(BW87&lt;2.5,"Explorador",IF(BW87&lt;3.75,"Integrador","Innovador")))</f>
        <v/>
      </c>
      <c r="CE87" s="11" t="str">
        <f aca="false">IF($B87="","",IF(BX87&lt;2.5,"Explorador",IF(BX87&lt;3.75,"Integrador","Innovador")))</f>
        <v/>
      </c>
      <c r="CF87" s="11" t="str">
        <f aca="false">IF($B87="","",IF(BY87&lt;2.5,"Explorador",IF(BY87&lt;3.75,"Integrador","Innovador")))</f>
        <v/>
      </c>
      <c r="CG87" s="13" t="str">
        <f aca="false">IF($B87="","",BB87/9)</f>
        <v/>
      </c>
      <c r="CH87" s="11" t="str">
        <f aca="false">IF($B87="","",IF(CG87&lt;0.4,"Bajo",IF(CG87&lt;0.7,"Medio","Alto")))</f>
        <v/>
      </c>
      <c r="CI87" s="13" t="str">
        <f aca="false">IF($B87="","",((AVERAGE(BU87,BW87,BY87))-1)/4)</f>
        <v/>
      </c>
      <c r="CJ87" s="11" t="str">
        <f aca="false">IF($B87="","",IF(CG87-CI87&gt;0.25,"Subvalora",IF(CI87-CG87&gt;0.25,"Sobreconfía","Consistente")))</f>
        <v/>
      </c>
    </row>
    <row r="88" customFormat="false" ht="1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 t="str">
        <f aca="false">IF($B88="","",6-L88)</f>
        <v/>
      </c>
      <c r="BM88" s="11" t="str">
        <f aca="false">IF($B88="","",6-O88)</f>
        <v/>
      </c>
      <c r="BN88" s="11" t="str">
        <f aca="false">IF($B88="","",J88+K88+BL88+M88+N88+BM88+P88+Q88+R88)</f>
        <v/>
      </c>
      <c r="BO88" s="11" t="str">
        <f aca="false">IF($B88="","",SUM(S88:W88))</f>
        <v/>
      </c>
      <c r="BP88" s="11" t="str">
        <f aca="false">IF($B88="","",SUM(Y88:AC88))</f>
        <v/>
      </c>
      <c r="BQ88" s="11" t="str">
        <f aca="false">IF($B88="","",SUM(AE88:AK88))</f>
        <v/>
      </c>
      <c r="BR88" s="11" t="str">
        <f aca="false">IF($B88="","",SUM(AL88:AR88))</f>
        <v/>
      </c>
      <c r="BS88" s="11" t="str">
        <f aca="false">IF($B88="","",SUM(AS88:AY88))</f>
        <v/>
      </c>
      <c r="BT88" s="12" t="str">
        <f aca="false">IF($B88="","",BN88/9)</f>
        <v/>
      </c>
      <c r="BU88" s="12" t="str">
        <f aca="false">IF($B88="","",BO88/5)</f>
        <v/>
      </c>
      <c r="BV88" s="12" t="str">
        <f aca="false">IF($B88="","",BP88/5)</f>
        <v/>
      </c>
      <c r="BW88" s="12" t="str">
        <f aca="false">IF($B88="","",BQ88/7)</f>
        <v/>
      </c>
      <c r="BX88" s="12" t="str">
        <f aca="false">IF($B88="","",BR88/7)</f>
        <v/>
      </c>
      <c r="BY88" s="12" t="str">
        <f aca="false">IF($B88="","",BS88/7)</f>
        <v/>
      </c>
      <c r="BZ88" s="11" t="str">
        <f aca="false">IF($B88="","",AZ88)</f>
        <v/>
      </c>
      <c r="CA88" s="11" t="str">
        <f aca="false">IF($B88="","",IF(BT88&lt;2.5,"Explorador",IF(BT88&lt;3.75,"Integrador","Innovador")))</f>
        <v/>
      </c>
      <c r="CB88" s="11" t="str">
        <f aca="false">IF($B88="","",IF(BU88&lt;2.5,"Explorador",IF(BU88&lt;3.75,"Integrador","Innovador")))</f>
        <v/>
      </c>
      <c r="CC88" s="11" t="str">
        <f aca="false">IF($B88="","",IF(BV88&lt;2.5,"Explorador",IF(BV88&lt;3.75,"Integrador","Innovador")))</f>
        <v/>
      </c>
      <c r="CD88" s="11" t="str">
        <f aca="false">IF($B88="","",IF(BW88&lt;2.5,"Explorador",IF(BW88&lt;3.75,"Integrador","Innovador")))</f>
        <v/>
      </c>
      <c r="CE88" s="11" t="str">
        <f aca="false">IF($B88="","",IF(BX88&lt;2.5,"Explorador",IF(BX88&lt;3.75,"Integrador","Innovador")))</f>
        <v/>
      </c>
      <c r="CF88" s="11" t="str">
        <f aca="false">IF($B88="","",IF(BY88&lt;2.5,"Explorador",IF(BY88&lt;3.75,"Integrador","Innovador")))</f>
        <v/>
      </c>
      <c r="CG88" s="13" t="str">
        <f aca="false">IF($B88="","",BB88/9)</f>
        <v/>
      </c>
      <c r="CH88" s="11" t="str">
        <f aca="false">IF($B88="","",IF(CG88&lt;0.4,"Bajo",IF(CG88&lt;0.7,"Medio","Alto")))</f>
        <v/>
      </c>
      <c r="CI88" s="13" t="str">
        <f aca="false">IF($B88="","",((AVERAGE(BU88,BW88,BY88))-1)/4)</f>
        <v/>
      </c>
      <c r="CJ88" s="11" t="str">
        <f aca="false">IF($B88="","",IF(CG88-CI88&gt;0.25,"Subvalora",IF(CI88-CG88&gt;0.25,"Sobreconfía","Consistente")))</f>
        <v/>
      </c>
    </row>
    <row r="89" customFormat="false" ht="1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 t="str">
        <f aca="false">IF($B89="","",6-L89)</f>
        <v/>
      </c>
      <c r="BM89" s="11" t="str">
        <f aca="false">IF($B89="","",6-O89)</f>
        <v/>
      </c>
      <c r="BN89" s="11" t="str">
        <f aca="false">IF($B89="","",J89+K89+BL89+M89+N89+BM89+P89+Q89+R89)</f>
        <v/>
      </c>
      <c r="BO89" s="11" t="str">
        <f aca="false">IF($B89="","",SUM(S89:W89))</f>
        <v/>
      </c>
      <c r="BP89" s="11" t="str">
        <f aca="false">IF($B89="","",SUM(Y89:AC89))</f>
        <v/>
      </c>
      <c r="BQ89" s="11" t="str">
        <f aca="false">IF($B89="","",SUM(AE89:AK89))</f>
        <v/>
      </c>
      <c r="BR89" s="11" t="str">
        <f aca="false">IF($B89="","",SUM(AL89:AR89))</f>
        <v/>
      </c>
      <c r="BS89" s="11" t="str">
        <f aca="false">IF($B89="","",SUM(AS89:AY89))</f>
        <v/>
      </c>
      <c r="BT89" s="12" t="str">
        <f aca="false">IF($B89="","",BN89/9)</f>
        <v/>
      </c>
      <c r="BU89" s="12" t="str">
        <f aca="false">IF($B89="","",BO89/5)</f>
        <v/>
      </c>
      <c r="BV89" s="12" t="str">
        <f aca="false">IF($B89="","",BP89/5)</f>
        <v/>
      </c>
      <c r="BW89" s="12" t="str">
        <f aca="false">IF($B89="","",BQ89/7)</f>
        <v/>
      </c>
      <c r="BX89" s="12" t="str">
        <f aca="false">IF($B89="","",BR89/7)</f>
        <v/>
      </c>
      <c r="BY89" s="12" t="str">
        <f aca="false">IF($B89="","",BS89/7)</f>
        <v/>
      </c>
      <c r="BZ89" s="11" t="str">
        <f aca="false">IF($B89="","",AZ89)</f>
        <v/>
      </c>
      <c r="CA89" s="11" t="str">
        <f aca="false">IF($B89="","",IF(BT89&lt;2.5,"Explorador",IF(BT89&lt;3.75,"Integrador","Innovador")))</f>
        <v/>
      </c>
      <c r="CB89" s="11" t="str">
        <f aca="false">IF($B89="","",IF(BU89&lt;2.5,"Explorador",IF(BU89&lt;3.75,"Integrador","Innovador")))</f>
        <v/>
      </c>
      <c r="CC89" s="11" t="str">
        <f aca="false">IF($B89="","",IF(BV89&lt;2.5,"Explorador",IF(BV89&lt;3.75,"Integrador","Innovador")))</f>
        <v/>
      </c>
      <c r="CD89" s="11" t="str">
        <f aca="false">IF($B89="","",IF(BW89&lt;2.5,"Explorador",IF(BW89&lt;3.75,"Integrador","Innovador")))</f>
        <v/>
      </c>
      <c r="CE89" s="11" t="str">
        <f aca="false">IF($B89="","",IF(BX89&lt;2.5,"Explorador",IF(BX89&lt;3.75,"Integrador","Innovador")))</f>
        <v/>
      </c>
      <c r="CF89" s="11" t="str">
        <f aca="false">IF($B89="","",IF(BY89&lt;2.5,"Explorador",IF(BY89&lt;3.75,"Integrador","Innovador")))</f>
        <v/>
      </c>
      <c r="CG89" s="13" t="str">
        <f aca="false">IF($B89="","",BB89/9)</f>
        <v/>
      </c>
      <c r="CH89" s="11" t="str">
        <f aca="false">IF($B89="","",IF(CG89&lt;0.4,"Bajo",IF(CG89&lt;0.7,"Medio","Alto")))</f>
        <v/>
      </c>
      <c r="CI89" s="13" t="str">
        <f aca="false">IF($B89="","",((AVERAGE(BU89,BW89,BY89))-1)/4)</f>
        <v/>
      </c>
      <c r="CJ89" s="11" t="str">
        <f aca="false">IF($B89="","",IF(CG89-CI89&gt;0.25,"Subvalora",IF(CI89-CG89&gt;0.25,"Sobreconfía","Consistente")))</f>
        <v/>
      </c>
    </row>
    <row r="90" customFormat="false" ht="1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 t="str">
        <f aca="false">IF($B90="","",6-L90)</f>
        <v/>
      </c>
      <c r="BM90" s="11" t="str">
        <f aca="false">IF($B90="","",6-O90)</f>
        <v/>
      </c>
      <c r="BN90" s="11" t="str">
        <f aca="false">IF($B90="","",J90+K90+BL90+M90+N90+BM90+P90+Q90+R90)</f>
        <v/>
      </c>
      <c r="BO90" s="11" t="str">
        <f aca="false">IF($B90="","",SUM(S90:W90))</f>
        <v/>
      </c>
      <c r="BP90" s="11" t="str">
        <f aca="false">IF($B90="","",SUM(Y90:AC90))</f>
        <v/>
      </c>
      <c r="BQ90" s="11" t="str">
        <f aca="false">IF($B90="","",SUM(AE90:AK90))</f>
        <v/>
      </c>
      <c r="BR90" s="11" t="str">
        <f aca="false">IF($B90="","",SUM(AL90:AR90))</f>
        <v/>
      </c>
      <c r="BS90" s="11" t="str">
        <f aca="false">IF($B90="","",SUM(AS90:AY90))</f>
        <v/>
      </c>
      <c r="BT90" s="12" t="str">
        <f aca="false">IF($B90="","",BN90/9)</f>
        <v/>
      </c>
      <c r="BU90" s="12" t="str">
        <f aca="false">IF($B90="","",BO90/5)</f>
        <v/>
      </c>
      <c r="BV90" s="12" t="str">
        <f aca="false">IF($B90="","",BP90/5)</f>
        <v/>
      </c>
      <c r="BW90" s="12" t="str">
        <f aca="false">IF($B90="","",BQ90/7)</f>
        <v/>
      </c>
      <c r="BX90" s="12" t="str">
        <f aca="false">IF($B90="","",BR90/7)</f>
        <v/>
      </c>
      <c r="BY90" s="12" t="str">
        <f aca="false">IF($B90="","",BS90/7)</f>
        <v/>
      </c>
      <c r="BZ90" s="11" t="str">
        <f aca="false">IF($B90="","",AZ90)</f>
        <v/>
      </c>
      <c r="CA90" s="11" t="str">
        <f aca="false">IF($B90="","",IF(BT90&lt;2.5,"Explorador",IF(BT90&lt;3.75,"Integrador","Innovador")))</f>
        <v/>
      </c>
      <c r="CB90" s="11" t="str">
        <f aca="false">IF($B90="","",IF(BU90&lt;2.5,"Explorador",IF(BU90&lt;3.75,"Integrador","Innovador")))</f>
        <v/>
      </c>
      <c r="CC90" s="11" t="str">
        <f aca="false">IF($B90="","",IF(BV90&lt;2.5,"Explorador",IF(BV90&lt;3.75,"Integrador","Innovador")))</f>
        <v/>
      </c>
      <c r="CD90" s="11" t="str">
        <f aca="false">IF($B90="","",IF(BW90&lt;2.5,"Explorador",IF(BW90&lt;3.75,"Integrador","Innovador")))</f>
        <v/>
      </c>
      <c r="CE90" s="11" t="str">
        <f aca="false">IF($B90="","",IF(BX90&lt;2.5,"Explorador",IF(BX90&lt;3.75,"Integrador","Innovador")))</f>
        <v/>
      </c>
      <c r="CF90" s="11" t="str">
        <f aca="false">IF($B90="","",IF(BY90&lt;2.5,"Explorador",IF(BY90&lt;3.75,"Integrador","Innovador")))</f>
        <v/>
      </c>
      <c r="CG90" s="13" t="str">
        <f aca="false">IF($B90="","",BB90/9)</f>
        <v/>
      </c>
      <c r="CH90" s="11" t="str">
        <f aca="false">IF($B90="","",IF(CG90&lt;0.4,"Bajo",IF(CG90&lt;0.7,"Medio","Alto")))</f>
        <v/>
      </c>
      <c r="CI90" s="13" t="str">
        <f aca="false">IF($B90="","",((AVERAGE(BU90,BW90,BY90))-1)/4)</f>
        <v/>
      </c>
      <c r="CJ90" s="11" t="str">
        <f aca="false">IF($B90="","",IF(CG90-CI90&gt;0.25,"Subvalora",IF(CI90-CG90&gt;0.25,"Sobreconfía","Consistente")))</f>
        <v/>
      </c>
    </row>
    <row r="91" customFormat="false" ht="1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 t="str">
        <f aca="false">IF($B91="","",6-L91)</f>
        <v/>
      </c>
      <c r="BM91" s="11" t="str">
        <f aca="false">IF($B91="","",6-O91)</f>
        <v/>
      </c>
      <c r="BN91" s="11" t="str">
        <f aca="false">IF($B91="","",J91+K91+BL91+M91+N91+BM91+P91+Q91+R91)</f>
        <v/>
      </c>
      <c r="BO91" s="11" t="str">
        <f aca="false">IF($B91="","",SUM(S91:W91))</f>
        <v/>
      </c>
      <c r="BP91" s="11" t="str">
        <f aca="false">IF($B91="","",SUM(Y91:AC91))</f>
        <v/>
      </c>
      <c r="BQ91" s="11" t="str">
        <f aca="false">IF($B91="","",SUM(AE91:AK91))</f>
        <v/>
      </c>
      <c r="BR91" s="11" t="str">
        <f aca="false">IF($B91="","",SUM(AL91:AR91))</f>
        <v/>
      </c>
      <c r="BS91" s="11" t="str">
        <f aca="false">IF($B91="","",SUM(AS91:AY91))</f>
        <v/>
      </c>
      <c r="BT91" s="12" t="str">
        <f aca="false">IF($B91="","",BN91/9)</f>
        <v/>
      </c>
      <c r="BU91" s="12" t="str">
        <f aca="false">IF($B91="","",BO91/5)</f>
        <v/>
      </c>
      <c r="BV91" s="12" t="str">
        <f aca="false">IF($B91="","",BP91/5)</f>
        <v/>
      </c>
      <c r="BW91" s="12" t="str">
        <f aca="false">IF($B91="","",BQ91/7)</f>
        <v/>
      </c>
      <c r="BX91" s="12" t="str">
        <f aca="false">IF($B91="","",BR91/7)</f>
        <v/>
      </c>
      <c r="BY91" s="12" t="str">
        <f aca="false">IF($B91="","",BS91/7)</f>
        <v/>
      </c>
      <c r="BZ91" s="11" t="str">
        <f aca="false">IF($B91="","",AZ91)</f>
        <v/>
      </c>
      <c r="CA91" s="11" t="str">
        <f aca="false">IF($B91="","",IF(BT91&lt;2.5,"Explorador",IF(BT91&lt;3.75,"Integrador","Innovador")))</f>
        <v/>
      </c>
      <c r="CB91" s="11" t="str">
        <f aca="false">IF($B91="","",IF(BU91&lt;2.5,"Explorador",IF(BU91&lt;3.75,"Integrador","Innovador")))</f>
        <v/>
      </c>
      <c r="CC91" s="11" t="str">
        <f aca="false">IF($B91="","",IF(BV91&lt;2.5,"Explorador",IF(BV91&lt;3.75,"Integrador","Innovador")))</f>
        <v/>
      </c>
      <c r="CD91" s="11" t="str">
        <f aca="false">IF($B91="","",IF(BW91&lt;2.5,"Explorador",IF(BW91&lt;3.75,"Integrador","Innovador")))</f>
        <v/>
      </c>
      <c r="CE91" s="11" t="str">
        <f aca="false">IF($B91="","",IF(BX91&lt;2.5,"Explorador",IF(BX91&lt;3.75,"Integrador","Innovador")))</f>
        <v/>
      </c>
      <c r="CF91" s="11" t="str">
        <f aca="false">IF($B91="","",IF(BY91&lt;2.5,"Explorador",IF(BY91&lt;3.75,"Integrador","Innovador")))</f>
        <v/>
      </c>
      <c r="CG91" s="13" t="str">
        <f aca="false">IF($B91="","",BB91/9)</f>
        <v/>
      </c>
      <c r="CH91" s="11" t="str">
        <f aca="false">IF($B91="","",IF(CG91&lt;0.4,"Bajo",IF(CG91&lt;0.7,"Medio","Alto")))</f>
        <v/>
      </c>
      <c r="CI91" s="13" t="str">
        <f aca="false">IF($B91="","",((AVERAGE(BU91,BW91,BY91))-1)/4)</f>
        <v/>
      </c>
      <c r="CJ91" s="11" t="str">
        <f aca="false">IF($B91="","",IF(CG91-CI91&gt;0.25,"Subvalora",IF(CI91-CG91&gt;0.25,"Sobreconfía","Consistente")))</f>
        <v/>
      </c>
    </row>
    <row r="92" customFormat="false" ht="1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 t="str">
        <f aca="false">IF($B92="","",6-L92)</f>
        <v/>
      </c>
      <c r="BM92" s="11" t="str">
        <f aca="false">IF($B92="","",6-O92)</f>
        <v/>
      </c>
      <c r="BN92" s="11" t="str">
        <f aca="false">IF($B92="","",J92+K92+BL92+M92+N92+BM92+P92+Q92+R92)</f>
        <v/>
      </c>
      <c r="BO92" s="11" t="str">
        <f aca="false">IF($B92="","",SUM(S92:W92))</f>
        <v/>
      </c>
      <c r="BP92" s="11" t="str">
        <f aca="false">IF($B92="","",SUM(Y92:AC92))</f>
        <v/>
      </c>
      <c r="BQ92" s="11" t="str">
        <f aca="false">IF($B92="","",SUM(AE92:AK92))</f>
        <v/>
      </c>
      <c r="BR92" s="11" t="str">
        <f aca="false">IF($B92="","",SUM(AL92:AR92))</f>
        <v/>
      </c>
      <c r="BS92" s="11" t="str">
        <f aca="false">IF($B92="","",SUM(AS92:AY92))</f>
        <v/>
      </c>
      <c r="BT92" s="12" t="str">
        <f aca="false">IF($B92="","",BN92/9)</f>
        <v/>
      </c>
      <c r="BU92" s="12" t="str">
        <f aca="false">IF($B92="","",BO92/5)</f>
        <v/>
      </c>
      <c r="BV92" s="12" t="str">
        <f aca="false">IF($B92="","",BP92/5)</f>
        <v/>
      </c>
      <c r="BW92" s="12" t="str">
        <f aca="false">IF($B92="","",BQ92/7)</f>
        <v/>
      </c>
      <c r="BX92" s="12" t="str">
        <f aca="false">IF($B92="","",BR92/7)</f>
        <v/>
      </c>
      <c r="BY92" s="12" t="str">
        <f aca="false">IF($B92="","",BS92/7)</f>
        <v/>
      </c>
      <c r="BZ92" s="11" t="str">
        <f aca="false">IF($B92="","",AZ92)</f>
        <v/>
      </c>
      <c r="CA92" s="11" t="str">
        <f aca="false">IF($B92="","",IF(BT92&lt;2.5,"Explorador",IF(BT92&lt;3.75,"Integrador","Innovador")))</f>
        <v/>
      </c>
      <c r="CB92" s="11" t="str">
        <f aca="false">IF($B92="","",IF(BU92&lt;2.5,"Explorador",IF(BU92&lt;3.75,"Integrador","Innovador")))</f>
        <v/>
      </c>
      <c r="CC92" s="11" t="str">
        <f aca="false">IF($B92="","",IF(BV92&lt;2.5,"Explorador",IF(BV92&lt;3.75,"Integrador","Innovador")))</f>
        <v/>
      </c>
      <c r="CD92" s="11" t="str">
        <f aca="false">IF($B92="","",IF(BW92&lt;2.5,"Explorador",IF(BW92&lt;3.75,"Integrador","Innovador")))</f>
        <v/>
      </c>
      <c r="CE92" s="11" t="str">
        <f aca="false">IF($B92="","",IF(BX92&lt;2.5,"Explorador",IF(BX92&lt;3.75,"Integrador","Innovador")))</f>
        <v/>
      </c>
      <c r="CF92" s="11" t="str">
        <f aca="false">IF($B92="","",IF(BY92&lt;2.5,"Explorador",IF(BY92&lt;3.75,"Integrador","Innovador")))</f>
        <v/>
      </c>
      <c r="CG92" s="13" t="str">
        <f aca="false">IF($B92="","",BB92/9)</f>
        <v/>
      </c>
      <c r="CH92" s="11" t="str">
        <f aca="false">IF($B92="","",IF(CG92&lt;0.4,"Bajo",IF(CG92&lt;0.7,"Medio","Alto")))</f>
        <v/>
      </c>
      <c r="CI92" s="13" t="str">
        <f aca="false">IF($B92="","",((AVERAGE(BU92,BW92,BY92))-1)/4)</f>
        <v/>
      </c>
      <c r="CJ92" s="11" t="str">
        <f aca="false">IF($B92="","",IF(CG92-CI92&gt;0.25,"Subvalora",IF(CI92-CG92&gt;0.25,"Sobreconfía","Consistente")))</f>
        <v/>
      </c>
    </row>
    <row r="93" customFormat="false" ht="1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 t="str">
        <f aca="false">IF($B93="","",6-L93)</f>
        <v/>
      </c>
      <c r="BM93" s="11" t="str">
        <f aca="false">IF($B93="","",6-O93)</f>
        <v/>
      </c>
      <c r="BN93" s="11" t="str">
        <f aca="false">IF($B93="","",J93+K93+BL93+M93+N93+BM93+P93+Q93+R93)</f>
        <v/>
      </c>
      <c r="BO93" s="11" t="str">
        <f aca="false">IF($B93="","",SUM(S93:W93))</f>
        <v/>
      </c>
      <c r="BP93" s="11" t="str">
        <f aca="false">IF($B93="","",SUM(Y93:AC93))</f>
        <v/>
      </c>
      <c r="BQ93" s="11" t="str">
        <f aca="false">IF($B93="","",SUM(AE93:AK93))</f>
        <v/>
      </c>
      <c r="BR93" s="11" t="str">
        <f aca="false">IF($B93="","",SUM(AL93:AR93))</f>
        <v/>
      </c>
      <c r="BS93" s="11" t="str">
        <f aca="false">IF($B93="","",SUM(AS93:AY93))</f>
        <v/>
      </c>
      <c r="BT93" s="12" t="str">
        <f aca="false">IF($B93="","",BN93/9)</f>
        <v/>
      </c>
      <c r="BU93" s="12" t="str">
        <f aca="false">IF($B93="","",BO93/5)</f>
        <v/>
      </c>
      <c r="BV93" s="12" t="str">
        <f aca="false">IF($B93="","",BP93/5)</f>
        <v/>
      </c>
      <c r="BW93" s="12" t="str">
        <f aca="false">IF($B93="","",BQ93/7)</f>
        <v/>
      </c>
      <c r="BX93" s="12" t="str">
        <f aca="false">IF($B93="","",BR93/7)</f>
        <v/>
      </c>
      <c r="BY93" s="12" t="str">
        <f aca="false">IF($B93="","",BS93/7)</f>
        <v/>
      </c>
      <c r="BZ93" s="11" t="str">
        <f aca="false">IF($B93="","",AZ93)</f>
        <v/>
      </c>
      <c r="CA93" s="11" t="str">
        <f aca="false">IF($B93="","",IF(BT93&lt;2.5,"Explorador",IF(BT93&lt;3.75,"Integrador","Innovador")))</f>
        <v/>
      </c>
      <c r="CB93" s="11" t="str">
        <f aca="false">IF($B93="","",IF(BU93&lt;2.5,"Explorador",IF(BU93&lt;3.75,"Integrador","Innovador")))</f>
        <v/>
      </c>
      <c r="CC93" s="11" t="str">
        <f aca="false">IF($B93="","",IF(BV93&lt;2.5,"Explorador",IF(BV93&lt;3.75,"Integrador","Innovador")))</f>
        <v/>
      </c>
      <c r="CD93" s="11" t="str">
        <f aca="false">IF($B93="","",IF(BW93&lt;2.5,"Explorador",IF(BW93&lt;3.75,"Integrador","Innovador")))</f>
        <v/>
      </c>
      <c r="CE93" s="11" t="str">
        <f aca="false">IF($B93="","",IF(BX93&lt;2.5,"Explorador",IF(BX93&lt;3.75,"Integrador","Innovador")))</f>
        <v/>
      </c>
      <c r="CF93" s="11" t="str">
        <f aca="false">IF($B93="","",IF(BY93&lt;2.5,"Explorador",IF(BY93&lt;3.75,"Integrador","Innovador")))</f>
        <v/>
      </c>
      <c r="CG93" s="13" t="str">
        <f aca="false">IF($B93="","",BB93/9)</f>
        <v/>
      </c>
      <c r="CH93" s="11" t="str">
        <f aca="false">IF($B93="","",IF(CG93&lt;0.4,"Bajo",IF(CG93&lt;0.7,"Medio","Alto")))</f>
        <v/>
      </c>
      <c r="CI93" s="13" t="str">
        <f aca="false">IF($B93="","",((AVERAGE(BU93,BW93,BY93))-1)/4)</f>
        <v/>
      </c>
      <c r="CJ93" s="11" t="str">
        <f aca="false">IF($B93="","",IF(CG93-CI93&gt;0.25,"Subvalora",IF(CI93-CG93&gt;0.25,"Sobreconfía","Consistente")))</f>
        <v/>
      </c>
    </row>
    <row r="94" customFormat="false" ht="1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 t="str">
        <f aca="false">IF($B94="","",6-L94)</f>
        <v/>
      </c>
      <c r="BM94" s="11" t="str">
        <f aca="false">IF($B94="","",6-O94)</f>
        <v/>
      </c>
      <c r="BN94" s="11" t="str">
        <f aca="false">IF($B94="","",J94+K94+BL94+M94+N94+BM94+P94+Q94+R94)</f>
        <v/>
      </c>
      <c r="BO94" s="11" t="str">
        <f aca="false">IF($B94="","",SUM(S94:W94))</f>
        <v/>
      </c>
      <c r="BP94" s="11" t="str">
        <f aca="false">IF($B94="","",SUM(Y94:AC94))</f>
        <v/>
      </c>
      <c r="BQ94" s="11" t="str">
        <f aca="false">IF($B94="","",SUM(AE94:AK94))</f>
        <v/>
      </c>
      <c r="BR94" s="11" t="str">
        <f aca="false">IF($B94="","",SUM(AL94:AR94))</f>
        <v/>
      </c>
      <c r="BS94" s="11" t="str">
        <f aca="false">IF($B94="","",SUM(AS94:AY94))</f>
        <v/>
      </c>
      <c r="BT94" s="12" t="str">
        <f aca="false">IF($B94="","",BN94/9)</f>
        <v/>
      </c>
      <c r="BU94" s="12" t="str">
        <f aca="false">IF($B94="","",BO94/5)</f>
        <v/>
      </c>
      <c r="BV94" s="12" t="str">
        <f aca="false">IF($B94="","",BP94/5)</f>
        <v/>
      </c>
      <c r="BW94" s="12" t="str">
        <f aca="false">IF($B94="","",BQ94/7)</f>
        <v/>
      </c>
      <c r="BX94" s="12" t="str">
        <f aca="false">IF($B94="","",BR94/7)</f>
        <v/>
      </c>
      <c r="BY94" s="12" t="str">
        <f aca="false">IF($B94="","",BS94/7)</f>
        <v/>
      </c>
      <c r="BZ94" s="11" t="str">
        <f aca="false">IF($B94="","",AZ94)</f>
        <v/>
      </c>
      <c r="CA94" s="11" t="str">
        <f aca="false">IF($B94="","",IF(BT94&lt;2.5,"Explorador",IF(BT94&lt;3.75,"Integrador","Innovador")))</f>
        <v/>
      </c>
      <c r="CB94" s="11" t="str">
        <f aca="false">IF($B94="","",IF(BU94&lt;2.5,"Explorador",IF(BU94&lt;3.75,"Integrador","Innovador")))</f>
        <v/>
      </c>
      <c r="CC94" s="11" t="str">
        <f aca="false">IF($B94="","",IF(BV94&lt;2.5,"Explorador",IF(BV94&lt;3.75,"Integrador","Innovador")))</f>
        <v/>
      </c>
      <c r="CD94" s="11" t="str">
        <f aca="false">IF($B94="","",IF(BW94&lt;2.5,"Explorador",IF(BW94&lt;3.75,"Integrador","Innovador")))</f>
        <v/>
      </c>
      <c r="CE94" s="11" t="str">
        <f aca="false">IF($B94="","",IF(BX94&lt;2.5,"Explorador",IF(BX94&lt;3.75,"Integrador","Innovador")))</f>
        <v/>
      </c>
      <c r="CF94" s="11" t="str">
        <f aca="false">IF($B94="","",IF(BY94&lt;2.5,"Explorador",IF(BY94&lt;3.75,"Integrador","Innovador")))</f>
        <v/>
      </c>
      <c r="CG94" s="13" t="str">
        <f aca="false">IF($B94="","",BB94/9)</f>
        <v/>
      </c>
      <c r="CH94" s="11" t="str">
        <f aca="false">IF($B94="","",IF(CG94&lt;0.4,"Bajo",IF(CG94&lt;0.7,"Medio","Alto")))</f>
        <v/>
      </c>
      <c r="CI94" s="13" t="str">
        <f aca="false">IF($B94="","",((AVERAGE(BU94,BW94,BY94))-1)/4)</f>
        <v/>
      </c>
      <c r="CJ94" s="11" t="str">
        <f aca="false">IF($B94="","",IF(CG94-CI94&gt;0.25,"Subvalora",IF(CI94-CG94&gt;0.25,"Sobreconfía","Consistente")))</f>
        <v/>
      </c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 t="str">
        <f aca="false">IF($B95="","",6-L95)</f>
        <v/>
      </c>
      <c r="BM95" s="11" t="str">
        <f aca="false">IF($B95="","",6-O95)</f>
        <v/>
      </c>
      <c r="BN95" s="11" t="str">
        <f aca="false">IF($B95="","",J95+K95+BL95+M95+N95+BM95+P95+Q95+R95)</f>
        <v/>
      </c>
      <c r="BO95" s="11" t="str">
        <f aca="false">IF($B95="","",SUM(S95:W95))</f>
        <v/>
      </c>
      <c r="BP95" s="11" t="str">
        <f aca="false">IF($B95="","",SUM(Y95:AC95))</f>
        <v/>
      </c>
      <c r="BQ95" s="11" t="str">
        <f aca="false">IF($B95="","",SUM(AE95:AK95))</f>
        <v/>
      </c>
      <c r="BR95" s="11" t="str">
        <f aca="false">IF($B95="","",SUM(AL95:AR95))</f>
        <v/>
      </c>
      <c r="BS95" s="11" t="str">
        <f aca="false">IF($B95="","",SUM(AS95:AY95))</f>
        <v/>
      </c>
      <c r="BT95" s="12" t="str">
        <f aca="false">IF($B95="","",BN95/9)</f>
        <v/>
      </c>
      <c r="BU95" s="12" t="str">
        <f aca="false">IF($B95="","",BO95/5)</f>
        <v/>
      </c>
      <c r="BV95" s="12" t="str">
        <f aca="false">IF($B95="","",BP95/5)</f>
        <v/>
      </c>
      <c r="BW95" s="12" t="str">
        <f aca="false">IF($B95="","",BQ95/7)</f>
        <v/>
      </c>
      <c r="BX95" s="12" t="str">
        <f aca="false">IF($B95="","",BR95/7)</f>
        <v/>
      </c>
      <c r="BY95" s="12" t="str">
        <f aca="false">IF($B95="","",BS95/7)</f>
        <v/>
      </c>
      <c r="BZ95" s="11" t="str">
        <f aca="false">IF($B95="","",AZ95)</f>
        <v/>
      </c>
      <c r="CA95" s="11" t="str">
        <f aca="false">IF($B95="","",IF(BT95&lt;2.5,"Explorador",IF(BT95&lt;3.75,"Integrador","Innovador")))</f>
        <v/>
      </c>
      <c r="CB95" s="11" t="str">
        <f aca="false">IF($B95="","",IF(BU95&lt;2.5,"Explorador",IF(BU95&lt;3.75,"Integrador","Innovador")))</f>
        <v/>
      </c>
      <c r="CC95" s="11" t="str">
        <f aca="false">IF($B95="","",IF(BV95&lt;2.5,"Explorador",IF(BV95&lt;3.75,"Integrador","Innovador")))</f>
        <v/>
      </c>
      <c r="CD95" s="11" t="str">
        <f aca="false">IF($B95="","",IF(BW95&lt;2.5,"Explorador",IF(BW95&lt;3.75,"Integrador","Innovador")))</f>
        <v/>
      </c>
      <c r="CE95" s="11" t="str">
        <f aca="false">IF($B95="","",IF(BX95&lt;2.5,"Explorador",IF(BX95&lt;3.75,"Integrador","Innovador")))</f>
        <v/>
      </c>
      <c r="CF95" s="11" t="str">
        <f aca="false">IF($B95="","",IF(BY95&lt;2.5,"Explorador",IF(BY95&lt;3.75,"Integrador","Innovador")))</f>
        <v/>
      </c>
      <c r="CG95" s="13" t="str">
        <f aca="false">IF($B95="","",BB95/9)</f>
        <v/>
      </c>
      <c r="CH95" s="11" t="str">
        <f aca="false">IF($B95="","",IF(CG95&lt;0.4,"Bajo",IF(CG95&lt;0.7,"Medio","Alto")))</f>
        <v/>
      </c>
      <c r="CI95" s="13" t="str">
        <f aca="false">IF($B95="","",((AVERAGE(BU95,BW95,BY95))-1)/4)</f>
        <v/>
      </c>
      <c r="CJ95" s="11" t="str">
        <f aca="false">IF($B95="","",IF(CG95-CI95&gt;0.25,"Subvalora",IF(CI95-CG95&gt;0.25,"Sobreconfía","Consistente")))</f>
        <v/>
      </c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 t="str">
        <f aca="false">IF($B96="","",6-L96)</f>
        <v/>
      </c>
      <c r="BM96" s="11" t="str">
        <f aca="false">IF($B96="","",6-O96)</f>
        <v/>
      </c>
      <c r="BN96" s="11" t="str">
        <f aca="false">IF($B96="","",J96+K96+BL96+M96+N96+BM96+P96+Q96+R96)</f>
        <v/>
      </c>
      <c r="BO96" s="11" t="str">
        <f aca="false">IF($B96="","",SUM(S96:W96))</f>
        <v/>
      </c>
      <c r="BP96" s="11" t="str">
        <f aca="false">IF($B96="","",SUM(Y96:AC96))</f>
        <v/>
      </c>
      <c r="BQ96" s="11" t="str">
        <f aca="false">IF($B96="","",SUM(AE96:AK96))</f>
        <v/>
      </c>
      <c r="BR96" s="11" t="str">
        <f aca="false">IF($B96="","",SUM(AL96:AR96))</f>
        <v/>
      </c>
      <c r="BS96" s="11" t="str">
        <f aca="false">IF($B96="","",SUM(AS96:AY96))</f>
        <v/>
      </c>
      <c r="BT96" s="12" t="str">
        <f aca="false">IF($B96="","",BN96/9)</f>
        <v/>
      </c>
      <c r="BU96" s="12" t="str">
        <f aca="false">IF($B96="","",BO96/5)</f>
        <v/>
      </c>
      <c r="BV96" s="12" t="str">
        <f aca="false">IF($B96="","",BP96/5)</f>
        <v/>
      </c>
      <c r="BW96" s="12" t="str">
        <f aca="false">IF($B96="","",BQ96/7)</f>
        <v/>
      </c>
      <c r="BX96" s="12" t="str">
        <f aca="false">IF($B96="","",BR96/7)</f>
        <v/>
      </c>
      <c r="BY96" s="12" t="str">
        <f aca="false">IF($B96="","",BS96/7)</f>
        <v/>
      </c>
      <c r="BZ96" s="11" t="str">
        <f aca="false">IF($B96="","",AZ96)</f>
        <v/>
      </c>
      <c r="CA96" s="11" t="str">
        <f aca="false">IF($B96="","",IF(BT96&lt;2.5,"Explorador",IF(BT96&lt;3.75,"Integrador","Innovador")))</f>
        <v/>
      </c>
      <c r="CB96" s="11" t="str">
        <f aca="false">IF($B96="","",IF(BU96&lt;2.5,"Explorador",IF(BU96&lt;3.75,"Integrador","Innovador")))</f>
        <v/>
      </c>
      <c r="CC96" s="11" t="str">
        <f aca="false">IF($B96="","",IF(BV96&lt;2.5,"Explorador",IF(BV96&lt;3.75,"Integrador","Innovador")))</f>
        <v/>
      </c>
      <c r="CD96" s="11" t="str">
        <f aca="false">IF($B96="","",IF(BW96&lt;2.5,"Explorador",IF(BW96&lt;3.75,"Integrador","Innovador")))</f>
        <v/>
      </c>
      <c r="CE96" s="11" t="str">
        <f aca="false">IF($B96="","",IF(BX96&lt;2.5,"Explorador",IF(BX96&lt;3.75,"Integrador","Innovador")))</f>
        <v/>
      </c>
      <c r="CF96" s="11" t="str">
        <f aca="false">IF($B96="","",IF(BY96&lt;2.5,"Explorador",IF(BY96&lt;3.75,"Integrador","Innovador")))</f>
        <v/>
      </c>
      <c r="CG96" s="13" t="str">
        <f aca="false">IF($B96="","",BB96/9)</f>
        <v/>
      </c>
      <c r="CH96" s="11" t="str">
        <f aca="false">IF($B96="","",IF(CG96&lt;0.4,"Bajo",IF(CG96&lt;0.7,"Medio","Alto")))</f>
        <v/>
      </c>
      <c r="CI96" s="13" t="str">
        <f aca="false">IF($B96="","",((AVERAGE(BU96,BW96,BY96))-1)/4)</f>
        <v/>
      </c>
      <c r="CJ96" s="11" t="str">
        <f aca="false">IF($B96="","",IF(CG96-CI96&gt;0.25,"Subvalora",IF(CI96-CG96&gt;0.25,"Sobreconfía","Consistente")))</f>
        <v/>
      </c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 t="str">
        <f aca="false">IF($B97="","",6-L97)</f>
        <v/>
      </c>
      <c r="BM97" s="11" t="str">
        <f aca="false">IF($B97="","",6-O97)</f>
        <v/>
      </c>
      <c r="BN97" s="11" t="str">
        <f aca="false">IF($B97="","",J97+K97+BL97+M97+N97+BM97+P97+Q97+R97)</f>
        <v/>
      </c>
      <c r="BO97" s="11" t="str">
        <f aca="false">IF($B97="","",SUM(S97:W97))</f>
        <v/>
      </c>
      <c r="BP97" s="11" t="str">
        <f aca="false">IF($B97="","",SUM(Y97:AC97))</f>
        <v/>
      </c>
      <c r="BQ97" s="11" t="str">
        <f aca="false">IF($B97="","",SUM(AE97:AK97))</f>
        <v/>
      </c>
      <c r="BR97" s="11" t="str">
        <f aca="false">IF($B97="","",SUM(AL97:AR97))</f>
        <v/>
      </c>
      <c r="BS97" s="11" t="str">
        <f aca="false">IF($B97="","",SUM(AS97:AY97))</f>
        <v/>
      </c>
      <c r="BT97" s="12" t="str">
        <f aca="false">IF($B97="","",BN97/9)</f>
        <v/>
      </c>
      <c r="BU97" s="12" t="str">
        <f aca="false">IF($B97="","",BO97/5)</f>
        <v/>
      </c>
      <c r="BV97" s="12" t="str">
        <f aca="false">IF($B97="","",BP97/5)</f>
        <v/>
      </c>
      <c r="BW97" s="12" t="str">
        <f aca="false">IF($B97="","",BQ97/7)</f>
        <v/>
      </c>
      <c r="BX97" s="12" t="str">
        <f aca="false">IF($B97="","",BR97/7)</f>
        <v/>
      </c>
      <c r="BY97" s="12" t="str">
        <f aca="false">IF($B97="","",BS97/7)</f>
        <v/>
      </c>
      <c r="BZ97" s="11" t="str">
        <f aca="false">IF($B97="","",AZ97)</f>
        <v/>
      </c>
      <c r="CA97" s="11" t="str">
        <f aca="false">IF($B97="","",IF(BT97&lt;2.5,"Explorador",IF(BT97&lt;3.75,"Integrador","Innovador")))</f>
        <v/>
      </c>
      <c r="CB97" s="11" t="str">
        <f aca="false">IF($B97="","",IF(BU97&lt;2.5,"Explorador",IF(BU97&lt;3.75,"Integrador","Innovador")))</f>
        <v/>
      </c>
      <c r="CC97" s="11" t="str">
        <f aca="false">IF($B97="","",IF(BV97&lt;2.5,"Explorador",IF(BV97&lt;3.75,"Integrador","Innovador")))</f>
        <v/>
      </c>
      <c r="CD97" s="11" t="str">
        <f aca="false">IF($B97="","",IF(BW97&lt;2.5,"Explorador",IF(BW97&lt;3.75,"Integrador","Innovador")))</f>
        <v/>
      </c>
      <c r="CE97" s="11" t="str">
        <f aca="false">IF($B97="","",IF(BX97&lt;2.5,"Explorador",IF(BX97&lt;3.75,"Integrador","Innovador")))</f>
        <v/>
      </c>
      <c r="CF97" s="11" t="str">
        <f aca="false">IF($B97="","",IF(BY97&lt;2.5,"Explorador",IF(BY97&lt;3.75,"Integrador","Innovador")))</f>
        <v/>
      </c>
      <c r="CG97" s="13" t="str">
        <f aca="false">IF($B97="","",BB97/9)</f>
        <v/>
      </c>
      <c r="CH97" s="11" t="str">
        <f aca="false">IF($B97="","",IF(CG97&lt;0.4,"Bajo",IF(CG97&lt;0.7,"Medio","Alto")))</f>
        <v/>
      </c>
      <c r="CI97" s="13" t="str">
        <f aca="false">IF($B97="","",((AVERAGE(BU97,BW97,BY97))-1)/4)</f>
        <v/>
      </c>
      <c r="CJ97" s="11" t="str">
        <f aca="false">IF($B97="","",IF(CG97-CI97&gt;0.25,"Subvalora",IF(CI97-CG97&gt;0.25,"Sobreconfía","Consistente")))</f>
        <v/>
      </c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 t="str">
        <f aca="false">IF($B98="","",6-L98)</f>
        <v/>
      </c>
      <c r="BM98" s="11" t="str">
        <f aca="false">IF($B98="","",6-O98)</f>
        <v/>
      </c>
      <c r="BN98" s="11" t="str">
        <f aca="false">IF($B98="","",J98+K98+BL98+M98+N98+BM98+P98+Q98+R98)</f>
        <v/>
      </c>
      <c r="BO98" s="11" t="str">
        <f aca="false">IF($B98="","",SUM(S98:W98))</f>
        <v/>
      </c>
      <c r="BP98" s="11" t="str">
        <f aca="false">IF($B98="","",SUM(Y98:AC98))</f>
        <v/>
      </c>
      <c r="BQ98" s="11" t="str">
        <f aca="false">IF($B98="","",SUM(AE98:AK98))</f>
        <v/>
      </c>
      <c r="BR98" s="11" t="str">
        <f aca="false">IF($B98="","",SUM(AL98:AR98))</f>
        <v/>
      </c>
      <c r="BS98" s="11" t="str">
        <f aca="false">IF($B98="","",SUM(AS98:AY98))</f>
        <v/>
      </c>
      <c r="BT98" s="12" t="str">
        <f aca="false">IF($B98="","",BN98/9)</f>
        <v/>
      </c>
      <c r="BU98" s="12" t="str">
        <f aca="false">IF($B98="","",BO98/5)</f>
        <v/>
      </c>
      <c r="BV98" s="12" t="str">
        <f aca="false">IF($B98="","",BP98/5)</f>
        <v/>
      </c>
      <c r="BW98" s="12" t="str">
        <f aca="false">IF($B98="","",BQ98/7)</f>
        <v/>
      </c>
      <c r="BX98" s="12" t="str">
        <f aca="false">IF($B98="","",BR98/7)</f>
        <v/>
      </c>
      <c r="BY98" s="12" t="str">
        <f aca="false">IF($B98="","",BS98/7)</f>
        <v/>
      </c>
      <c r="BZ98" s="11" t="str">
        <f aca="false">IF($B98="","",AZ98)</f>
        <v/>
      </c>
      <c r="CA98" s="11" t="str">
        <f aca="false">IF($B98="","",IF(BT98&lt;2.5,"Explorador",IF(BT98&lt;3.75,"Integrador","Innovador")))</f>
        <v/>
      </c>
      <c r="CB98" s="11" t="str">
        <f aca="false">IF($B98="","",IF(BU98&lt;2.5,"Explorador",IF(BU98&lt;3.75,"Integrador","Innovador")))</f>
        <v/>
      </c>
      <c r="CC98" s="11" t="str">
        <f aca="false">IF($B98="","",IF(BV98&lt;2.5,"Explorador",IF(BV98&lt;3.75,"Integrador","Innovador")))</f>
        <v/>
      </c>
      <c r="CD98" s="11" t="str">
        <f aca="false">IF($B98="","",IF(BW98&lt;2.5,"Explorador",IF(BW98&lt;3.75,"Integrador","Innovador")))</f>
        <v/>
      </c>
      <c r="CE98" s="11" t="str">
        <f aca="false">IF($B98="","",IF(BX98&lt;2.5,"Explorador",IF(BX98&lt;3.75,"Integrador","Innovador")))</f>
        <v/>
      </c>
      <c r="CF98" s="11" t="str">
        <f aca="false">IF($B98="","",IF(BY98&lt;2.5,"Explorador",IF(BY98&lt;3.75,"Integrador","Innovador")))</f>
        <v/>
      </c>
      <c r="CG98" s="13" t="str">
        <f aca="false">IF($B98="","",BB98/9)</f>
        <v/>
      </c>
      <c r="CH98" s="11" t="str">
        <f aca="false">IF($B98="","",IF(CG98&lt;0.4,"Bajo",IF(CG98&lt;0.7,"Medio","Alto")))</f>
        <v/>
      </c>
      <c r="CI98" s="13" t="str">
        <f aca="false">IF($B98="","",((AVERAGE(BU98,BW98,BY98))-1)/4)</f>
        <v/>
      </c>
      <c r="CJ98" s="11" t="str">
        <f aca="false">IF($B98="","",IF(CG98-CI98&gt;0.25,"Subvalora",IF(CI98-CG98&gt;0.25,"Sobreconfía","Consistente")))</f>
        <v/>
      </c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 t="str">
        <f aca="false">IF($B99="","",6-L99)</f>
        <v/>
      </c>
      <c r="BM99" s="11" t="str">
        <f aca="false">IF($B99="","",6-O99)</f>
        <v/>
      </c>
      <c r="BN99" s="11" t="str">
        <f aca="false">IF($B99="","",J99+K99+BL99+M99+N99+BM99+P99+Q99+R99)</f>
        <v/>
      </c>
      <c r="BO99" s="11" t="str">
        <f aca="false">IF($B99="","",SUM(S99:W99))</f>
        <v/>
      </c>
      <c r="BP99" s="11" t="str">
        <f aca="false">IF($B99="","",SUM(Y99:AC99))</f>
        <v/>
      </c>
      <c r="BQ99" s="11" t="str">
        <f aca="false">IF($B99="","",SUM(AE99:AK99))</f>
        <v/>
      </c>
      <c r="BR99" s="11" t="str">
        <f aca="false">IF($B99="","",SUM(AL99:AR99))</f>
        <v/>
      </c>
      <c r="BS99" s="11" t="str">
        <f aca="false">IF($B99="","",SUM(AS99:AY99))</f>
        <v/>
      </c>
      <c r="BT99" s="12" t="str">
        <f aca="false">IF($B99="","",BN99/9)</f>
        <v/>
      </c>
      <c r="BU99" s="12" t="str">
        <f aca="false">IF($B99="","",BO99/5)</f>
        <v/>
      </c>
      <c r="BV99" s="12" t="str">
        <f aca="false">IF($B99="","",BP99/5)</f>
        <v/>
      </c>
      <c r="BW99" s="12" t="str">
        <f aca="false">IF($B99="","",BQ99/7)</f>
        <v/>
      </c>
      <c r="BX99" s="12" t="str">
        <f aca="false">IF($B99="","",BR99/7)</f>
        <v/>
      </c>
      <c r="BY99" s="12" t="str">
        <f aca="false">IF($B99="","",BS99/7)</f>
        <v/>
      </c>
      <c r="BZ99" s="11" t="str">
        <f aca="false">IF($B99="","",AZ99)</f>
        <v/>
      </c>
      <c r="CA99" s="11" t="str">
        <f aca="false">IF($B99="","",IF(BT99&lt;2.5,"Explorador",IF(BT99&lt;3.75,"Integrador","Innovador")))</f>
        <v/>
      </c>
      <c r="CB99" s="11" t="str">
        <f aca="false">IF($B99="","",IF(BU99&lt;2.5,"Explorador",IF(BU99&lt;3.75,"Integrador","Innovador")))</f>
        <v/>
      </c>
      <c r="CC99" s="11" t="str">
        <f aca="false">IF($B99="","",IF(BV99&lt;2.5,"Explorador",IF(BV99&lt;3.75,"Integrador","Innovador")))</f>
        <v/>
      </c>
      <c r="CD99" s="11" t="str">
        <f aca="false">IF($B99="","",IF(BW99&lt;2.5,"Explorador",IF(BW99&lt;3.75,"Integrador","Innovador")))</f>
        <v/>
      </c>
      <c r="CE99" s="11" t="str">
        <f aca="false">IF($B99="","",IF(BX99&lt;2.5,"Explorador",IF(BX99&lt;3.75,"Integrador","Innovador")))</f>
        <v/>
      </c>
      <c r="CF99" s="11" t="str">
        <f aca="false">IF($B99="","",IF(BY99&lt;2.5,"Explorador",IF(BY99&lt;3.75,"Integrador","Innovador")))</f>
        <v/>
      </c>
      <c r="CG99" s="13" t="str">
        <f aca="false">IF($B99="","",BB99/9)</f>
        <v/>
      </c>
      <c r="CH99" s="11" t="str">
        <f aca="false">IF($B99="","",IF(CG99&lt;0.4,"Bajo",IF(CG99&lt;0.7,"Medio","Alto")))</f>
        <v/>
      </c>
      <c r="CI99" s="13" t="str">
        <f aca="false">IF($B99="","",((AVERAGE(BU99,BW99,BY99))-1)/4)</f>
        <v/>
      </c>
      <c r="CJ99" s="11" t="str">
        <f aca="false">IF($B99="","",IF(CG99-CI99&gt;0.25,"Subvalora",IF(CI99-CG99&gt;0.25,"Sobreconfía","Consistente")))</f>
        <v/>
      </c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 t="str">
        <f aca="false">IF($B100="","",6-L100)</f>
        <v/>
      </c>
      <c r="BM100" s="11" t="str">
        <f aca="false">IF($B100="","",6-O100)</f>
        <v/>
      </c>
      <c r="BN100" s="11" t="str">
        <f aca="false">IF($B100="","",J100+K100+BL100+M100+N100+BM100+P100+Q100+R100)</f>
        <v/>
      </c>
      <c r="BO100" s="11" t="str">
        <f aca="false">IF($B100="","",SUM(S100:W100))</f>
        <v/>
      </c>
      <c r="BP100" s="11" t="str">
        <f aca="false">IF($B100="","",SUM(Y100:AC100))</f>
        <v/>
      </c>
      <c r="BQ100" s="11" t="str">
        <f aca="false">IF($B100="","",SUM(AE100:AK100))</f>
        <v/>
      </c>
      <c r="BR100" s="11" t="str">
        <f aca="false">IF($B100="","",SUM(AL100:AR100))</f>
        <v/>
      </c>
      <c r="BS100" s="11" t="str">
        <f aca="false">IF($B100="","",SUM(AS100:AY100))</f>
        <v/>
      </c>
      <c r="BT100" s="12" t="str">
        <f aca="false">IF($B100="","",BN100/9)</f>
        <v/>
      </c>
      <c r="BU100" s="12" t="str">
        <f aca="false">IF($B100="","",BO100/5)</f>
        <v/>
      </c>
      <c r="BV100" s="12" t="str">
        <f aca="false">IF($B100="","",BP100/5)</f>
        <v/>
      </c>
      <c r="BW100" s="12" t="str">
        <f aca="false">IF($B100="","",BQ100/7)</f>
        <v/>
      </c>
      <c r="BX100" s="12" t="str">
        <f aca="false">IF($B100="","",BR100/7)</f>
        <v/>
      </c>
      <c r="BY100" s="12" t="str">
        <f aca="false">IF($B100="","",BS100/7)</f>
        <v/>
      </c>
      <c r="BZ100" s="11" t="str">
        <f aca="false">IF($B100="","",AZ100)</f>
        <v/>
      </c>
      <c r="CA100" s="11" t="str">
        <f aca="false">IF($B100="","",IF(BT100&lt;2.5,"Explorador",IF(BT100&lt;3.75,"Integrador","Innovador")))</f>
        <v/>
      </c>
      <c r="CB100" s="11" t="str">
        <f aca="false">IF($B100="","",IF(BU100&lt;2.5,"Explorador",IF(BU100&lt;3.75,"Integrador","Innovador")))</f>
        <v/>
      </c>
      <c r="CC100" s="11" t="str">
        <f aca="false">IF($B100="","",IF(BV100&lt;2.5,"Explorador",IF(BV100&lt;3.75,"Integrador","Innovador")))</f>
        <v/>
      </c>
      <c r="CD100" s="11" t="str">
        <f aca="false">IF($B100="","",IF(BW100&lt;2.5,"Explorador",IF(BW100&lt;3.75,"Integrador","Innovador")))</f>
        <v/>
      </c>
      <c r="CE100" s="11" t="str">
        <f aca="false">IF($B100="","",IF(BX100&lt;2.5,"Explorador",IF(BX100&lt;3.75,"Integrador","Innovador")))</f>
        <v/>
      </c>
      <c r="CF100" s="11" t="str">
        <f aca="false">IF($B100="","",IF(BY100&lt;2.5,"Explorador",IF(BY100&lt;3.75,"Integrador","Innovador")))</f>
        <v/>
      </c>
      <c r="CG100" s="13" t="str">
        <f aca="false">IF($B100="","",BB100/9)</f>
        <v/>
      </c>
      <c r="CH100" s="11" t="str">
        <f aca="false">IF($B100="","",IF(CG100&lt;0.4,"Bajo",IF(CG100&lt;0.7,"Medio","Alto")))</f>
        <v/>
      </c>
      <c r="CI100" s="13" t="str">
        <f aca="false">IF($B100="","",((AVERAGE(BU100,BW100,BY100))-1)/4)</f>
        <v/>
      </c>
      <c r="CJ100" s="11" t="str">
        <f aca="false">IF($B100="","",IF(CG100-CI100&gt;0.25,"Subvalora",IF(CI100-CG100&gt;0.25,"Sobreconfía","Consistente")))</f>
        <v/>
      </c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 t="str">
        <f aca="false">IF($B101="","",6-L101)</f>
        <v/>
      </c>
      <c r="BM101" s="11" t="str">
        <f aca="false">IF($B101="","",6-O101)</f>
        <v/>
      </c>
      <c r="BN101" s="11" t="str">
        <f aca="false">IF($B101="","",J101+K101+BL101+M101+N101+BM101+P101+Q101+R101)</f>
        <v/>
      </c>
      <c r="BO101" s="11" t="str">
        <f aca="false">IF($B101="","",SUM(S101:W101))</f>
        <v/>
      </c>
      <c r="BP101" s="11" t="str">
        <f aca="false">IF($B101="","",SUM(Y101:AC101))</f>
        <v/>
      </c>
      <c r="BQ101" s="11" t="str">
        <f aca="false">IF($B101="","",SUM(AE101:AK101))</f>
        <v/>
      </c>
      <c r="BR101" s="11" t="str">
        <f aca="false">IF($B101="","",SUM(AL101:AR101))</f>
        <v/>
      </c>
      <c r="BS101" s="11" t="str">
        <f aca="false">IF($B101="","",SUM(AS101:AY101))</f>
        <v/>
      </c>
      <c r="BT101" s="12" t="str">
        <f aca="false">IF($B101="","",BN101/9)</f>
        <v/>
      </c>
      <c r="BU101" s="12" t="str">
        <f aca="false">IF($B101="","",BO101/5)</f>
        <v/>
      </c>
      <c r="BV101" s="12" t="str">
        <f aca="false">IF($B101="","",BP101/5)</f>
        <v/>
      </c>
      <c r="BW101" s="12" t="str">
        <f aca="false">IF($B101="","",BQ101/7)</f>
        <v/>
      </c>
      <c r="BX101" s="12" t="str">
        <f aca="false">IF($B101="","",BR101/7)</f>
        <v/>
      </c>
      <c r="BY101" s="12" t="str">
        <f aca="false">IF($B101="","",BS101/7)</f>
        <v/>
      </c>
      <c r="BZ101" s="11" t="str">
        <f aca="false">IF($B101="","",AZ101)</f>
        <v/>
      </c>
      <c r="CA101" s="11" t="str">
        <f aca="false">IF($B101="","",IF(BT101&lt;2.5,"Explorador",IF(BT101&lt;3.75,"Integrador","Innovador")))</f>
        <v/>
      </c>
      <c r="CB101" s="11" t="str">
        <f aca="false">IF($B101="","",IF(BU101&lt;2.5,"Explorador",IF(BU101&lt;3.75,"Integrador","Innovador")))</f>
        <v/>
      </c>
      <c r="CC101" s="11" t="str">
        <f aca="false">IF($B101="","",IF(BV101&lt;2.5,"Explorador",IF(BV101&lt;3.75,"Integrador","Innovador")))</f>
        <v/>
      </c>
      <c r="CD101" s="11" t="str">
        <f aca="false">IF($B101="","",IF(BW101&lt;2.5,"Explorador",IF(BW101&lt;3.75,"Integrador","Innovador")))</f>
        <v/>
      </c>
      <c r="CE101" s="11" t="str">
        <f aca="false">IF($B101="","",IF(BX101&lt;2.5,"Explorador",IF(BX101&lt;3.75,"Integrador","Innovador")))</f>
        <v/>
      </c>
      <c r="CF101" s="11" t="str">
        <f aca="false">IF($B101="","",IF(BY101&lt;2.5,"Explorador",IF(BY101&lt;3.75,"Integrador","Innovador")))</f>
        <v/>
      </c>
      <c r="CG101" s="13" t="str">
        <f aca="false">IF($B101="","",BB101/9)</f>
        <v/>
      </c>
      <c r="CH101" s="11" t="str">
        <f aca="false">IF($B101="","",IF(CG101&lt;0.4,"Bajo",IF(CG101&lt;0.7,"Medio","Alto")))</f>
        <v/>
      </c>
      <c r="CI101" s="13" t="str">
        <f aca="false">IF($B101="","",((AVERAGE(BU101,BW101,BY101))-1)/4)</f>
        <v/>
      </c>
      <c r="CJ101" s="11" t="str">
        <f aca="false">IF($B101="","",IF(CG101-CI101&gt;0.25,"Subvalora",IF(CI101-CG101&gt;0.25,"Sobreconfía","Consistente")))</f>
        <v/>
      </c>
    </row>
  </sheetData>
  <conditionalFormatting sqref="CA2:CA101">
    <cfRule type="cellIs" priority="2" operator="equal" aboveAverage="0" equalAverage="0" bottom="0" percent="0" rank="0" text="" dxfId="0">
      <formula>"Explorador"</formula>
    </cfRule>
    <cfRule type="cellIs" priority="3" operator="equal" aboveAverage="0" equalAverage="0" bottom="0" percent="0" rank="0" text="" dxfId="1">
      <formula>"Integrador"</formula>
    </cfRule>
    <cfRule type="cellIs" priority="4" operator="equal" aboveAverage="0" equalAverage="0" bottom="0" percent="0" rank="0" text="" dxfId="2">
      <formula>"Innovador"</formula>
    </cfRule>
  </conditionalFormatting>
  <conditionalFormatting sqref="CB2:CB101">
    <cfRule type="cellIs" priority="5" operator="equal" aboveAverage="0" equalAverage="0" bottom="0" percent="0" rank="0" text="" dxfId="0">
      <formula>"Explorador"</formula>
    </cfRule>
    <cfRule type="cellIs" priority="6" operator="equal" aboveAverage="0" equalAverage="0" bottom="0" percent="0" rank="0" text="" dxfId="1">
      <formula>"Integrador"</formula>
    </cfRule>
    <cfRule type="cellIs" priority="7" operator="equal" aboveAverage="0" equalAverage="0" bottom="0" percent="0" rank="0" text="" dxfId="2">
      <formula>"Innovador"</formula>
    </cfRule>
  </conditionalFormatting>
  <conditionalFormatting sqref="CC2:CC101">
    <cfRule type="cellIs" priority="8" operator="equal" aboveAverage="0" equalAverage="0" bottom="0" percent="0" rank="0" text="" dxfId="0">
      <formula>"Explorador"</formula>
    </cfRule>
    <cfRule type="cellIs" priority="9" operator="equal" aboveAverage="0" equalAverage="0" bottom="0" percent="0" rank="0" text="" dxfId="1">
      <formula>"Integrador"</formula>
    </cfRule>
    <cfRule type="cellIs" priority="10" operator="equal" aboveAverage="0" equalAverage="0" bottom="0" percent="0" rank="0" text="" dxfId="2">
      <formula>"Innovador"</formula>
    </cfRule>
  </conditionalFormatting>
  <conditionalFormatting sqref="CD2:CD101">
    <cfRule type="cellIs" priority="11" operator="equal" aboveAverage="0" equalAverage="0" bottom="0" percent="0" rank="0" text="" dxfId="0">
      <formula>"Explorador"</formula>
    </cfRule>
    <cfRule type="cellIs" priority="12" operator="equal" aboveAverage="0" equalAverage="0" bottom="0" percent="0" rank="0" text="" dxfId="1">
      <formula>"Integrador"</formula>
    </cfRule>
    <cfRule type="cellIs" priority="13" operator="equal" aboveAverage="0" equalAverage="0" bottom="0" percent="0" rank="0" text="" dxfId="2">
      <formula>"Innovador"</formula>
    </cfRule>
  </conditionalFormatting>
  <conditionalFormatting sqref="CE2:CE101">
    <cfRule type="cellIs" priority="14" operator="equal" aboveAverage="0" equalAverage="0" bottom="0" percent="0" rank="0" text="" dxfId="0">
      <formula>"Explorador"</formula>
    </cfRule>
    <cfRule type="cellIs" priority="15" operator="equal" aboveAverage="0" equalAverage="0" bottom="0" percent="0" rank="0" text="" dxfId="1">
      <formula>"Integrador"</formula>
    </cfRule>
    <cfRule type="cellIs" priority="16" operator="equal" aboveAverage="0" equalAverage="0" bottom="0" percent="0" rank="0" text="" dxfId="2">
      <formula>"Innovador"</formula>
    </cfRule>
  </conditionalFormatting>
  <conditionalFormatting sqref="CF2:CF101">
    <cfRule type="cellIs" priority="17" operator="equal" aboveAverage="0" equalAverage="0" bottom="0" percent="0" rank="0" text="" dxfId="0">
      <formula>"Explorador"</formula>
    </cfRule>
    <cfRule type="cellIs" priority="18" operator="equal" aboveAverage="0" equalAverage="0" bottom="0" percent="0" rank="0" text="" dxfId="1">
      <formula>"Integrador"</formula>
    </cfRule>
    <cfRule type="cellIs" priority="19" operator="equal" aboveAverage="0" equalAverage="0" bottom="0" percent="0" rank="0" text="" dxfId="2">
      <formula>"Innovador"</formula>
    </cfRule>
  </conditionalFormatting>
  <conditionalFormatting sqref="CH2:CH101">
    <cfRule type="cellIs" priority="20" operator="equal" aboveAverage="0" equalAverage="0" bottom="0" percent="0" rank="0" text="" dxfId="0">
      <formula>"Bajo"</formula>
    </cfRule>
    <cfRule type="cellIs" priority="21" operator="equal" aboveAverage="0" equalAverage="0" bottom="0" percent="0" rank="0" text="" dxfId="1">
      <formula>"Medio"</formula>
    </cfRule>
    <cfRule type="cellIs" priority="22" operator="equal" aboveAverage="0" equalAverage="0" bottom="0" percent="0" rank="0" text="" dxfId="2">
      <formula>"Alto"</formula>
    </cfRule>
  </conditionalFormatting>
  <dataValidations count="3">
    <dataValidation allowBlank="true" errorStyle="stop" operator="between" showDropDown="false" showErrorMessage="false" showInputMessage="false" sqref="J2:W101 Y2:AC101 AE2:AZ101" type="whole">
      <formula1>1</formula1>
      <formula2>5</formula2>
    </dataValidation>
    <dataValidation allowBlank="true" errorStyle="stop" operator="between" showDropDown="false" showErrorMessage="false" showInputMessage="false" sqref="BB2:BB101" type="whole">
      <formula1>0</formula1>
      <formula2>9</formula2>
    </dataValidation>
    <dataValidation allowBlank="true" errorStyle="stop" operator="between" showDropDown="false" showErrorMessage="false" showInputMessage="false" sqref="BC2:BK101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8" min="3" style="1" width="15"/>
  </cols>
  <sheetData>
    <row r="2" customFormat="false" ht="17.25" hidden="false" customHeight="true" outlineLevel="0" collapsed="false">
      <c r="B2" s="2" t="s">
        <v>244</v>
      </c>
    </row>
    <row r="3" customFormat="false" ht="15" hidden="false" customHeight="true" outlineLevel="0" collapsed="false">
      <c r="B3" s="3" t="s">
        <v>245</v>
      </c>
    </row>
    <row r="5" customFormat="false" ht="27.75" hidden="false" customHeight="true" outlineLevel="0" collapsed="false">
      <c r="B5" s="14" t="s">
        <v>246</v>
      </c>
      <c r="C5" s="14" t="s">
        <v>11</v>
      </c>
      <c r="D5" s="14" t="s">
        <v>12</v>
      </c>
      <c r="E5" s="14" t="s">
        <v>13</v>
      </c>
      <c r="F5" s="14" t="s">
        <v>247</v>
      </c>
      <c r="G5" s="14" t="s">
        <v>248</v>
      </c>
    </row>
    <row r="6" customFormat="false" ht="15" hidden="false" customHeight="true" outlineLevel="0" collapsed="false">
      <c r="B6" s="11" t="s">
        <v>249</v>
      </c>
      <c r="C6" s="15" t="n">
        <f aca="false">COUNTIF(Datos!$CA$2:$CA$101,"Explorador")</f>
        <v>0</v>
      </c>
      <c r="D6" s="15" t="n">
        <f aca="false">COUNTIF(Datos!$CA$2:$CA$101,"Integrador")</f>
        <v>1</v>
      </c>
      <c r="E6" s="15" t="n">
        <f aca="false">COUNTIF(Datos!$CA$2:$CA$101,"Innovador")</f>
        <v>29</v>
      </c>
      <c r="F6" s="16" t="n">
        <f aca="false">IFERROR(AVERAGE(Datos!$BT$2:$BT$101),"")</f>
        <v>4.49259259259259</v>
      </c>
      <c r="G6" s="15" t="str">
        <f aca="false">IFERROR(INDEX({"Explorador";"Integrador";"Innovador"},MATCH(MAX(C6:E6),C6:E6,0)),"")</f>
        <v>Innovador</v>
      </c>
    </row>
    <row r="7" customFormat="false" ht="15" hidden="false" customHeight="true" outlineLevel="0" collapsed="false">
      <c r="B7" s="17" t="s">
        <v>250</v>
      </c>
      <c r="C7" s="18" t="n">
        <f aca="false">COUNTIF(Datos!$CB$2:$CB$101,"Explorador")</f>
        <v>0</v>
      </c>
      <c r="D7" s="18" t="n">
        <f aca="false">COUNTIF(Datos!$CB$2:$CB$101,"Integrador")</f>
        <v>8</v>
      </c>
      <c r="E7" s="18" t="n">
        <f aca="false">COUNTIF(Datos!$CB$2:$CB$101,"Innovador")</f>
        <v>22</v>
      </c>
      <c r="F7" s="19" t="n">
        <f aca="false">IFERROR(AVERAGE(Datos!$BU$2:$BU$101),"")</f>
        <v>4.14666666666667</v>
      </c>
      <c r="G7" s="18" t="str">
        <f aca="false">IFERROR(INDEX({"Explorador";"Integrador";"Innovador"},MATCH(MAX(C7:E7),C7:E7,0)),"")</f>
        <v>Innovador</v>
      </c>
    </row>
    <row r="8" customFormat="false" ht="15" hidden="false" customHeight="true" outlineLevel="0" collapsed="false">
      <c r="B8" s="11" t="s">
        <v>251</v>
      </c>
      <c r="C8" s="15" t="n">
        <f aca="false">COUNTIF(Datos!$CC$2:$CC$101,"Explorador")</f>
        <v>0</v>
      </c>
      <c r="D8" s="15" t="n">
        <f aca="false">COUNTIF(Datos!$CC$2:$CC$101,"Integrador")</f>
        <v>5</v>
      </c>
      <c r="E8" s="15" t="n">
        <f aca="false">COUNTIF(Datos!$CC$2:$CC$101,"Innovador")</f>
        <v>25</v>
      </c>
      <c r="F8" s="16" t="n">
        <f aca="false">IFERROR(AVERAGE(Datos!$BV$2:$BV$101),"")</f>
        <v>4.23333333333333</v>
      </c>
      <c r="G8" s="15" t="str">
        <f aca="false">IFERROR(INDEX({"Explorador";"Integrador";"Innovador"},MATCH(MAX(C8:E8),C8:E8,0)),"")</f>
        <v>Innovador</v>
      </c>
    </row>
    <row r="9" customFormat="false" ht="15" hidden="false" customHeight="true" outlineLevel="0" collapsed="false">
      <c r="B9" s="17" t="s">
        <v>252</v>
      </c>
      <c r="C9" s="18" t="n">
        <f aca="false">COUNTIF(Datos!$CD$2:$CD$101,"Explorador")</f>
        <v>1</v>
      </c>
      <c r="D9" s="18" t="n">
        <f aca="false">COUNTIF(Datos!$CD$2:$CD$101,"Integrador")</f>
        <v>10</v>
      </c>
      <c r="E9" s="18" t="n">
        <f aca="false">COUNTIF(Datos!$CD$2:$CD$101,"Innovador")</f>
        <v>19</v>
      </c>
      <c r="F9" s="19" t="n">
        <f aca="false">IFERROR(AVERAGE(Datos!$BW$2:$BW$101),"")</f>
        <v>4.07142857142857</v>
      </c>
      <c r="G9" s="18" t="str">
        <f aca="false">IFERROR(INDEX({"Explorador";"Integrador";"Innovador"},MATCH(MAX(C9:E9),C9:E9,0)),"")</f>
        <v>Innovador</v>
      </c>
    </row>
    <row r="10" customFormat="false" ht="15" hidden="false" customHeight="true" outlineLevel="0" collapsed="false">
      <c r="B10" s="11" t="s">
        <v>253</v>
      </c>
      <c r="C10" s="15" t="n">
        <f aca="false">COUNTIF(Datos!$CE$2:$CE$101,"Explorador")</f>
        <v>2</v>
      </c>
      <c r="D10" s="15" t="n">
        <f aca="false">COUNTIF(Datos!$CE$2:$CE$101,"Integrador")</f>
        <v>10</v>
      </c>
      <c r="E10" s="15" t="n">
        <f aca="false">COUNTIF(Datos!$CE$2:$CE$101,"Innovador")</f>
        <v>18</v>
      </c>
      <c r="F10" s="16" t="n">
        <f aca="false">IFERROR(AVERAGE(Datos!$BX$2:$BX$101),"")</f>
        <v>3.82857142857143</v>
      </c>
      <c r="G10" s="15" t="str">
        <f aca="false">IFERROR(INDEX({"Explorador";"Integrador";"Innovador"},MATCH(MAX(C10:E10),C10:E10,0)),"")</f>
        <v>Innovador</v>
      </c>
    </row>
    <row r="11" customFormat="false" ht="15" hidden="false" customHeight="true" outlineLevel="0" collapsed="false">
      <c r="B11" s="17" t="s">
        <v>254</v>
      </c>
      <c r="C11" s="18" t="n">
        <f aca="false">COUNTIF(Datos!$CF$2:$CF$101,"Explorador")</f>
        <v>0</v>
      </c>
      <c r="D11" s="18" t="n">
        <f aca="false">COUNTIF(Datos!$CF$2:$CF$101,"Integrador")</f>
        <v>10</v>
      </c>
      <c r="E11" s="18" t="n">
        <f aca="false">COUNTIF(Datos!$CF$2:$CF$101,"Innovador")</f>
        <v>20</v>
      </c>
      <c r="F11" s="19" t="n">
        <f aca="false">IFERROR(AVERAGE(Datos!$BY$2:$BY$101),"")</f>
        <v>3.93809523809524</v>
      </c>
      <c r="G11" s="18" t="str">
        <f aca="false">IFERROR(INDEX({"Explorador";"Integrador";"Innovador"},MATCH(MAX(C11:E11),C11:E11,0)),"")</f>
        <v>Innovador</v>
      </c>
    </row>
    <row r="14" customFormat="false" ht="15" hidden="false" customHeight="true" outlineLevel="0" collapsed="false">
      <c r="B14" s="20" t="s">
        <v>255</v>
      </c>
    </row>
    <row r="15" customFormat="false" ht="15" hidden="false" customHeight="true" outlineLevel="0" collapsed="false">
      <c r="B15" s="21" t="s">
        <v>256</v>
      </c>
      <c r="D15" s="22" t="n">
        <f aca="false">IFERROR(AVERAGE(Datos!$CG$2:$CG$101),"")</f>
        <v>0.948148148148148</v>
      </c>
    </row>
    <row r="16" customFormat="false" ht="15" hidden="false" customHeight="true" outlineLevel="0" collapsed="false">
      <c r="B16" s="21" t="s">
        <v>257</v>
      </c>
      <c r="D16" s="1" t="n">
        <f aca="false">COUNTIF(Datos!$CH$2:$CH$101,"Bajo")</f>
        <v>0</v>
      </c>
    </row>
    <row r="17" customFormat="false" ht="15" hidden="false" customHeight="true" outlineLevel="0" collapsed="false">
      <c r="B17" s="21" t="s">
        <v>258</v>
      </c>
      <c r="D17" s="1" t="n">
        <f aca="false">COUNTIF(Datos!$CH$2:$CH$101,"Medio")</f>
        <v>0</v>
      </c>
    </row>
    <row r="18" customFormat="false" ht="15" hidden="false" customHeight="true" outlineLevel="0" collapsed="false">
      <c r="B18" s="21" t="s">
        <v>259</v>
      </c>
      <c r="D18" s="1" t="n">
        <f aca="false">COUNTIF(Datos!$CH$2:$CH$101,"Alto")</f>
        <v>30</v>
      </c>
    </row>
    <row r="20" customFormat="false" ht="15" hidden="false" customHeight="true" outlineLevel="0" collapsed="false">
      <c r="B20" s="23" t="s">
        <v>260</v>
      </c>
    </row>
    <row r="21" customFormat="false" ht="15" hidden="false" customHeight="true" outlineLevel="0" collapsed="false">
      <c r="B21" s="21" t="s">
        <v>261</v>
      </c>
      <c r="D21" s="22" t="n">
        <f aca="false">IFERROR(AVERAGE(Datos!$BC$2:$BC$101),"")</f>
        <v>0.933333333333333</v>
      </c>
    </row>
    <row r="22" customFormat="false" ht="15" hidden="false" customHeight="true" outlineLevel="0" collapsed="false">
      <c r="B22" s="21" t="s">
        <v>262</v>
      </c>
      <c r="D22" s="22" t="n">
        <f aca="false">IFERROR(AVERAGE(Datos!$BD$2:$BD$101),"")</f>
        <v>0.933333333333333</v>
      </c>
    </row>
    <row r="23" customFormat="false" ht="15" hidden="false" customHeight="true" outlineLevel="0" collapsed="false">
      <c r="B23" s="21" t="s">
        <v>263</v>
      </c>
      <c r="D23" s="22" t="n">
        <f aca="false">IFERROR(AVERAGE(Datos!$BE$2:$BE$101),"")</f>
        <v>0.966666666666667</v>
      </c>
    </row>
    <row r="24" customFormat="false" ht="15" hidden="false" customHeight="true" outlineLevel="0" collapsed="false">
      <c r="B24" s="21" t="s">
        <v>264</v>
      </c>
      <c r="D24" s="22" t="n">
        <f aca="false">IFERROR(AVERAGE(Datos!$BF$2:$BF$101),"")</f>
        <v>0.833333333333333</v>
      </c>
    </row>
    <row r="25" customFormat="false" ht="15" hidden="false" customHeight="true" outlineLevel="0" collapsed="false">
      <c r="B25" s="21" t="s">
        <v>265</v>
      </c>
      <c r="D25" s="22" t="n">
        <f aca="false">IFERROR(AVERAGE(Datos!$BG$2:$BG$101),"")</f>
        <v>1</v>
      </c>
    </row>
    <row r="26" customFormat="false" ht="15" hidden="false" customHeight="true" outlineLevel="0" collapsed="false">
      <c r="B26" s="21" t="s">
        <v>266</v>
      </c>
      <c r="D26" s="22" t="n">
        <f aca="false">IFERROR(AVERAGE(Datos!$BH$2:$BH$101),"")</f>
        <v>0.9</v>
      </c>
    </row>
    <row r="27" customFormat="false" ht="15" hidden="false" customHeight="true" outlineLevel="0" collapsed="false">
      <c r="B27" s="21" t="s">
        <v>267</v>
      </c>
      <c r="D27" s="22" t="n">
        <f aca="false">IFERROR(AVERAGE(Datos!$BI$2:$BI$101),"")</f>
        <v>1</v>
      </c>
    </row>
    <row r="28" customFormat="false" ht="15" hidden="false" customHeight="true" outlineLevel="0" collapsed="false">
      <c r="B28" s="21" t="s">
        <v>268</v>
      </c>
      <c r="D28" s="22" t="n">
        <f aca="false">IFERROR(AVERAGE(Datos!$BJ$2:$BJ$101),"")</f>
        <v>0.966666666666667</v>
      </c>
    </row>
    <row r="29" customFormat="false" ht="15" hidden="false" customHeight="true" outlineLevel="0" collapsed="false">
      <c r="B29" s="21" t="s">
        <v>269</v>
      </c>
      <c r="D29" s="22" t="n">
        <f aca="false">IFERROR(AVERAGE(Datos!$BK$2:$BK$101),"")</f>
        <v>1</v>
      </c>
    </row>
    <row r="31" customFormat="false" ht="15" hidden="false" customHeight="true" outlineLevel="0" collapsed="false">
      <c r="B31" s="20" t="s">
        <v>270</v>
      </c>
    </row>
    <row r="32" customFormat="false" ht="15" hidden="false" customHeight="true" outlineLevel="0" collapsed="false">
      <c r="B32" s="21" t="s">
        <v>271</v>
      </c>
      <c r="D32" s="1" t="n">
        <f aca="false">COUNTIF(Datos!$CJ$2:$CJ$101,"Consistente")</f>
        <v>21</v>
      </c>
    </row>
    <row r="33" customFormat="false" ht="15" hidden="false" customHeight="true" outlineLevel="0" collapsed="false">
      <c r="B33" s="21" t="s">
        <v>272</v>
      </c>
      <c r="D33" s="1" t="n">
        <f aca="false">COUNTIF(Datos!$CJ$2:$CJ$101,"Sobreconfía")</f>
        <v>0</v>
      </c>
    </row>
    <row r="34" customFormat="false" ht="15" hidden="false" customHeight="true" outlineLevel="0" collapsed="false">
      <c r="B34" s="21" t="s">
        <v>273</v>
      </c>
      <c r="D34" s="1" t="n">
        <f aca="false">COUNTIF(Datos!$CJ$2:$CJ$101,"Subvalora")</f>
        <v>9</v>
      </c>
    </row>
    <row r="36" customFormat="false" ht="15" hidden="false" customHeight="true" outlineLevel="0" collapsed="false">
      <c r="B36" s="21" t="s">
        <v>274</v>
      </c>
      <c r="D36" s="24" t="n">
        <f aca="false">IFERROR(AVERAGE(Datos!$BZ$2:$BZ$101),"")</f>
        <v>4.66666666666667</v>
      </c>
    </row>
    <row r="39" customFormat="false" ht="15" hidden="false" customHeight="true" outlineLevel="0" collapsed="false">
      <c r="B39" s="20" t="s">
        <v>275</v>
      </c>
    </row>
    <row r="40" customFormat="false" ht="27.75" hidden="false" customHeight="true" outlineLevel="0" collapsed="false">
      <c r="B40" s="9" t="s">
        <v>17</v>
      </c>
      <c r="C40" s="9" t="s">
        <v>249</v>
      </c>
      <c r="D40" s="9" t="s">
        <v>250</v>
      </c>
      <c r="E40" s="9" t="s">
        <v>251</v>
      </c>
      <c r="F40" s="9" t="s">
        <v>252</v>
      </c>
      <c r="G40" s="9" t="s">
        <v>253</v>
      </c>
      <c r="H40" s="9" t="s">
        <v>254</v>
      </c>
    </row>
    <row r="41" customFormat="false" ht="15" hidden="false" customHeight="true" outlineLevel="0" collapsed="false">
      <c r="B41" s="25" t="s">
        <v>117</v>
      </c>
      <c r="C41" s="16" t="n">
        <f aca="false">IFERROR(AVERAGEIFS(Datos!$BT$2:$BT$101,Datos!$D$2:$D$101,"Preescolar"),"")</f>
        <v>4.6</v>
      </c>
      <c r="D41" s="16" t="n">
        <f aca="false">IFERROR(AVERAGEIFS(Datos!$BU$2:$BU$101,Datos!$D$2:$D$101,"Preescolar"),"")</f>
        <v>4.2</v>
      </c>
      <c r="E41" s="16" t="n">
        <f aca="false">IFERROR(AVERAGEIFS(Datos!$BV$2:$BV$101,Datos!$D$2:$D$101,"Preescolar"),"")</f>
        <v>4.68</v>
      </c>
      <c r="F41" s="16" t="n">
        <f aca="false">IFERROR(AVERAGEIFS(Datos!$BW$2:$BW$101,Datos!$D$2:$D$101,"Preescolar"),"")</f>
        <v>4.54285714285714</v>
      </c>
      <c r="G41" s="16" t="n">
        <f aca="false">IFERROR(AVERAGEIFS(Datos!$BX$2:$BX$101,Datos!$D$2:$D$101,"Preescolar"),"")</f>
        <v>4.08571428571429</v>
      </c>
      <c r="H41" s="16" t="n">
        <f aca="false">IFERROR(AVERAGEIFS(Datos!$BY$2:$BY$101,Datos!$D$2:$D$101,"Preescolar"),"")</f>
        <v>4.22857142857143</v>
      </c>
    </row>
    <row r="42" customFormat="false" ht="15" hidden="false" customHeight="true" outlineLevel="0" collapsed="false">
      <c r="B42" s="25" t="s">
        <v>105</v>
      </c>
      <c r="C42" s="16" t="n">
        <f aca="false">IFERROR(AVERAGEIFS(Datos!$BT$2:$BT$101,Datos!$D$2:$D$101,"Primaria"),"")</f>
        <v>4.38562091503268</v>
      </c>
      <c r="D42" s="16" t="n">
        <f aca="false">IFERROR(AVERAGEIFS(Datos!$BU$2:$BU$101,Datos!$D$2:$D$101,"Primaria"),"")</f>
        <v>4.01176470588235</v>
      </c>
      <c r="E42" s="16" t="n">
        <f aca="false">IFERROR(AVERAGEIFS(Datos!$BV$2:$BV$101,Datos!$D$2:$D$101,"Primaria"),"")</f>
        <v>4.25882352941177</v>
      </c>
      <c r="F42" s="16" t="n">
        <f aca="false">IFERROR(AVERAGEIFS(Datos!$BW$2:$BW$101,Datos!$D$2:$D$101,"Primaria"),"")</f>
        <v>4</v>
      </c>
      <c r="G42" s="16" t="n">
        <f aca="false">IFERROR(AVERAGEIFS(Datos!$BX$2:$BX$101,Datos!$D$2:$D$101,"Primaria"),"")</f>
        <v>3.79831932773109</v>
      </c>
      <c r="H42" s="16" t="n">
        <f aca="false">IFERROR(AVERAGEIFS(Datos!$BY$2:$BY$101,Datos!$D$2:$D$101,"Primaria"),"")</f>
        <v>3.72268907563025</v>
      </c>
    </row>
    <row r="43" customFormat="false" ht="15" hidden="false" customHeight="true" outlineLevel="0" collapsed="false">
      <c r="B43" s="25" t="s">
        <v>126</v>
      </c>
      <c r="C43" s="16" t="n">
        <f aca="false">IFERROR(AVERAGEIFS(Datos!$BT$2:$BT$101,Datos!$D$2:$D$101,"Secundaria"),"")</f>
        <v>4.71428571428571</v>
      </c>
      <c r="D43" s="16" t="n">
        <f aca="false">IFERROR(AVERAGEIFS(Datos!$BU$2:$BU$101,Datos!$D$2:$D$101,"Secundaria"),"")</f>
        <v>4.57142857142857</v>
      </c>
      <c r="E43" s="16" t="n">
        <f aca="false">IFERROR(AVERAGEIFS(Datos!$BV$2:$BV$101,Datos!$D$2:$D$101,"Secundaria"),"")</f>
        <v>4.02857142857143</v>
      </c>
      <c r="F43" s="16" t="n">
        <f aca="false">IFERROR(AVERAGEIFS(Datos!$BW$2:$BW$101,Datos!$D$2:$D$101,"Secundaria"),"")</f>
        <v>3.91836734693878</v>
      </c>
      <c r="G43" s="16" t="n">
        <f aca="false">IFERROR(AVERAGEIFS(Datos!$BX$2:$BX$101,Datos!$D$2:$D$101,"Secundaria"),"")</f>
        <v>3.79591836734694</v>
      </c>
      <c r="H43" s="16" t="n">
        <f aca="false">IFERROR(AVERAGEIFS(Datos!$BY$2:$BY$101,Datos!$D$2:$D$101,"Secundaria"),"")</f>
        <v>4.36734693877551</v>
      </c>
    </row>
    <row r="44" customFormat="false" ht="15" hidden="false" customHeight="true" outlineLevel="0" collapsed="false">
      <c r="B44" s="25" t="s">
        <v>240</v>
      </c>
      <c r="C44" s="16" t="n">
        <f aca="false">IFERROR(AVERAGEIFS(Datos!$BT$2:$BT$101,Datos!$D$2:$D$101,"Media"),"")</f>
        <v>4.22222222222222</v>
      </c>
      <c r="D44" s="16" t="n">
        <f aca="false">IFERROR(AVERAGEIFS(Datos!$BU$2:$BU$101,Datos!$D$2:$D$101,"Media"),"")</f>
        <v>3.2</v>
      </c>
      <c r="E44" s="16" t="n">
        <f aca="false">IFERROR(AVERAGEIFS(Datos!$BV$2:$BV$101,Datos!$D$2:$D$101,"Media"),"")</f>
        <v>3</v>
      </c>
      <c r="F44" s="16" t="n">
        <f aca="false">IFERROR(AVERAGEIFS(Datos!$BW$2:$BW$101,Datos!$D$2:$D$101,"Media"),"")</f>
        <v>4</v>
      </c>
      <c r="G44" s="16" t="n">
        <f aca="false">IFERROR(AVERAGEIFS(Datos!$BX$2:$BX$101,Datos!$D$2:$D$101,"Media"),"")</f>
        <v>3.28571428571429</v>
      </c>
      <c r="H44" s="16" t="n">
        <f aca="false">IFERROR(AVERAGEIFS(Datos!$BY$2:$BY$101,Datos!$D$2:$D$101,"Media"),"")</f>
        <v>3.14285714285714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2"/>
    <col collapsed="false" customWidth="true" hidden="false" outlineLevel="0" max="5" min="3" style="1" width="18"/>
  </cols>
  <sheetData>
    <row r="2" customFormat="false" ht="17.25" hidden="false" customHeight="true" outlineLevel="0" collapsed="false">
      <c r="B2" s="2" t="s">
        <v>276</v>
      </c>
    </row>
    <row r="4" customFormat="false" ht="15" hidden="false" customHeight="true" outlineLevel="0" collapsed="false">
      <c r="B4" s="5" t="s">
        <v>277</v>
      </c>
      <c r="D4" s="26" t="s">
        <v>278</v>
      </c>
    </row>
    <row r="6" customFormat="false" ht="15" hidden="false" customHeight="true" outlineLevel="0" collapsed="false">
      <c r="B6" s="14" t="s">
        <v>246</v>
      </c>
      <c r="C6" s="14" t="s">
        <v>279</v>
      </c>
      <c r="D6" s="14" t="s">
        <v>280</v>
      </c>
      <c r="E6" s="14" t="s">
        <v>247</v>
      </c>
    </row>
    <row r="7" customFormat="false" ht="15" hidden="false" customHeight="true" outlineLevel="0" collapsed="false">
      <c r="B7" s="11" t="s">
        <v>281</v>
      </c>
      <c r="C7" s="16" t="str">
        <f aca="false">IFERROR(INDEX(Datos!$BT$2:$BT$101,MATCH($D$4,Datos!$B$2:$B$101,0)),"")</f>
        <v/>
      </c>
      <c r="D7" s="27" t="str">
        <f aca="false">IFERROR(INDEX(Datos!$CA$2:$CA$101,MATCH($D$4,Datos!$B$2:$B$101,0)),"")</f>
        <v/>
      </c>
      <c r="E7" s="16" t="n">
        <f aca="false">IFERROR(AVERAGE(Datos!$BT$2:$BT$101),"")</f>
        <v>4.49259259259259</v>
      </c>
    </row>
    <row r="8" customFormat="false" ht="15" hidden="false" customHeight="true" outlineLevel="0" collapsed="false">
      <c r="B8" s="11" t="s">
        <v>282</v>
      </c>
      <c r="C8" s="16" t="str">
        <f aca="false">IFERROR(INDEX(Datos!$BU$2:$BU$101,MATCH($D$4,Datos!$B$2:$B$101,0)),"")</f>
        <v/>
      </c>
      <c r="D8" s="27" t="str">
        <f aca="false">IFERROR(INDEX(Datos!$CB$2:$CB$101,MATCH($D$4,Datos!$B$2:$B$101,0)),"")</f>
        <v/>
      </c>
      <c r="E8" s="16" t="n">
        <f aca="false">IFERROR(AVERAGE(Datos!$BU$2:$BU$101),"")</f>
        <v>4.14666666666667</v>
      </c>
    </row>
    <row r="9" customFormat="false" ht="15" hidden="false" customHeight="true" outlineLevel="0" collapsed="false">
      <c r="B9" s="11" t="s">
        <v>283</v>
      </c>
      <c r="C9" s="16" t="str">
        <f aca="false">IFERROR(INDEX(Datos!$BV$2:$BV$101,MATCH($D$4,Datos!$B$2:$B$101,0)),"")</f>
        <v/>
      </c>
      <c r="D9" s="27" t="str">
        <f aca="false">IFERROR(INDEX(Datos!$CC$2:$CC$101,MATCH($D$4,Datos!$B$2:$B$101,0)),"")</f>
        <v/>
      </c>
      <c r="E9" s="16" t="n">
        <f aca="false">IFERROR(AVERAGE(Datos!$BV$2:$BV$101),"")</f>
        <v>4.23333333333333</v>
      </c>
    </row>
    <row r="10" customFormat="false" ht="15" hidden="false" customHeight="true" outlineLevel="0" collapsed="false">
      <c r="B10" s="11" t="s">
        <v>284</v>
      </c>
      <c r="C10" s="16" t="str">
        <f aca="false">IFERROR(INDEX(Datos!$BW$2:$BW$101,MATCH($D$4,Datos!$B$2:$B$101,0)),"")</f>
        <v/>
      </c>
      <c r="D10" s="27" t="str">
        <f aca="false">IFERROR(INDEX(Datos!$CD$2:$CD$101,MATCH($D$4,Datos!$B$2:$B$101,0)),"")</f>
        <v/>
      </c>
      <c r="E10" s="16" t="n">
        <f aca="false">IFERROR(AVERAGE(Datos!$BW$2:$BW$101),"")</f>
        <v>4.07142857142857</v>
      </c>
    </row>
    <row r="11" customFormat="false" ht="15" hidden="false" customHeight="true" outlineLevel="0" collapsed="false">
      <c r="B11" s="11" t="s">
        <v>285</v>
      </c>
      <c r="C11" s="16" t="str">
        <f aca="false">IFERROR(INDEX(Datos!$BX$2:$BX$101,MATCH($D$4,Datos!$B$2:$B$101,0)),"")</f>
        <v/>
      </c>
      <c r="D11" s="27" t="str">
        <f aca="false">IFERROR(INDEX(Datos!$CE$2:$CE$101,MATCH($D$4,Datos!$B$2:$B$101,0)),"")</f>
        <v/>
      </c>
      <c r="E11" s="16" t="n">
        <f aca="false">IFERROR(AVERAGE(Datos!$BX$2:$BX$101),"")</f>
        <v>3.82857142857143</v>
      </c>
    </row>
    <row r="12" customFormat="false" ht="15" hidden="false" customHeight="true" outlineLevel="0" collapsed="false">
      <c r="B12" s="11" t="s">
        <v>286</v>
      </c>
      <c r="C12" s="16" t="str">
        <f aca="false">IFERROR(INDEX(Datos!$BY$2:$BY$101,MATCH($D$4,Datos!$B$2:$B$101,0)),"")</f>
        <v/>
      </c>
      <c r="D12" s="27" t="str">
        <f aca="false">IFERROR(INDEX(Datos!$CF$2:$CF$101,MATCH($D$4,Datos!$B$2:$B$101,0)),"")</f>
        <v/>
      </c>
      <c r="E12" s="16" t="n">
        <f aca="false">IFERROR(AVERAGE(Datos!$BY$2:$BY$101),"")</f>
        <v>3.93809523809524</v>
      </c>
    </row>
    <row r="14" customFormat="false" ht="15" hidden="false" customHeight="true" outlineLevel="0" collapsed="false">
      <c r="B14" s="5" t="s">
        <v>287</v>
      </c>
      <c r="C14" s="28" t="str">
        <f aca="false">IFERROR(INDEX(Datos!$CG$2:$CG$101,MATCH($D$4,Datos!$B$2:$B$101,0)),"")</f>
        <v/>
      </c>
    </row>
    <row r="15" customFormat="false" ht="15" hidden="false" customHeight="true" outlineLevel="0" collapsed="false">
      <c r="B15" s="5" t="s">
        <v>288</v>
      </c>
      <c r="C15" s="16" t="str">
        <f aca="false">IFERROR(INDEX(Datos!$BZ$2:$BZ$101,MATCH($D$4,Datos!$B$2:$B$101,0)),"")</f>
        <v/>
      </c>
    </row>
    <row r="16" customFormat="false" ht="15" hidden="false" customHeight="true" outlineLevel="0" collapsed="false">
      <c r="B16" s="5" t="s">
        <v>289</v>
      </c>
      <c r="C16" s="15" t="str">
        <f aca="false">IFERROR(INDEX(Datos!$CJ$2:$CJ$101,MATCH($D$4,Datos!$B$2:$B$101,0)),"")</f>
        <v/>
      </c>
    </row>
  </sheetData>
  <conditionalFormatting sqref="D7">
    <cfRule type="cellIs" priority="2" operator="equal" aboveAverage="0" equalAverage="0" bottom="0" percent="0" rank="0" text="" dxfId="0">
      <formula>"Explorador"</formula>
    </cfRule>
    <cfRule type="cellIs" priority="3" operator="equal" aboveAverage="0" equalAverage="0" bottom="0" percent="0" rank="0" text="" dxfId="1">
      <formula>"Integrador"</formula>
    </cfRule>
    <cfRule type="cellIs" priority="4" operator="equal" aboveAverage="0" equalAverage="0" bottom="0" percent="0" rank="0" text="" dxfId="2">
      <formula>"Innovador"</formula>
    </cfRule>
  </conditionalFormatting>
  <conditionalFormatting sqref="D8">
    <cfRule type="cellIs" priority="5" operator="equal" aboveAverage="0" equalAverage="0" bottom="0" percent="0" rank="0" text="" dxfId="0">
      <formula>"Explorador"</formula>
    </cfRule>
    <cfRule type="cellIs" priority="6" operator="equal" aboveAverage="0" equalAverage="0" bottom="0" percent="0" rank="0" text="" dxfId="1">
      <formula>"Integrador"</formula>
    </cfRule>
    <cfRule type="cellIs" priority="7" operator="equal" aboveAverage="0" equalAverage="0" bottom="0" percent="0" rank="0" text="" dxfId="2">
      <formula>"Innovador"</formula>
    </cfRule>
  </conditionalFormatting>
  <conditionalFormatting sqref="D9">
    <cfRule type="cellIs" priority="8" operator="equal" aboveAverage="0" equalAverage="0" bottom="0" percent="0" rank="0" text="" dxfId="0">
      <formula>"Explorador"</formula>
    </cfRule>
    <cfRule type="cellIs" priority="9" operator="equal" aboveAverage="0" equalAverage="0" bottom="0" percent="0" rank="0" text="" dxfId="1">
      <formula>"Integrador"</formula>
    </cfRule>
    <cfRule type="cellIs" priority="10" operator="equal" aboveAverage="0" equalAverage="0" bottom="0" percent="0" rank="0" text="" dxfId="2">
      <formula>"Innovador"</formula>
    </cfRule>
  </conditionalFormatting>
  <conditionalFormatting sqref="D10">
    <cfRule type="cellIs" priority="11" operator="equal" aboveAverage="0" equalAverage="0" bottom="0" percent="0" rank="0" text="" dxfId="0">
      <formula>"Explorador"</formula>
    </cfRule>
    <cfRule type="cellIs" priority="12" operator="equal" aboveAverage="0" equalAverage="0" bottom="0" percent="0" rank="0" text="" dxfId="1">
      <formula>"Integrador"</formula>
    </cfRule>
    <cfRule type="cellIs" priority="13" operator="equal" aboveAverage="0" equalAverage="0" bottom="0" percent="0" rank="0" text="" dxfId="2">
      <formula>"Innovador"</formula>
    </cfRule>
  </conditionalFormatting>
  <conditionalFormatting sqref="D11">
    <cfRule type="cellIs" priority="14" operator="equal" aboveAverage="0" equalAverage="0" bottom="0" percent="0" rank="0" text="" dxfId="0">
      <formula>"Explorador"</formula>
    </cfRule>
    <cfRule type="cellIs" priority="15" operator="equal" aboveAverage="0" equalAverage="0" bottom="0" percent="0" rank="0" text="" dxfId="1">
      <formula>"Integrador"</formula>
    </cfRule>
    <cfRule type="cellIs" priority="16" operator="equal" aboveAverage="0" equalAverage="0" bottom="0" percent="0" rank="0" text="" dxfId="2">
      <formula>"Innovador"</formula>
    </cfRule>
  </conditionalFormatting>
  <conditionalFormatting sqref="D12">
    <cfRule type="cellIs" priority="17" operator="equal" aboveAverage="0" equalAverage="0" bottom="0" percent="0" rank="0" text="" dxfId="0">
      <formula>"Explorador"</formula>
    </cfRule>
    <cfRule type="cellIs" priority="18" operator="equal" aboveAverage="0" equalAverage="0" bottom="0" percent="0" rank="0" text="" dxfId="1">
      <formula>"Integrador"</formula>
    </cfRule>
    <cfRule type="cellIs" priority="19" operator="equal" aboveAverage="0" equalAverage="0" bottom="0" percent="0" rank="0" text="" dxfId="2">
      <formula>"Innovador"</formula>
    </cfRule>
  </conditionalFormatting>
  <dataValidations count="1">
    <dataValidation allowBlank="false" errorStyle="stop" operator="between" showDropDown="false" showErrorMessage="false" showInputMessage="false" sqref="D4" type="list">
      <formula1>Datos!$B$2:$B$101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7" min="3" style="1" width="16"/>
  </cols>
  <sheetData>
    <row r="2" customFormat="false" ht="17.25" hidden="false" customHeight="true" outlineLevel="0" collapsed="false">
      <c r="B2" s="2" t="s">
        <v>290</v>
      </c>
    </row>
    <row r="3" customFormat="false" ht="15" hidden="false" customHeight="true" outlineLevel="0" collapsed="false">
      <c r="B3" s="3" t="s">
        <v>291</v>
      </c>
    </row>
    <row r="5" customFormat="false" ht="15" hidden="false" customHeight="true" outlineLevel="0" collapsed="false">
      <c r="B5" s="14" t="s">
        <v>246</v>
      </c>
      <c r="C5" s="14" t="s">
        <v>292</v>
      </c>
      <c r="D5" s="14" t="s">
        <v>293</v>
      </c>
      <c r="E5" s="14" t="s">
        <v>294</v>
      </c>
      <c r="F5" s="14" t="s">
        <v>295</v>
      </c>
      <c r="G5" s="14" t="s">
        <v>296</v>
      </c>
    </row>
    <row r="6" customFormat="false" ht="27.75" hidden="false" customHeight="true" outlineLevel="0" collapsed="false">
      <c r="B6" s="11" t="s">
        <v>249</v>
      </c>
      <c r="C6" s="15" t="n">
        <v>9</v>
      </c>
      <c r="D6" s="29" t="n">
        <f aca="false">IFERROR(VAR(Datos!$J$2:$J$101)+VAR(Datos!$K$2:$K$101)+VAR(Datos!$BL$2:$BL$101)+VAR(Datos!$M$2:$M$101)+VAR(Datos!$N$2:$N$101)+VAR(Datos!$BM$2:$BM$101)+VAR(Datos!$P$2:$P$101)+VAR(Datos!$Q$2:$Q$101)+VAR(Datos!$R$2:$R$101),"")</f>
        <v>5.57816091954023</v>
      </c>
      <c r="E6" s="29" t="n">
        <f aca="false">IFERROR(VAR(Datos!$BN$2:$BN$101),"")</f>
        <v>9.28850574712644</v>
      </c>
      <c r="F6" s="29" t="n">
        <f aca="false">IFERROR((9/8)*(1-D6/E6),"")</f>
        <v>0.449387452048014</v>
      </c>
      <c r="G6" s="15" t="str">
        <f aca="false">IF(F6="","",IF(F6&gt;=0.7,"Aceptable","Revisar / ampliar N"))</f>
        <v>Revisar / ampliar N</v>
      </c>
    </row>
    <row r="7" customFormat="false" ht="15" hidden="false" customHeight="true" outlineLevel="0" collapsed="false">
      <c r="B7" s="11" t="s">
        <v>250</v>
      </c>
      <c r="C7" s="15" t="n">
        <v>5</v>
      </c>
      <c r="D7" s="29" t="n">
        <f aca="false">IFERROR(VAR(Datos!$S$2:$S$101)+VAR(Datos!$T$2:$T$101)+VAR(Datos!$U$2:$U$101)+VAR(Datos!$V$2:$V$101)+VAR(Datos!$W$2:$W$101),"")</f>
        <v>4.32413793103448</v>
      </c>
      <c r="E7" s="29" t="n">
        <f aca="false">IFERROR(VAR(Datos!$BO$2:$BO$101),"")</f>
        <v>9.51264367816093</v>
      </c>
      <c r="F7" s="29" t="n">
        <f aca="false">IFERROR((5/4)*(1-D7/E7),"")</f>
        <v>0.681790720154665</v>
      </c>
      <c r="G7" s="15" t="str">
        <f aca="false">IF(F7="","",IF(F7&gt;=0.7,"Aceptable","Revisar / ampliar N"))</f>
        <v>Revisar / ampliar N</v>
      </c>
    </row>
    <row r="8" customFormat="false" ht="15" hidden="false" customHeight="true" outlineLevel="0" collapsed="false">
      <c r="B8" s="11" t="s">
        <v>251</v>
      </c>
      <c r="C8" s="15" t="n">
        <v>5</v>
      </c>
      <c r="D8" s="29" t="n">
        <f aca="false">IFERROR(VAR(Datos!$Y$2:$Y$101)+VAR(Datos!$Z$2:$Z$101)+VAR(Datos!$AA$2:$AA$101)+VAR(Datos!$AB$2:$AB$101)+VAR(Datos!$AC$2:$AC$101),"")</f>
        <v>4.80344827586207</v>
      </c>
      <c r="E8" s="29" t="n">
        <f aca="false">IFERROR(VAR(Datos!$BP$2:$BP$101),"")</f>
        <v>10.9712643678161</v>
      </c>
      <c r="F8" s="29" t="n">
        <f aca="false">IFERROR((5/4)*(1-D8/E8),"")</f>
        <v>0.702723939235201</v>
      </c>
      <c r="G8" s="15" t="str">
        <f aca="false">IF(F8="","",IF(F8&gt;=0.7,"Aceptable","Revisar / ampliar N"))</f>
        <v>Aceptable</v>
      </c>
    </row>
    <row r="9" customFormat="false" ht="15" hidden="false" customHeight="true" outlineLevel="0" collapsed="false">
      <c r="B9" s="11" t="s">
        <v>252</v>
      </c>
      <c r="C9" s="15" t="n">
        <v>7</v>
      </c>
      <c r="D9" s="29" t="n">
        <f aca="false">IFERROR(VAR(Datos!$AE$2:$AE$101)+VAR(Datos!$AF$2:$AF$101)+VAR(Datos!$AG$2:$AG$101)+VAR(Datos!$AH$2:$AH$101)+VAR(Datos!$AI$2:$AI$101)+VAR(Datos!$AJ$2:$AJ$101)+VAR(Datos!$AK$2:$AK$101),"")</f>
        <v>7.37586206896552</v>
      </c>
      <c r="E9" s="29" t="n">
        <f aca="false">IFERROR(VAR(Datos!$BQ$2:$BQ$101),"")</f>
        <v>24.1896551724138</v>
      </c>
      <c r="F9" s="29" t="n">
        <f aca="false">IFERROR((7/6)*(1-D9/E9),"")</f>
        <v>0.810928961748634</v>
      </c>
      <c r="G9" s="15" t="str">
        <f aca="false">IF(F9="","",IF(F9&gt;=0.7,"Aceptable","Revisar / ampliar N"))</f>
        <v>Aceptable</v>
      </c>
    </row>
    <row r="10" customFormat="false" ht="15" hidden="false" customHeight="true" outlineLevel="0" collapsed="false">
      <c r="B10" s="11" t="s">
        <v>253</v>
      </c>
      <c r="C10" s="15" t="n">
        <v>7</v>
      </c>
      <c r="D10" s="29" t="n">
        <f aca="false">IFERROR(VAR(Datos!$AL$2:$AL$101)+VAR(Datos!$AM$2:$AM$101)+VAR(Datos!$AN$2:$AN$101)+VAR(Datos!$AO$2:$AO$101)+VAR(Datos!$AP$2:$AP$101)+VAR(Datos!$AQ$2:$AQ$101)+VAR(Datos!$AR$2:$AR$101),"")</f>
        <v>7.9080459770115</v>
      </c>
      <c r="E10" s="29" t="n">
        <f aca="false">IFERROR(VAR(Datos!$BR$2:$BR$101),"")</f>
        <v>33.2</v>
      </c>
      <c r="F10" s="29" t="n">
        <f aca="false">IFERROR((7/6)*(1-D10/E10),"")</f>
        <v>0.888773484743572</v>
      </c>
      <c r="G10" s="15" t="str">
        <f aca="false">IF(F10="","",IF(F10&gt;=0.7,"Aceptable","Revisar / ampliar N"))</f>
        <v>Aceptable</v>
      </c>
    </row>
    <row r="11" customFormat="false" ht="15" hidden="false" customHeight="true" outlineLevel="0" collapsed="false">
      <c r="B11" s="11" t="s">
        <v>254</v>
      </c>
      <c r="C11" s="15" t="n">
        <v>7</v>
      </c>
      <c r="D11" s="29" t="n">
        <f aca="false">IFERROR(VAR(Datos!$AS$2:$AS$101)+VAR(Datos!$AT$2:$AT$101)+VAR(Datos!$AU$2:$AU$101)+VAR(Datos!$AV$2:$AV$101)+VAR(Datos!$AW$2:$AW$101)+VAR(Datos!$AX$2:$AX$101)+VAR(Datos!$AY$2:$AY$101),"")</f>
        <v>5.50689655172414</v>
      </c>
      <c r="E11" s="29" t="n">
        <f aca="false">IFERROR(VAR(Datos!$BS$2:$BS$101),"")</f>
        <v>17.3574712643678</v>
      </c>
      <c r="F11" s="29" t="n">
        <f aca="false">IFERROR((7/6)*(1-D11/E11),"")</f>
        <v>0.796525616405095</v>
      </c>
      <c r="G11" s="15" t="str">
        <f aca="false">IF(F11="","",IF(F11&gt;=0.7,"Aceptable","Revisar / ampliar N"))</f>
        <v>Aceptable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3" min="3" style="1" width="70"/>
  </cols>
  <sheetData>
    <row r="2" customFormat="false" ht="17.25" hidden="false" customHeight="true" outlineLevel="0" collapsed="false">
      <c r="B2" s="2" t="s">
        <v>297</v>
      </c>
    </row>
    <row r="4" customFormat="false" ht="15" hidden="false" customHeight="true" outlineLevel="0" collapsed="false">
      <c r="B4" s="30" t="s">
        <v>298</v>
      </c>
    </row>
    <row r="6" customFormat="false" ht="15" hidden="false" customHeight="true" outlineLevel="0" collapsed="false">
      <c r="B6" s="5" t="s">
        <v>299</v>
      </c>
    </row>
    <row r="7" customFormat="false" ht="15" hidden="false" customHeight="true" outlineLevel="0" collapsed="false">
      <c r="B7" s="21" t="s">
        <v>300</v>
      </c>
      <c r="C7" s="21" t="s">
        <v>11</v>
      </c>
    </row>
    <row r="8" customFormat="false" ht="15" hidden="false" customHeight="true" outlineLevel="0" collapsed="false">
      <c r="B8" s="21" t="s">
        <v>301</v>
      </c>
      <c r="C8" s="21" t="s">
        <v>12</v>
      </c>
    </row>
    <row r="9" customFormat="false" ht="15" hidden="false" customHeight="true" outlineLevel="0" collapsed="false">
      <c r="B9" s="21" t="s">
        <v>302</v>
      </c>
      <c r="C9" s="21" t="s">
        <v>13</v>
      </c>
    </row>
    <row r="11" customFormat="false" ht="15" hidden="false" customHeight="true" outlineLevel="0" collapsed="false">
      <c r="B11" s="21" t="s">
        <v>303</v>
      </c>
    </row>
    <row r="13" customFormat="false" ht="15" hidden="false" customHeight="true" outlineLevel="0" collapsed="false">
      <c r="B13" s="23" t="s">
        <v>304</v>
      </c>
    </row>
    <row r="14" customFormat="false" ht="15" hidden="false" customHeight="true" outlineLevel="0" collapsed="false">
      <c r="B14" s="31" t="s">
        <v>305</v>
      </c>
      <c r="C14" s="21" t="s">
        <v>306</v>
      </c>
    </row>
    <row r="15" customFormat="false" ht="15" hidden="false" customHeight="true" outlineLevel="0" collapsed="false">
      <c r="B15" s="31" t="s">
        <v>307</v>
      </c>
      <c r="C15" s="21" t="s">
        <v>308</v>
      </c>
    </row>
    <row r="16" customFormat="false" ht="15" hidden="false" customHeight="true" outlineLevel="0" collapsed="false">
      <c r="B16" s="31" t="s">
        <v>309</v>
      </c>
      <c r="C16" s="21" t="s">
        <v>310</v>
      </c>
    </row>
    <row r="17" customFormat="false" ht="15" hidden="false" customHeight="true" outlineLevel="0" collapsed="false">
      <c r="B17" s="31" t="s">
        <v>311</v>
      </c>
      <c r="C17" s="21" t="s">
        <v>312</v>
      </c>
    </row>
    <row r="18" customFormat="false" ht="15" hidden="false" customHeight="true" outlineLevel="0" collapsed="false">
      <c r="B18" s="31" t="s">
        <v>313</v>
      </c>
      <c r="C18" s="21" t="s">
        <v>314</v>
      </c>
    </row>
    <row r="19" customFormat="false" ht="15" hidden="false" customHeight="true" outlineLevel="0" collapsed="false">
      <c r="B19" s="31" t="s">
        <v>315</v>
      </c>
      <c r="C19" s="21" t="s">
        <v>316</v>
      </c>
    </row>
    <row r="20" customFormat="false" ht="15" hidden="false" customHeight="true" outlineLevel="0" collapsed="false">
      <c r="B20" s="31" t="s">
        <v>66</v>
      </c>
      <c r="C20" s="21" t="s">
        <v>317</v>
      </c>
    </row>
    <row r="21" customFormat="false" ht="15" hidden="false" customHeight="true" outlineLevel="0" collapsed="false">
      <c r="B21" s="31" t="s">
        <v>67</v>
      </c>
      <c r="C21" s="21" t="s">
        <v>318</v>
      </c>
    </row>
    <row r="22" customFormat="false" ht="15" hidden="false" customHeight="true" outlineLevel="0" collapsed="false">
      <c r="B22" s="31" t="s">
        <v>319</v>
      </c>
      <c r="C22" s="21" t="s">
        <v>320</v>
      </c>
    </row>
    <row r="25" customFormat="false" ht="15" hidden="false" customHeight="true" outlineLevel="0" collapsed="false">
      <c r="B25" s="23" t="s">
        <v>321</v>
      </c>
    </row>
    <row r="26" customFormat="false" ht="15" hidden="false" customHeight="true" outlineLevel="0" collapsed="false">
      <c r="B26" s="31" t="s">
        <v>68</v>
      </c>
      <c r="C26" s="21" t="s">
        <v>322</v>
      </c>
    </row>
    <row r="27" customFormat="false" ht="15" hidden="false" customHeight="true" outlineLevel="0" collapsed="false">
      <c r="B27" s="31" t="s">
        <v>69</v>
      </c>
      <c r="C27" s="21" t="s">
        <v>323</v>
      </c>
    </row>
    <row r="28" customFormat="false" ht="15" hidden="false" customHeight="true" outlineLevel="0" collapsed="false">
      <c r="B28" s="31" t="s">
        <v>70</v>
      </c>
      <c r="C28" s="21" t="s">
        <v>324</v>
      </c>
    </row>
    <row r="29" customFormat="false" ht="15" hidden="false" customHeight="true" outlineLevel="0" collapsed="false">
      <c r="B29" s="31" t="s">
        <v>71</v>
      </c>
      <c r="C29" s="21" t="s">
        <v>325</v>
      </c>
    </row>
    <row r="30" customFormat="false" ht="15" hidden="false" customHeight="true" outlineLevel="0" collapsed="false">
      <c r="B30" s="31" t="s">
        <v>72</v>
      </c>
      <c r="C30" s="21" t="s">
        <v>326</v>
      </c>
    </row>
    <row r="31" customFormat="false" ht="15" hidden="false" customHeight="true" outlineLevel="0" collapsed="false">
      <c r="B31" s="31" t="s">
        <v>73</v>
      </c>
      <c r="C31" s="21" t="s">
        <v>327</v>
      </c>
    </row>
    <row r="32" customFormat="false" ht="15" hidden="false" customHeight="true" outlineLevel="0" collapsed="false">
      <c r="B32" s="31" t="s">
        <v>74</v>
      </c>
      <c r="C32" s="21" t="s">
        <v>328</v>
      </c>
    </row>
    <row r="33" customFormat="false" ht="15" hidden="false" customHeight="true" outlineLevel="0" collapsed="false">
      <c r="B33" s="31" t="s">
        <v>75</v>
      </c>
      <c r="C33" s="21" t="s">
        <v>329</v>
      </c>
    </row>
    <row r="34" customFormat="false" ht="15" hidden="false" customHeight="true" outlineLevel="0" collapsed="false">
      <c r="B34" s="31" t="s">
        <v>76</v>
      </c>
      <c r="C34" s="21" t="s">
        <v>330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2026-08-18T21:19:12Z</dcterms:created>
  <dc:creator>openpyxl</dc:creator>
  <dc:description/>
  <dc:language>en-US</dc:language>
  <cp:lastModifiedBy/>
  <dcterms:modified xsi:type="dcterms:W3CDTF">2026-09-11T16:55:29Z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