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000. Proceso/F1. Diagnóstico/1.2.4 Revisión autoevaluación/"/>
    </mc:Choice>
  </mc:AlternateContent>
  <xr:revisionPtr revIDLastSave="0" documentId="13_ncr:1_{2902E98E-BBDB-214A-9C4B-D7D5BE6C8802}" xr6:coauthVersionLast="47" xr6:coauthVersionMax="47" xr10:uidLastSave="{00000000-0000-0000-0000-000000000000}"/>
  <bookViews>
    <workbookView xWindow="0" yWindow="600" windowWidth="28800" windowHeight="17400" tabRatio="500" activeTab="1" xr2:uid="{00000000-000D-0000-FFFF-FFFF00000000}"/>
  </bookViews>
  <sheets>
    <sheet name="Portada" sheetId="1" r:id="rId1"/>
    <sheet name="Matriz_Revisión" sheetId="2" r:id="rId2"/>
    <sheet name="Tablero_Perfil" sheetId="3" r:id="rId3"/>
    <sheet name="Evidencia_Externa" sheetId="4" r:id="rId4"/>
    <sheet name="Transverso_Calidad" sheetId="5" r:id="rId5"/>
    <sheet name="Notas_Méto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4" l="1"/>
  <c r="E9" i="4"/>
  <c r="E8" i="4"/>
  <c r="E7" i="4"/>
  <c r="E6" i="4"/>
  <c r="E5" i="4"/>
  <c r="G10" i="3"/>
  <c r="F10" i="3"/>
  <c r="E10" i="3"/>
  <c r="D10" i="3"/>
  <c r="C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B10" i="3" s="1"/>
  <c r="G103" i="2"/>
  <c r="G102" i="2"/>
  <c r="G101" i="2"/>
  <c r="G100" i="2"/>
  <c r="G99" i="2"/>
  <c r="G97" i="2"/>
  <c r="G96" i="2"/>
  <c r="G95" i="2"/>
  <c r="G94" i="2"/>
  <c r="G93" i="2"/>
  <c r="G92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<sst xmlns="http://schemas.openxmlformats.org/spreadsheetml/2006/main" count="730" uniqueCount="455">
  <si>
    <t>EICIT · Escuela Iberoamericana de Ciencias Técnicas</t>
  </si>
  <si>
    <t>Revisión de la Autoevaluación Institucional (Guía 34)</t>
  </si>
  <si>
    <t>Insumo para el transverso de calidad del PEI 2026–2027 · ENSMA</t>
  </si>
  <si>
    <t>ESTRUCTURA DE TRABAJO — lista para cargar y concluir</t>
  </si>
  <si>
    <t>Tarea del cronograma</t>
  </si>
  <si>
    <t>1.2.4 — Revisión de la autoevaluación</t>
  </si>
  <si>
    <t>Marco</t>
  </si>
  <si>
    <t>Guía 34 (MEN) · Circular 0064 de 2026 (SEM) · PEI 2026–2027</t>
  </si>
  <si>
    <t>Fuente autoevaluación</t>
  </si>
  <si>
    <t>Autoevaluación Procesos Institucionales Guía 34 – 2026 I (I semestre 2026)</t>
  </si>
  <si>
    <t>Alcance</t>
  </si>
  <si>
    <t>6 procesos SGC · 96 componentes · escala 1–4</t>
  </si>
  <si>
    <t>Estado</t>
  </si>
  <si>
    <t>Cargado: I-2026 + evidencia externa (Saber 11, matrícula). PENDIENTE: ciclo anterior (2025).</t>
  </si>
  <si>
    <t>Elaboró</t>
  </si>
  <si>
    <t>EICIT IA — asistencia técnica</t>
  </si>
  <si>
    <t>Encuadre</t>
  </si>
  <si>
    <t>EICIT propone y revisa; la autoevaluación es de la ENSMA, que delibera y adopta.</t>
  </si>
  <si>
    <t>Cómo está construida</t>
  </si>
  <si>
    <t>•  Matriz_Revisión: las 96 filas ya vienen con proceso, componente y autovaloración I-2026 precargados.</t>
  </si>
  <si>
    <t>•  Columna «Val. ciclo anterior (2025)» en naranja = lo único por diligenciar cuando ENSMA entregue el insumo.</t>
  </si>
  <si>
    <t>•  La «Tendencia» se calcula sola al cargar el 2025; luego se concluye Coherencia, cotejo con PMI y Prioridad.</t>
  </si>
  <si>
    <t>•  Evidencia_Externa y Tablero ya están cargados; Transverso_Calidad es el esqueleto del cuadro de mando.</t>
  </si>
  <si>
    <t>Proceso (SGC)</t>
  </si>
  <si>
    <t>Gestión (Guía 34)</t>
  </si>
  <si>
    <t>Subproceso</t>
  </si>
  <si>
    <t>Componente</t>
  </si>
  <si>
    <t>Val. ciclo
anterior (2025)</t>
  </si>
  <si>
    <t>Val.
I-2026</t>
  </si>
  <si>
    <t>Tendencia</t>
  </si>
  <si>
    <t>Evidencia declarada (resumen)</t>
  </si>
  <si>
    <t>Triangulación externa</t>
  </si>
  <si>
    <t>Coherencia
autoval.↔evidencia</t>
  </si>
  <si>
    <t>Oportunidad de mejora (instrumento)</t>
  </si>
  <si>
    <t>¿Acción
en PMI?</t>
  </si>
  <si>
    <t>Prioridad</t>
  </si>
  <si>
    <t>PROCESO DIRECTIVO  →  Gestión Directiva   (25 componentes)</t>
  </si>
  <si>
    <t>DIRECTIVO</t>
  </si>
  <si>
    <t>Directiva</t>
  </si>
  <si>
    <t>Direccionamiento estratégico y horizonte institucional</t>
  </si>
  <si>
    <t>Conocimiento y apropiación de la Misión, Visión y Política de Calidad</t>
  </si>
  <si>
    <t>Se cuenta con evidencias documentales y prácticas que demuestran la apropiación del horizonte institucional, tales como: los planes operativos y de me…</t>
  </si>
  <si>
    <t>Matrícula 803→425→503 (2015–24); transición de identidad (Normal→EPBM/técnica).</t>
  </si>
  <si>
    <t>Aunque se evidencia una apropiación significativa del horizonte institucional, es conveniente fortalecer los mecanismos de evaluación del impacto de las estrategias implementadas, ampliar los espacios…</t>
  </si>
  <si>
    <t>Conocimiento y apropiación de los Objetivos institucionales</t>
  </si>
  <si>
    <t>Los objetivos institucionales se encuentran consignados en el PEI, en algunas carteleras Asimismo, existen registros de capacitaciones, reuniones, jor…</t>
  </si>
  <si>
    <t>Fortalecer las estrategias de sensibilización y seguimiento para garantizar una mayor apropiación de los objetivos institucionales por parte de todos los miembros de la comunidad educativa. Asimismo, …</t>
  </si>
  <si>
    <t>Conocimiento y apropiación de la filosofía educativa salesiana: Principios y Fundamentos del Sistema Preventivo de Don Bosco</t>
  </si>
  <si>
    <t>Actas de ReuniónTriduo escolarManual de ConvivenciaAguinaldo del Rector mayor Capacitación: Formación conjunta. retiros espirituales por grado</t>
  </si>
  <si>
    <t>Continuar acompañando a toda la comunidad educativa de la institución para la vivencia del sistema preventivo y el aguinaldo del rector mayor.Tener presente que criterios se van a evaluar de acuerdo a…</t>
  </si>
  <si>
    <t>Política de inclusión de estudiantes con capacidades disímiles o diversidad cultural</t>
  </si>
  <si>
    <t>La cartelera informativa ENSUMAUXI inclusiva tercer piso. Acta reunión de consejo académico. Acta de Equipo Pastoral Actas de Reunión de Docentescapac…</t>
  </si>
  <si>
    <t>Fortalecer la apropiación de la política de educación inclusiva y de la normatividad vigente (Decreto 1421 de 2017 y Decreto 2216 de 2022), con el fin de consolidar estrategias integrales que responda…</t>
  </si>
  <si>
    <t>Gestión estratégica</t>
  </si>
  <si>
    <t>Liderazgo y criterios claros en el direccionamiento de la ENS</t>
  </si>
  <si>
    <t>PEI y actas de reuniones del consejo académico, resultados de autoevaluaciones institucionales que están en el drive.Estos permiten verificar la plane…</t>
  </si>
  <si>
    <t>Fortalecer la sistematización y socialización de los acuerdos, decisiones y resultados derivados de las reuniones y autoevaluaciones, de manera que toda la comunidad educativa conozca los avances y co…</t>
  </si>
  <si>
    <t>Seguimiento y evaluación adecuada y oportuna de las actividades programadas y realizadas en la institución</t>
  </si>
  <si>
    <t>Resultados de las evaluaciones aplicadas a las diferentes actividades institucionales desarrolladas con los cursos, los cuales permiten evidenciar el …</t>
  </si>
  <si>
    <t>Establecer estrategias de retroalimentación que permitan socializar los hallazgos de cada una de las actividades y definiendo de manera concreta las acciones de mejora.</t>
  </si>
  <si>
    <t>Gobierno escolar</t>
  </si>
  <si>
    <t>Organización y funcionamiento del Consejo Directivo</t>
  </si>
  <si>
    <t>Acta de conformación Actas de reuniones</t>
  </si>
  <si>
    <t>Se recomienda dar continuidad a la gestión del Consejo Directivo mediante el seguimiento permanente de los temas abordados, el cumplimiento de los compromisos adquiridos y el avance efectivo de las ac…</t>
  </si>
  <si>
    <t>Organización y funcionamiento del Consejo Académico</t>
  </si>
  <si>
    <t>Acta de conformación y actas de reuniones</t>
  </si>
  <si>
    <t>Continuar fortaleciendo este proceso, avanzando en pro de una gestión cada vez más eficiente y con miras a la mejora continua</t>
  </si>
  <si>
    <t>Organización y funcionamiento de las Comisiones de Evaluación y Promoción</t>
  </si>
  <si>
    <t>Acta de conformación y actas de comisión y consolidado de notas</t>
  </si>
  <si>
    <t>Mayor exigencia y compromiso por parte de docentes en todo el proceso de pre-comisión y comisión, con el fin de contar con los soportes necesarios para poder proponer estrategias de mejora a casos esp…</t>
  </si>
  <si>
    <t>Organización y funcionamiento del Consejo Estudiantil</t>
  </si>
  <si>
    <t>Acta de conformaciónActa izada de Banderas Posesión consejos estudiantil.Material visual en la carpeta de evidencias del área de Ciencias Sociales.</t>
  </si>
  <si>
    <t>Fortalecer el conocimiento y la apropiación de las funciones y responsabilidades de los integrantes del Consejo Estudiantil, con el fin de potenciar y visibilizar su liderazgo dentro de la comunidad e…</t>
  </si>
  <si>
    <t>Desempeño de la Personera de Estudiantes</t>
  </si>
  <si>
    <t>Acta de posesiónHojas de vida Propuestas de gobiernoActa No 1 de izada de banderaActas de reuniones de consejo estudiantes y directivoParticipación co…</t>
  </si>
  <si>
    <t>Continuar trabajando con compromiso y responsabilidad para que sus propuestas se lleven a cabo para el beneficio de la comunidad estudiantil.</t>
  </si>
  <si>
    <t>Organización y realización de las reuniones con los Padres de familia</t>
  </si>
  <si>
    <t>Acta de conformaciónLink de asistencia</t>
  </si>
  <si>
    <t>Continuar con la promoción de la importancia de asistencia a escuela de padres</t>
  </si>
  <si>
    <t>Organización y funcionamiento del Consejo de Padres de Familia.</t>
  </si>
  <si>
    <t>Actas mensuales de reuniones del Consejo de Padres de Familia.</t>
  </si>
  <si>
    <t>Mayor compromiso por parte de los padres de familia en cuanto a la asistencia, asegurando la asistencia del titular o del suplente, para poder dar un buen orden a la reunión. Hacer seguimiento a los c…</t>
  </si>
  <si>
    <t>Cultura institucional</t>
  </si>
  <si>
    <t>Uso apropiado y oportuno de los Mecanismos de comunicación interna y externa</t>
  </si>
  <si>
    <t>Se implementan medios físicos y virtuales, como lo son: agenda escolar, correos institucionales, plataforma (pegasus), teléfono institucional, redes s…</t>
  </si>
  <si>
    <t>Realizar una revisión periódica y oportuna de todos los medios de comunicación establecidos por la institución, tales como la agenda estudiantil, correos electrónicos, plataformas institucionales, cir…</t>
  </si>
  <si>
    <t>Ambiente de trabajo colaborativo y en equipo</t>
  </si>
  <si>
    <t>Se realizan diferentes encuentros de integración y socialización que ayudan y promueven el trabajo en equipo y la colaboración. Esto liderado por el c…</t>
  </si>
  <si>
    <t>Continuar fortaleciendo y ampliando los espacios de integración y socialización, promoviendo una mayor participación de todos los miembros de la comunidad educativa para consolidar el trabajo en equip…</t>
  </si>
  <si>
    <t>Divulgación de las buenas prácticas educativas y de experiencias pedagógicas, significativas</t>
  </si>
  <si>
    <t>La institución divulga información a través de redes sociales, boletines informativos y encuentros presenciales con la comunidad educativa, garantizan…</t>
  </si>
  <si>
    <t>Fortalecer el uso y alcance de las redes sociales institucionales como medio de divulgación de las actividades, proyectos y logros de la comunidad educativa, promoviendo una mayor participación e inte…</t>
  </si>
  <si>
    <t>Clima escolar</t>
  </si>
  <si>
    <t>Ambiente de participación y de sentido de pertenencia institucional.</t>
  </si>
  <si>
    <t>Durante el primer semestre se evidenció una participación activa de estudiantes, familias, educadores y demás miembros de la comunidad educativa en ac…</t>
  </si>
  <si>
    <t>Es importante continuar fortaleciendo estrategias que incrementen la participación de todas las familias y demás actores de la comunidad educativa.</t>
  </si>
  <si>
    <t>Inducción y acompañamiento a estudiantes nuevos</t>
  </si>
  <si>
    <t>A inicio del año escolar se desarrollaron procesos de inducción y acompañamiento dirigidos a estudiantes y padres de familia nuevos, brindándoles orie…</t>
  </si>
  <si>
    <t>Continuar fortaleciendo las estrategias de divulgación y apropiación del Manual de Convivencia entre toda la comunidad educativa.</t>
  </si>
  <si>
    <t>Actualización, conocimiento y cumplimiento del Reglamento o Manual de Convivencia</t>
  </si>
  <si>
    <t>Durante el primer semestre se realizó la socialización permanente del Manual de Convivencia con estudiantes, familias, educadores y demás miembros de …</t>
  </si>
  <si>
    <t>Continuar fortaleciendo los medios de comunicación para la socialización y promoción del manual de convivencia.</t>
  </si>
  <si>
    <t>Organización, participación y realización de Actividades Extracurriculares</t>
  </si>
  <si>
    <t>Registros de participación en el Movimiento Juvenil Salesiano (MJS), cronogramas de actividades pastorales, listados de asistencia, registros fotográf…</t>
  </si>
  <si>
    <t>Continuar fortaleciendo la participación estudiantil en las diferentes propuestas extracurriculares y ampliar la divulgación de las actividades para vincular a un mayor número de estudiantes y familia…</t>
  </si>
  <si>
    <t>Ambiente institucional de: valores, de sana convivencia, de buenas relaciones interpersonales y de espíritu de familia</t>
  </si>
  <si>
    <t>Registros de capacitaciones, escuelas de padres, convivencias, jornadas de reflexión con estudiantes y docentes, actividades pastorales, campañas inst…</t>
  </si>
  <si>
    <t>Diseñar estrategias que permitan una mayor apropiación de los valores institucionales en las relaciones diarias y analizar los resultados de las encuestas para implementar acciones que respondan a las…</t>
  </si>
  <si>
    <t>Solución de conflictos o de situaciones difíciles, de forma adecuada, con estudiantes y/o padres de familia; haciendo uso correcto del “Comité de Convivencia''.</t>
  </si>
  <si>
    <t>Actas del Comité de Convivencia, registros de seguimiento a casos, observadores de los estudiantes, citaciones a padres de familia, compromisos conviv…</t>
  </si>
  <si>
    <t>Continuar fortaleciendo las estrategias preventivas y los espacios de formación en resolución pacífica de conflictos, involucrando cada vez más a las familias en estos procesos.</t>
  </si>
  <si>
    <t>Relaciones con el entorno.</t>
  </si>
  <si>
    <t>Relación de la Institución y de los educadores con los Padres de familia.</t>
  </si>
  <si>
    <t>Se evidencia la participación de los padres de familia en los diferentes estamentos del Gobierno Escolar, tales como el Consejo Directivo, el Comité d…</t>
  </si>
  <si>
    <t>Continuar garantizando los diferentes espacios de participación a los padres de familia. Capacitar a los padres de familia en la apropiación del Manual de Convivencia, con el fin de que lo conozcan, l…</t>
  </si>
  <si>
    <t>Relaciones de la Institución, con autoridades eclesiásticas, civiles y educativas y con otras instituciones</t>
  </si>
  <si>
    <t>Como evidencias de la articulación con instituciones del orden civil, eclesiástico y otras organizaciones, se cuenta con bitácoras de participación en…</t>
  </si>
  <si>
    <t>Fortalecer la sistematización y centralización de la información relacionada con la articulación interinstitucional, con el fin de facilitar el seguimiento y la trazabilidad de los procesos. Así mismo…</t>
  </si>
  <si>
    <t>Relaciones con el Sector Productivo</t>
  </si>
  <si>
    <t>Se están articulando y estableciendo alianzas estratégicas con universidades,sector productivo y otras entidades con el propósito de fortalecer los pr…</t>
  </si>
  <si>
    <t>Continuar fortaleciendo los procesos de articulación entre la formación académica, técnica y las necesidades del entorno laboral.</t>
  </si>
  <si>
    <t>PROCESO ACADÉMICO PEDAGÓGICO  →  Gestión Académica   (24 componentes)</t>
  </si>
  <si>
    <t>ACADÉMICO PEDAGÓGICO</t>
  </si>
  <si>
    <t>Académica</t>
  </si>
  <si>
    <t>Diseño Curricular</t>
  </si>
  <si>
    <t>Conocimiento, desarrollo y aplicación de la Estructura Curricular (formas 1, 2 y 3) y del Plan de estudios.</t>
  </si>
  <si>
    <t>Se cuenta con las estructuras y formatos institucionales organizados por áreas en Drive.</t>
  </si>
  <si>
    <t>Continuar fortaleciendo el uso responsable y la actualización oportuna de estos instrumentos en el desarrollo del proceso académico.</t>
  </si>
  <si>
    <t>Organización, desarrollo y articulación en el aula de los proyectos transversales.</t>
  </si>
  <si>
    <t>Se cuenta con el documento y el formato F3 que registran la planeación de actividades de los proyectos transversales.</t>
  </si>
  <si>
    <t>Continuar llevando al aula las actividades propuestas para fortalecer el aprendizaje y la apropiación de los proyectos por parte de los estudiantes.</t>
  </si>
  <si>
    <t>Conocimiento y aplicación en el aula de la estrategia pedagógica del Constructivismo y Aprendizaje Significativo.</t>
  </si>
  <si>
    <t>En la Forma 3 se evidencia claramente mediante la secuencia didáctica establecida.</t>
  </si>
  <si>
    <t>Se sugiere dar continuidad a estas prácticas para asegurar y fortalecer la calidad educativa.</t>
  </si>
  <si>
    <t>Uso apropiado de recursos didácticos virtuales y materiales para mejorar el aprendizaje.</t>
  </si>
  <si>
    <t>Se busca la implementación desde la planeación en la F3.</t>
  </si>
  <si>
    <t>Coincide con línea base 1.2.5: aula virtual y creación con TIC son los ítems más bajos.</t>
  </si>
  <si>
    <t>Se deben priorizar la generación de espacios físicos y herramientas que promuevan el uso de las TICs.</t>
  </si>
  <si>
    <t>Cumplimiento y provecho de la Jornada escolar.</t>
  </si>
  <si>
    <t>Registro de inicio de jornada, llegadas tarde, información semanal de actividades a destacar y cronograma institucional.</t>
  </si>
  <si>
    <t>Estar atentos a las actualizaciones de los diferentes informes.</t>
  </si>
  <si>
    <t>Conocimiento y aplicación del Sistema Institucional de Evaluación del Aprendizaje y de la Matriz de Evaluación Integral según nuevos ajustes.</t>
  </si>
  <si>
    <t>Se evidencia en la plataforma educativa Pegasus y las planillas físicas. En el PMI. En las formas 4 mediante plan de mejora.</t>
  </si>
  <si>
    <t>Saber 11: −19,8 pts (2023–2025), caída en todas las áreas; foco C. Naturales y Sociales.</t>
  </si>
  <si>
    <t>Continuar con la formación y aplicación del SIEE.</t>
  </si>
  <si>
    <t>Desempeño docente de la práctica pedagógica en el aula.</t>
  </si>
  <si>
    <t>Asignación de tareas dosificadas que facilitan: la profundización, complementación, asimilación y aplicación de los conocimientos trabajados en clase.</t>
  </si>
  <si>
    <t>Se evidencia en las formas 3, y así mismo en el cronograma de tareas por curso.</t>
  </si>
  <si>
    <t>Continuar fortaleciendo el objetivo de las tareas en casa..</t>
  </si>
  <si>
    <t>Empleo responsable y apropiado del tiempo de clase para mejorar el aprendizaje.</t>
  </si>
  <si>
    <t>Trazabilidad con forma 3, cuadernos, planillas y observaciones de clase.</t>
  </si>
  <si>
    <t>Continuar trabajando y fortaleciendo los procesos del empleo responsable y apropiado del tiempo de clase para mejorar el aprendizaje.</t>
  </si>
  <si>
    <t>Implementar la cultura de la Investigación en el aula, para un mejor aprendizaje.</t>
  </si>
  <si>
    <t>Predomina la mecanización de las clases, con énfasis en lo formal, dejando en segundo plano actividades de exploración como el trabajo de campo.</t>
  </si>
  <si>
    <t>Incentivar a los docentes a promover la transversalidad desde las diferentes áreas, fortaleciendo la cultura investigativa.</t>
  </si>
  <si>
    <t>Planeación y preparación apropiada de las clases periódicamente según la estructura curricular.</t>
  </si>
  <si>
    <t>Se puede evidenciar en las formas 3, seguimiento de trabajo en clase.</t>
  </si>
  <si>
    <t>Continuar con el proceso de la planeación y preparación apropiada de las clases periódicamente según la estructura curricular.</t>
  </si>
  <si>
    <t>Gestión en el aula</t>
  </si>
  <si>
    <t>Aplicación de estrategias pedagógicas para mejorar el aprendizaje en el aula y motivar al alcance de la excelencia.</t>
  </si>
  <si>
    <t>La excelencia académica en las asignaturas.</t>
  </si>
  <si>
    <t>Motivar e implementar estrategias pedagógicas innovadoras y didácticas, lúdicas.</t>
  </si>
  <si>
    <t>Aplicación de diversas estrategias de Evaluación del aprendizaje según la planeación de las formas. tres</t>
  </si>
  <si>
    <t>Se evidencia en la Forma 3, a través del seguimiento al trabajo desarrollado en clase.</t>
  </si>
  <si>
    <t>Se recomienda continuar fortaleciendo la elaboración y aplicación de diferentes tipos de evaluación.</t>
  </si>
  <si>
    <t>Uso pedagógico de los resultados de las evaluaciones del conocimiento en el aula, para mejorar el aprendizaje de los estudiantes.</t>
  </si>
  <si>
    <t>Se puede evidenciar en las actas de consejo académico, en las formas 4.Los resultados de icfes de la entidad que lo realiza.</t>
  </si>
  <si>
    <t>Continuar con la generación de estrategias que permitan un análisis exhaustivo de las evaluaciones de conocimiento en el aula.</t>
  </si>
  <si>
    <t>Seguimiento y acompañamiento académico</t>
  </si>
  <si>
    <t>Uso pedagógico de los resultados de las evaluaciones externas (Estado), para mejorar el aprendizaje en el aula.</t>
  </si>
  <si>
    <t>Se realiza revisión y socialización desde consejo académico de los resultados de las pruebas externas anualmente</t>
  </si>
  <si>
    <t>Continuar realizando la socialización de las pruebas externas con el fin de que en cada área se puedan implementar las estrategías de mejora pertinentes.</t>
  </si>
  <si>
    <t>Control y seguimiento de asistencia a clase de estudiantes, por educadores y coordinación.</t>
  </si>
  <si>
    <t>Se cuenta con evidencia en las planillas de asistencia de cada docente, así como en la agenda de portería, donde se registra diariamente la inasistenc…</t>
  </si>
  <si>
    <t>Se considera fundamental mantener la rigurosidad en el manejo de las inasistencias para garantizar la efectividad del proceso; adicionalmente, se sugiere implementar una estrategia virtual de control …</t>
  </si>
  <si>
    <t>Reconocimiento y estímulos a estudiantes que sobresalen en su formación integral.</t>
  </si>
  <si>
    <t>Los estudiantes que sobresalen en su formación integral quedan en cuadro de honor y este es visible, además se entrega a los estudiantes un reconocimi…</t>
  </si>
  <si>
    <t>Pensar en otro reconocimiento para premiar a los estudiantes por su formación integral y tener en cuenta los estudiantes que alcanzan el nivel alto o superior en cuarto periodo para dar su respectivo …</t>
  </si>
  <si>
    <t>Seguimiento y acompañamiento pedagógico en el aula, a estudiantes con desempeño bajo por debilidades académicas y/o formativas.</t>
  </si>
  <si>
    <t>Los docentes realizan seguimiento y acompañamiento procesual a los estudiantes con desempeño bajo y se cita acudiente para informar. Se registra en el…</t>
  </si>
  <si>
    <t>Aunque se hace un proceso, en ocasiones se cita a los padres de familia sobre el tiempo, finalizando el periodo, lo que impide que la familia esté con mayor acompañamiento tiempo antes.</t>
  </si>
  <si>
    <t>Seguimiento y acompañamiento por Coordinación y Psico-orientación a estudiantes con debilidades especiales, académicas y/o formativas.</t>
  </si>
  <si>
    <t>Los registros de los encuentros se consignan en el observador del estudiante, en las agendas y en la plataforma Pegasus.</t>
  </si>
  <si>
    <t>Se recomienda fortalecer estrategias de acompañamiento con las familias y dar continuidad al seguimiento de los estudiantes con PIAR.</t>
  </si>
  <si>
    <t>Organización y realización de seguimiento y encuentros de egresadas.</t>
  </si>
  <si>
    <t>Se realiza seguimiento a los estudiantes egresados mediante una base de datos actualizada periódicamente y la organización de un cronograma anual de e…</t>
  </si>
  <si>
    <t>Se recomienda implementar estrategias que fortalezcan la vinculación de los egresados, promoviendo una mayor participación e incluyendo incentivos que favorezcan su asistencia.</t>
  </si>
  <si>
    <t>Orientación y acompañamiento por coordinación y maestros orientadores, a los estudiantes del PFC (Programa de Formación Complementaria), en el proceso formativo según el plan de estudios y en su desempeño en la práctica docente.</t>
  </si>
  <si>
    <t>Està evidenciado en los contenidos programàticos del PFC y carpetas propias de la coordinaciòn de investigaciòn</t>
  </si>
  <si>
    <t>Continuar fortaleciendo la apropiación de los contenidos de clase y el contenido propio de los proyectos de investigación por parte de las maestras de formación..</t>
  </si>
  <si>
    <t>Orientación de la Investigación Educativa como eje transversal del Programa de Formación Complementaria.</t>
  </si>
  <si>
    <t>Esta evidenciado en los contenidos programàticos del PFC y carpetas propias de la coordinaciòn de investigaciòn</t>
  </si>
  <si>
    <t>Investigación educativa</t>
  </si>
  <si>
    <t>Orientación de la Práctica Educativa Investigativa Integral (PEII), en la Media Académica (10° y 11°) y Programa de Formación Complementaria</t>
  </si>
  <si>
    <t>Se evidencia en las planeaciones de clase, estructura curricular y contenido programàticos del PFC.</t>
  </si>
  <si>
    <t>Continuar fortaleciendo la planeación, seguimiento y evaluación de los proyectos de investigación, 10º, 11º y PFC.</t>
  </si>
  <si>
    <t>Organización, ejecución y asesorías a maestros en formación, docentes que orientan los semilleros y PPA , para el desarrollo y avance de los mismos .</t>
  </si>
  <si>
    <t>Se encuentra ubicado en la carpeta del Drive de la coordinacoiòn de investigaciòn</t>
  </si>
  <si>
    <t>Continuar fortaleciendo los espacios de encuentro y ejecución de los semilleros, PPA y proyectos de investigación.</t>
  </si>
  <si>
    <t>Avances en el desarrollo de proyectos de Investigación educativa, trabajados por maestros en formación, y equipos de áreas.</t>
  </si>
  <si>
    <t>Se encuentra relacionado en las carpetas de investigación ubicadas en el drive institucional.</t>
  </si>
  <si>
    <t>Continuar fortaleciendo las asesorìas y garantizar los espacios pertinentes y el buen aprovechamiento del tiempo, tanto de los estudiantes como del asesor. Respetar los espacios de las asesorìas, evit…</t>
  </si>
  <si>
    <t>PROCESO ADMINISTRATIVO FINANCIERO  →  Gestión Administrativa y Financiera   (20 componentes)</t>
  </si>
  <si>
    <t>ADMINISTRATIVO FINANCIERO</t>
  </si>
  <si>
    <t>Administrativa y Financiera</t>
  </si>
  <si>
    <t>Apoyo a la gestión académica</t>
  </si>
  <si>
    <t>Organización y realización de los procesos de Admisión y de Matrículas</t>
  </si>
  <si>
    <t>Se encuentran las carpetas de matrículas rotuladas y protegidas.</t>
  </si>
  <si>
    <t>Continuar exigiendo el correcto cumplimiento de la entrega de la documentación de los estudiantes.</t>
  </si>
  <si>
    <t>Manejo correcto del archivo académico en Secretaría, y de las planillas por educadores.</t>
  </si>
  <si>
    <t>Desde secretaría se realiza el ajuste con los tiempos estipulados para el correcto proceso de digitacion de notas por periodo.Desde coordinación acadé…</t>
  </si>
  <si>
    <t>Se sugiere configuración adicional en la plataforma PEGASUS para que se notifique al educador cuando una celda quede en blanco a fin de mitigar errores.</t>
  </si>
  <si>
    <t>Manejo correcto de los informes de calificaciones, por periodos.</t>
  </si>
  <si>
    <t>Al finalizar el periodo se realiza el envío del informe de calificaciones del periodo académico a través de PEGASUS, a padres, acudientes y estudiante…</t>
  </si>
  <si>
    <t>Se recomienda fortalecer el proceso de actualización de datos de contacto de los padres de familia, especialmente los correos electrónicos registrados para notificaciones. En algunos casos, la informa…</t>
  </si>
  <si>
    <t>Administración de la planta física y de los recursos físicos y financieros</t>
  </si>
  <si>
    <t>Mantenimiento, reparaciones y adecuación de la planta física</t>
  </si>
  <si>
    <t>Los mantenimientos preventivos y correctivos de la planta física se ejecutan de acuerdo con el procedimiento establecido y el cronograma definido por …</t>
  </si>
  <si>
    <t>Continuar en las mejoras a los requerimientos de reparación.Continuar mejorando los tiempos de respuestas de las reparaciones correctivas asociados a los equipos de cómputo.Continuar en la entrega for…</t>
  </si>
  <si>
    <t>Cuidado del ambiente físico y del orden, embellecimiento y uso adecuado de los espacios de la planta física.</t>
  </si>
  <si>
    <t>Se destinan y ejecutan recursos para mantener el embellecimiento de la planta física (facturas).Se motiva a la Comunidad Educativa el cuidado de los e…</t>
  </si>
  <si>
    <t>Dar continuidad a las acciones de mantenimiento, conservación y cuidado integral en los diferentes espacios de la infraestructura física</t>
  </si>
  <si>
    <t>Suministro y dotación apropiada, de equipos y recursos materiales y didácticos; y el uso cuidadoso de estos.</t>
  </si>
  <si>
    <t>Se cuenta con espacios, equipos, recursos y materiales apropiados, para el adecuado funcionamiento de la institución; salones, salas especializadas, p…</t>
  </si>
  <si>
    <t>Continuar garantizando la provisión continua de dotaciones, materiales e insumos necesarios para el adecuado desarrollo de las actividades institucionales y el óptimo funcionamiento de la comunidad ed…</t>
  </si>
  <si>
    <t>Mantenimiento y reparación oportuna, de equipos y recursos didácticos y materiales para el aprendizaje</t>
  </si>
  <si>
    <t>En la oficina de Pagaduría se mantiene permanentemente el formato de solicitud de mantenimiento y reparaciones de los equipos, materiales y recursos.</t>
  </si>
  <si>
    <t>Continuar fortaleciendo y agilizando los4 procesos de mantenimiento y reparación de los equipos de cómputo, con el fin de garantizar su disponibilidad y ofrecer un servicio oportuno y de calidad a los…</t>
  </si>
  <si>
    <t>Seguridad y protección del personal que labora.</t>
  </si>
  <si>
    <t>Las instalaciones y espacios cumplen con la normativa de seguridad y salud en el trabajo para todo el personal.</t>
  </si>
  <si>
    <t>Dar continuidad a la implementación y cumplimiento de los lineamientos establecidos en el Sistema de Gestión de Seguridad y Salud en el Trabajo, conforme a la normativa vigente.</t>
  </si>
  <si>
    <t>Promoción de la sana convivencia laboral.</t>
  </si>
  <si>
    <t>Se cuenta con un equipo interinstitucional del comité de convivencia laboral que ayuda a crear ambientes de escucha y compartir en armonía para todo e…</t>
  </si>
  <si>
    <t>Continuar garantizando la disponibilidad de los espacios físicos y logísticos requeridos para el desarrollo de las actividades programadas por el Comité de Convivencia Laboral.</t>
  </si>
  <si>
    <t>Administración de servicios de bienestar.</t>
  </si>
  <si>
    <t>Servicios de Bienestar: Capellanía, Psicoorientación, Enfermería, Biblioteca, Secretaría, Economía,Fotocopiadora, Transporte y Tienda Escolar</t>
  </si>
  <si>
    <t>Se cuenta con personal competente para la prestación de servicios de bienestar conforme a las necesidades institucionales.</t>
  </si>
  <si>
    <t>Continuar fortaleciendo la prestación eficiente y oportuna de los servicios brindados por las dependencias mencionadas anteriormente, garantizando la calidad de la atención y la satisfacción de las ne…</t>
  </si>
  <si>
    <t>. Talento humano</t>
  </si>
  <si>
    <t>Conocimiento, apropiación y desempeño de los Perfiles de cargos y responsabilidades propias</t>
  </si>
  <si>
    <t>Se cuenta con un cronograma de formación al personal.El personal vinculado participa de capacitaciones externas promovidas por la Inspectoría, ARL, SE…</t>
  </si>
  <si>
    <t>Continuar fomentando la participación activa del personal en los programas de formación y capacitación ofrecidos por la institución, así como en aquellos promovidos por entidades externas, con el fin …</t>
  </si>
  <si>
    <t>Selección, inducción y acompañamiento del personal nuevo que se vincula laboralmente a la Institución.</t>
  </si>
  <si>
    <t>En las oficinas reposan toda la documentación pertinentes correspondientes a los procesos de selección del personal nuevo</t>
  </si>
  <si>
    <t>Continuar garantizando el cumplimiento de las funciones docentes, de acuerdo con la asignación académica establecida.Se sugiere que desde la coordinación académica haya más acompañamiento al docente n…</t>
  </si>
  <si>
    <t>Capacitación, actualización y formación humana, cristiana, salesiana y pedagógica del personal vinculado laboralmente a la Institución.</t>
  </si>
  <si>
    <t>Los docentes y directiva poseen cronograma institucional donde asisten a las capacitaciones una vez por semana de las diferentes dependencias (Humana,…</t>
  </si>
  <si>
    <t>Seguir impulsando la asistencia y el compromiso del talento humano en los espacios de formación interna, al igual que en las ofertas de capacitación de organismos externos, buscando así potenciar sus …</t>
  </si>
  <si>
    <t>Asignación académica y responsabilidades de los educadores</t>
  </si>
  <si>
    <t>Al inicio del año escolar, los coordinadores y directivos socializan las responsabilidades y asignaciones académicas de cada uno de los docentes</t>
  </si>
  <si>
    <t>Continuar garantizando el cumplimiento de las funciones docentes, de acuerdo con la asignación académica establecida.</t>
  </si>
  <si>
    <t>Evaluación de desempeño semestral y anual del personal vinculado laboralmente a la Institución.</t>
  </si>
  <si>
    <t>Se realizan actividades de reconocimiento al personal que labora en la institución, donde se agradece y exalta su trabajo como la conmemoración del dí…</t>
  </si>
  <si>
    <t>Es importante que el personal de servicios generales posean un formato donde puedan autoevaluarse.</t>
  </si>
  <si>
    <t>Reconocimiento al personal que se destaca en el desempeño de sus responsabilidades.</t>
  </si>
  <si>
    <t>Fortalecer los mecanismos de motivación del personal de la ENS mediante estrategias de reconocimiento público que destaquen su desempeño, responsabilidad y capacidad organizativa.</t>
  </si>
  <si>
    <t>Apoyo con recursos físicos y financieros para la organización y realización de la investigación educativa.</t>
  </si>
  <si>
    <t>En el presupuesto institucional se destinan recursos financieros y se provee recursos físicos para la organización y realización del evento de investi…</t>
  </si>
  <si>
    <t>Continuar gestionando los recursos para dar cumplimiento a las actividades encaminadas a la producción y publicación del conocimiento.</t>
  </si>
  <si>
    <t>Apoyo con recursos para la producción y publicación del conocimiento.</t>
  </si>
  <si>
    <t>El presupuesto de la institución contempla la asignación específica de fondos financieros y la provisión de los recursos físicos necesarios para la pl…</t>
  </si>
  <si>
    <t>Continuar gestionando los recursos para dar cumplimiento a las actividades encaminadas a la producción y publicación del conocimiento..</t>
  </si>
  <si>
    <t>Apoyo financiero y registros contables</t>
  </si>
  <si>
    <t>Presupuesto anual y Contabilidad mensual y anual de Ingresos y gastos</t>
  </si>
  <si>
    <t>Elaboración del presupuesto anual conforme a las necesidades institucionales e indicadores económicos.Se lleva la contabilidad conforme a la legislaci…</t>
  </si>
  <si>
    <t>Continuar ejecutando los recursos conforme a lo presupuestado.Continuar manteniendo la gestión contable conforme a los lineamientos establecidos por la Comunidad</t>
  </si>
  <si>
    <t>Costos educativos, pago de pensiones y cartera morosa.</t>
  </si>
  <si>
    <t>Costos educativos aprobados mediante Resolución por la SEM-SOACHA.Contrato de prestación del servicio público educativo suscrito con el municipio de S…</t>
  </si>
  <si>
    <t>Diseñar, estructurar e implementar alternativas y estrategias de recaudo innovadoras que complementen las acciones actuales, con el fin de contrarrestar los altos índices de cartera morosa vigentes. S…</t>
  </si>
  <si>
    <t>PROCESO SOCIAL COMUNITARIO  →  Gestión Comunidad   (10 componentes)</t>
  </si>
  <si>
    <t>SOCIAL COMUNITARIO</t>
  </si>
  <si>
    <t>Comunidad</t>
  </si>
  <si>
    <t>Accesibilidad</t>
  </si>
  <si>
    <t>Atención educativa a grupos o poblaciones en situación de vulnerabilidad</t>
  </si>
  <si>
    <t>Remisiones a entidades externas como ICBF, EPS, comisaría Municipal cuando se observan situaciones que ponen en riesgo los derechos de los NNA</t>
  </si>
  <si>
    <t>Fortalecer el seguimiento a los casos remitidos a entidades externas.Continuar promoviendo estrategias de prevención y detección temprana de situaciones de riesgo.Optimizar los canales de comunicación…</t>
  </si>
  <si>
    <t>Atención educativa a necesidades y expectativas de los estudiantes.</t>
  </si>
  <si>
    <t>Actas de seguimiento de atención realizadas por psicoorientación y coordinación de convivencia, registro en observadores de los estudiantes, citacione…</t>
  </si>
  <si>
    <t>Continuar con el seguimiento de las situaciones que se presentan con los estudiantes de manera oportuna. Fortalecer la participación y asistencia de las familias a las citaciones y procesos de seguimi…</t>
  </si>
  <si>
    <t>Proyección, Participación y convivencia en la comunidad</t>
  </si>
  <si>
    <t>Organización, participación y realización del programa de “Escuela de Padres/Madres”.</t>
  </si>
  <si>
    <t>Actas de Escuela de Padres, piezas gráficas de convocatoria, formato de asistencia diligenciado por los padres de familia, registro fotográfico.</t>
  </si>
  <si>
    <t>Incrementar la asistencia y participación de las familias en las Escuela de Padres. Continuar en la planeación y gestión con entidades externas y profesionales para la orientación de los talleres.</t>
  </si>
  <si>
    <t>Oferta y demanda del servicio educativo del Colegio María Auxiliadora.</t>
  </si>
  <si>
    <t>Implementación del énfasis tecnológico que ofrecerá el Colegio Maria Auxiliadora a la comunidad.Representaciones externas a nivel deportivo, cultural …</t>
  </si>
  <si>
    <t>Continuar con la implementación del énfasis tecnológico que ofrecerá el Colegio Maria Auxiliadora a la comunidad. Continuar con la representación del colegio a nivel deportivo, cultural y académico fr…</t>
  </si>
  <si>
    <t>Estrategias que educan al uso correcto y adecuado de los espacios de la planta física y de los recursos.</t>
  </si>
  <si>
    <t>Charlas en buenos días sobre el cuidado de la casa común. Espacios de reflexión en direcciones de curso sobre el adecuado uso de los recursos y la pla…</t>
  </si>
  <si>
    <t>Fortalecer la participación de toda la comunidad educativa en las actividades ambientales propuestas. Continuar en la búsqueda de estrategias que permitan generar conciencia del cuidado de la planta f…</t>
  </si>
  <si>
    <t>Organización, realización y seguimiento del Proyecto de Servicio Social de los estudiantes.</t>
  </si>
  <si>
    <t>Proyecto de servicio socialActa de reunión con padres de familia al inicio del año escolar Asignación de responsabilidades a los estudiantes y campos …</t>
  </si>
  <si>
    <t>Ampliar los campos de ejecución de servicio social con énfasis en el trabajo comunitario como hospitales, comisarías, colegios, entre otras.</t>
  </si>
  <si>
    <t>Participación de los estudiantes en actividades de mejoramiento de la calidad educativa.</t>
  </si>
  <si>
    <t>Pautas de dirección de curso, espacios de buenos días dirigidos por el alto gobierno escolar, liderazgo y organización de los estudiantes de grado 11°…</t>
  </si>
  <si>
    <t>Diversificar las estrategias y temáticas abordadas en los buenos días y direcciones de curso.Incrementar la participación de estudiantes de diferentes cursos en la organización y liderazgo de activida…</t>
  </si>
  <si>
    <t>Prevención de riesgos.</t>
  </si>
  <si>
    <t>Organización y ejecución del Proyecto de Prevención de riesgos físicos y de desastres; programas o planes de seguridad, y simulacros de evacuación.</t>
  </si>
  <si>
    <t>Documento de plan de emergencia, donde se planea, asigna y evalua.Formato de los simulacros.El documento de favorabilidad de la oficina de gestión del…</t>
  </si>
  <si>
    <t>Continuar participando en las diferentes actividades y simulacros, teniendo en cuenta las recomendaciones dadas.</t>
  </si>
  <si>
    <t>Estrategias educativas aplicadas, para prevención de riesgos psicosociales: Trata de personas, adicciones, consumo de sustancias psicoactivas o embriagantes, uso de internet, enfermedades de tipo sexual, embarazos, suicidio, violencia intrafamiliar, etc.)</t>
  </si>
  <si>
    <t>Direcciones de cursoTalleres de psicoorientación y coordinación de convivencia.Taller externo por “compañía Nosotras”</t>
  </si>
  <si>
    <t>Continuar buscando estrategias de prevención para los riesgos psicosociales que aquí se presentan.</t>
  </si>
  <si>
    <t>Estrategias aplicadas en el aula e institución, que educan al cuidado del medio ambiente y reciclaje.</t>
  </si>
  <si>
    <t>Pautas de dirección de curso.Actividades institucionales Elección de líderes ambientales.</t>
  </si>
  <si>
    <t>Pendiente la evaluación de los líderes ambientales del primer semestre.Continuar con las estrategias a traves de actividades para el cuidado del medio ambiente.</t>
  </si>
  <si>
    <t>PROCESO EVANGELIZADOR  →  Gestión Pastoral (propio salesiano)   (12 componentes)</t>
  </si>
  <si>
    <t>EVANGELIZADOR</t>
  </si>
  <si>
    <t>Pastoral (propio salesiano)</t>
  </si>
  <si>
    <t>Formación en la fe</t>
  </si>
  <si>
    <t>Organización, participación y realización de los Retiros Espirituales en la comunidad educativa.</t>
  </si>
  <si>
    <t>fotos, listados, evaluaciones y material que reposa en carpeta del área en drive.</t>
  </si>
  <si>
    <t>Como una oportunidad de mejora se propone favorecer y abrir espacios para el crecimiento en la fe a nivel familiar. La organización y ejecución de algunas de las actividades desarrolladas por la entid…</t>
  </si>
  <si>
    <t>Programación y realización de la Educación Religiosa Escolar y la Catequesis.</t>
  </si>
  <si>
    <t>Estructura curricular y planeaciones de ERE, guías de preparación de los sacramentos de Primera Comunión y confirmación.</t>
  </si>
  <si>
    <t>Continuar fortaleciendo las clases de ERE, como espacio que garantice la reflexión crítica de la realidad y los contextos desde la perspectiva de la fe cristiana.</t>
  </si>
  <si>
    <t>Ambiente de piedad y amor Mariano</t>
  </si>
  <si>
    <t>Talleres Florecillas.Archivo fotográfico del mes de mayo.Guión del rosario.Guion de la Novena a Maria Auxiliadora,Guión de la celebración eucarística.…</t>
  </si>
  <si>
    <t>Continuar fortaleciendo el sentido y vivencia profunda de la la espiritualidad mariana durante la planeación, preparación y ejecución de cada uno de los momentos que hacen parte del Mes de Mayo y las …</t>
  </si>
  <si>
    <t>Preparación, participación y actitud de fe en las celebraciones de los sacramentos de la Eucaristía y de la Reconciliación.</t>
  </si>
  <si>
    <t>El cronograma de Eucaristías y organización propuesta desde coordinación de pastoral, Guiones de Eucaristías realizados por los directores de grupo.</t>
  </si>
  <si>
    <t>Fortalecer por cursos la formación y preparación de estudiantes que se encarguen de manera específica de las lecturas durante las celebraciones eucarísticas. Continuar fortaleciendo la participación c…</t>
  </si>
  <si>
    <t>Formación y ambiente de vida de fe en la Comunidad Educativa.</t>
  </si>
  <si>
    <t>CronogramaListas de asistencia PlaneacionesGuiones y guías de celebraciones y formación en la fe.Buenos días.Los retiros espirituales</t>
  </si>
  <si>
    <t>Se ve necesario fortalecer la dimensión espiritual de la comunidad educativa, para que sus acciones correspondan con la intención formativa de la espiritualidad salesiana.</t>
  </si>
  <si>
    <t>Organización, preparación y realización de los “Buenos días” a nivel general y por cursos.</t>
  </si>
  <si>
    <t>Cronograma institucionalRecordatorio semanal en el Whatsapp del equipo docente por parte del coordinador de convivencia.Guías con orientaciones a los …</t>
  </si>
  <si>
    <t>Abrir espacios en el tiempo de buenos días, para favorecer el protagonismo de los estudiantes, especialmente de las animadoras y miembros del MJS.</t>
  </si>
  <si>
    <t>Preparación y participación de animadoras líderes del Movimiento Juvenil Salesiano (MJS).</t>
  </si>
  <si>
    <t>Plan formativoRegistros de asistenciaRegistros de planeación de sesiones.</t>
  </si>
  <si>
    <t>Se hace necesario fortalecer la formación en liderazgo y el protagonismo juvenil de los estudiantes en las actividades pastorales de la institución.</t>
  </si>
  <si>
    <t>Preparación, participación y realización de la “Propuesta Pastoral” en los cursos y ambiente institucional.</t>
  </si>
  <si>
    <t>Cronograma institucional y Recordatorios por parte de la coordinación de pastoral sobre los diferentes episodios de la Propuesta Pastoral</t>
  </si>
  <si>
    <t>Seguir fortaleciendo e interiorizando la intención pastoral de cada una de las etapas de la propuesta pastoral.</t>
  </si>
  <si>
    <t>Formación de “Buenos Cristianos y Honestas Ciudadanas”.</t>
  </si>
  <si>
    <t>Organización, participación y ejecución de Proyectos de Solidaridad, para las personas más necesitadas.</t>
  </si>
  <si>
    <t>Borradores de propuestas.</t>
  </si>
  <si>
    <t>Está por establecer un trabajo conjunto con la Diòcesis de Soacha y parroquias cercanas, con el fin de que los estudiantes se acerquen y procuren dar respuesta a las necesidades propias de nuestra Igl…</t>
  </si>
  <si>
    <t>Ambiente educativo de “Buenos Cristianos y Honestos Ciudadanos”.</t>
  </si>
  <si>
    <t>Actas, talleres y guiones de dirección de curso.</t>
  </si>
  <si>
    <t>Continuar fortaleciendo el trabajo transversal con todas las áreas. junto con los valores del carisma salesiano en todos los espacios y con toda la comunidad.</t>
  </si>
  <si>
    <t>Organización y orientación adecuada del proyecto de vida de los estudiantes</t>
  </si>
  <si>
    <t>Actividades en clase de ERE</t>
  </si>
  <si>
    <t>Continuar trabajando el proyecto de vida en todos los grados para incentivar en los estudiantes la valoración de esta herramiento de crecimiento integral.</t>
  </si>
  <si>
    <t>Proyecto de Formación Conjunta</t>
  </si>
  <si>
    <t>Organización, participación y realización de la “Escuela de formación conjunta salesiana”, para la formación humana, cristiana y salesiana del personal.</t>
  </si>
  <si>
    <t>Actas de reunión de educadores</t>
  </si>
  <si>
    <t>Los docentes han participado activamente en los espacios formativos del Proyecto Laicos que busca fortalecer su identidad carismática y compromiso educativo. Sin embargo hay preocupación por una mayor…</t>
  </si>
  <si>
    <t>PROCESO GESTIÓN DE CALIDAD  →  Gestión Calidad (transverso)   (5 componentes)</t>
  </si>
  <si>
    <t>GESTIÓN DE CALIDAD</t>
  </si>
  <si>
    <t>Calidad (transverso)</t>
  </si>
  <si>
    <t>Sistema Gestión de Calidad</t>
  </si>
  <si>
    <t>La implicación responsable de todos los educadores y personal administrativo y de servicios generales.</t>
  </si>
  <si>
    <t>Actas y formatos de asistencia de capacitación docente y del personal de servicios y administrativo</t>
  </si>
  <si>
    <t>Generar más espacios de capacitación y formación de conciencia frente a la implicación responsable de los trabajadores en el cumplimiento del SGC como parte fundamental para la prestación del servicio…</t>
  </si>
  <si>
    <t>El manejo adecuado y simplificado de documentos y registros</t>
  </si>
  <si>
    <t>Actas de reuniones del Equipo de calidad con la aprobación de ajustes e implementación de nuevos formatos y documentos Implementación de formatos</t>
  </si>
  <si>
    <t>Continuar trabajando en el correcto diligenciamiento de los formatos e implementación de los documentos en pro del desarrollo favorable de los procesos en la prestación del servicio educativo.</t>
  </si>
  <si>
    <t>Realización de las auditorías internas según el procedimiento correspondiente</t>
  </si>
  <si>
    <t>Planeación, apertura, ejecución y cierre de la primera auditoría interna 2026</t>
  </si>
  <si>
    <t>Continuar con el proceso de capacitación de auditores internos de acuerdo a la legislación vigente para el ámbito educativo.Continuar el proceso de seguimiento de los resultados arrojados en la primer…</t>
  </si>
  <si>
    <t>Favorecer la autoevaluación institucional de los procesos de direccionamiento, misionales y de apoyo para asegurar y satisfacer la prestación del servicio educativo</t>
  </si>
  <si>
    <t>Planeacion y ejecucion de jornada pedagógica de autoevaluación institucional 2026-A (acta, formatos de autoevaluación institucional y evaluación de de…</t>
  </si>
  <si>
    <t>Hacer revisión juiciosa de las acciones de mejora para la planeación y desarrollo de las acciones propias de cada proceso con el propósito de lograr las mejoras esperadas en la autoevaluación de final…</t>
  </si>
  <si>
    <t>Compartir por drive la carpeta digital al equipo de educadores, con los formatos correspondientes a la autoevaluación institucional que están en proceso tales como: el Plan de Mejoramiento Institucional, guía 34, Matriz de riesgos y demás que faciliten el seguimiento a las acciones que están a su cargo.</t>
  </si>
  <si>
    <t>Carpeta DRIVE (Jornada pedagógica junio 19 2026) que contiene los documentos y formatos que se trabajaron durante la jornada pedagógica</t>
  </si>
  <si>
    <t>Continuar revisando el correcto diligenciamiento de los formatos propios del proceso de autoevaluación institucional y la ejecución de las oportunidades de mejora en pro de generar un buen cierre en l…</t>
  </si>
  <si>
    <t>Perfil institucional de calidad — consolidado (auto)</t>
  </si>
  <si>
    <t>Proceso</t>
  </si>
  <si>
    <t>N.º comp.</t>
  </si>
  <si>
    <t>Nivel 1</t>
  </si>
  <si>
    <t>Nivel 2</t>
  </si>
  <si>
    <t>Nivel 3</t>
  </si>
  <si>
    <t>Nivel 4</t>
  </si>
  <si>
    <t>Media I-2026</t>
  </si>
  <si>
    <t>TOTAL</t>
  </si>
  <si>
    <t>Lectura: 71% de los componentes se autovaloran en nivel 4 y ninguno en nivel 1 — leer con cautela (efecto techo). El contraste con la evidencia externa (hoja Evidencia_Externa) es el núcleo de la revisión.</t>
  </si>
  <si>
    <t>Evidencia externa para triangular la autovaloración</t>
  </si>
  <si>
    <t>Saber 11 — puntaje por área (fuente: ICFES, reexpuesto por ICFES Analytics)</t>
  </si>
  <si>
    <t>Área</t>
  </si>
  <si>
    <t>2023</t>
  </si>
  <si>
    <t>2024</t>
  </si>
  <si>
    <t>2025</t>
  </si>
  <si>
    <t>Δ 2023–25</t>
  </si>
  <si>
    <t>Global</t>
  </si>
  <si>
    <t>Matemáticas</t>
  </si>
  <si>
    <t>Lectura Crítica</t>
  </si>
  <si>
    <t>Ciencias Naturales</t>
  </si>
  <si>
    <t>Sociales y Ciudadanas</t>
  </si>
  <si>
    <t>Inglés</t>
  </si>
  <si>
    <t>Contexto 2025</t>
  </si>
  <si>
    <t>Puntaje global 2025</t>
  </si>
  <si>
    <t>304,8</t>
  </si>
  <si>
    <t>Percentil nacional</t>
  </si>
  <si>
    <t>88 (Top 12%)</t>
  </si>
  <si>
    <t>Puesto Soacha</t>
  </si>
  <si>
    <t>#5 de 113</t>
  </si>
  <si>
    <t>Valor agregado contextual</t>
  </si>
  <si>
    <t>+42,6 pts sobre lo esperado (262,2)</t>
  </si>
  <si>
    <t>vs promedio nacional</t>
  </si>
  <si>
    <t>+47,1 pts</t>
  </si>
  <si>
    <t>Estudiantes evaluados</t>
  </si>
  <si>
    <t>≈25 (alta variabilidad entre cohortes)</t>
  </si>
  <si>
    <t>Fortalezas</t>
  </si>
  <si>
    <t>Inglés · Lectura Crítica</t>
  </si>
  <si>
    <t>Áreas foco</t>
  </si>
  <si>
    <t>C. Naturales · Sociales y Ciudadanas</t>
  </si>
  <si>
    <t>Matrícula (SIMAT) — evolución</t>
  </si>
  <si>
    <t>803 (2015) → piso 425 (2022) → 503 (2024). Grados 9–11 hoy 100% femeninos; preescolar/primaria mixtos: transición de identidad.</t>
  </si>
  <si>
    <t>Fuentes: ICFES Analytics (icfes-analytics.com) y MIAcademia (miacademia.ai), plataformas de terceros; puntajes por área = datos oficiales ICFES reexpuestos. Índices derivados (valor agregado, cuadrantes) son modelos propios, no causales. N≈25 → interpretar con cautela.</t>
  </si>
  <si>
    <t>Transverso de calidad — esqueleto del cuadro de mando (a definir en el PEI)</t>
  </si>
  <si>
    <t>Línea base precargada donde existe; metas, responsables y periodicidad se concretan con la ENSMA.</t>
  </si>
  <si>
    <t>Indicador</t>
  </si>
  <si>
    <t>Fuente</t>
  </si>
  <si>
    <t>Línea base</t>
  </si>
  <si>
    <t>Meta 2027</t>
  </si>
  <si>
    <t>Responsable</t>
  </si>
  <si>
    <t>Periodicidad</t>
  </si>
  <si>
    <t>Saber 11 — puntaje global</t>
  </si>
  <si>
    <t>ICFES</t>
  </si>
  <si>
    <t>304,8 (2025)</t>
  </si>
  <si>
    <t>Saber 11 — C. Naturales</t>
  </si>
  <si>
    <t>59,6 (2025)</t>
  </si>
  <si>
    <t>Saber 11 — Sociales y Ciudadanas</t>
  </si>
  <si>
    <t>58,4 (2025)</t>
  </si>
  <si>
    <t>Matrícula total</t>
  </si>
  <si>
    <t>SIMAT</t>
  </si>
  <si>
    <t>503 (2024)</t>
  </si>
  <si>
    <t>Competencia digital docente (índice)</t>
  </si>
  <si>
    <t>Instrumento 1.2.5</t>
  </si>
  <si>
    <t>79,4 (2026)</t>
  </si>
  <si>
    <t>Brecha IA docente (interés−destreza)</t>
  </si>
  <si>
    <t>23,2 (2026)</t>
  </si>
  <si>
    <t>% componentes autoeval. ≥ nivel 3</t>
  </si>
  <si>
    <t>Autoevaluación Guía 34</t>
  </si>
  <si>
    <t>≈96% (I-2026)</t>
  </si>
  <si>
    <t>Cierre de oportunidades de mejora del PMI</t>
  </si>
  <si>
    <t>PMI / seguimiento</t>
  </si>
  <si>
    <t>(cargar)</t>
  </si>
  <si>
    <t>Uso de recursos virtuales/multimedia (aula)</t>
  </si>
  <si>
    <t>Autoeval. comp. · 1.2.5</t>
  </si>
  <si>
    <t>Nivel 2 (I-2026)</t>
  </si>
  <si>
    <t>El transverso re-funda el proceso de Gestión de Calidad ya existente, re-anclado al horizonte nuevo (post-Normal, EPBM + media técnica) e incorporando innovación/tecnología como dimensión evaluable.</t>
  </si>
  <si>
    <t>Notas de método, escala y pendientes</t>
  </si>
  <si>
    <t>Escala Guía 34 (autovaloración)</t>
  </si>
  <si>
    <t>1 Existencia · 2 Pertinencia · 3 Apropiación · 4 Mejoramiento continuo.</t>
  </si>
  <si>
    <t>Semáforo de la matriz: 1 rojo · 2 naranja · 3 amarillo · 4 verde. Naranja claro = celda por diligenciar.</t>
  </si>
  <si>
    <t>Lo que falta para concluir</t>
  </si>
  <si>
    <t>• Autoevaluación del ciclo anterior (2025) → columna E de la matriz; habilita «Tendencia» y el contraste temporal del propio instrumento.</t>
  </si>
  <si>
    <t>• PMI del año anterior con corte de seguimiento → columna L (¿acción en PMI?) y cierre de oportunidades.</t>
  </si>
  <si>
    <t>• Ratificación de la autoevaluación por Consejo Académico/Directivo (traza de gobernanza).</t>
  </si>
  <si>
    <t>Hallazgos ya visibles</t>
  </si>
  <si>
    <t>• Autovaloración sesgada al alza: 71% en nivel 4, 0 en nivel 1 — efecto techo, coherente con el instrumento de competencias.</t>
  </si>
  <si>
    <t>• El componente «recursos didácticos virtuales y multimedia» se autopuntúa en 2: la institución ya reconoce la brecha tecnológica.</t>
  </si>
  <si>
    <t>• Saber 11 en descenso 3 años mientras el proceso académico se autovalora alto → principal tensión a resolver en el PEI.</t>
  </si>
  <si>
    <t>Encuadre  EICIT propone y revisa; la autoevaluación es de la ENSMA. No se modifican sus valoraciones: se contrastan con evidencia y se priorizan.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</si>
</sst>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2"/>
      <color rgb="FF1F4E79"/>
      <name val="Calibri"/>
      <family val="2"/>
    </font>
    <font>
      <b/>
      <sz val="16"/>
      <color rgb="FF1F4E79"/>
      <name val="Calibri"/>
      <family val="2"/>
    </font>
    <font>
      <sz val="11"/>
      <color rgb="FF2E75B6"/>
      <name val="Calibri"/>
      <family val="2"/>
    </font>
    <font>
      <b/>
      <sz val="10"/>
      <color rgb="FFFFFFFF"/>
      <name val="Calibri"/>
      <family val="2"/>
    </font>
    <font>
      <b/>
      <sz val="10"/>
      <color rgb="FF1F4E79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color rgb="FF1F4E79"/>
      <name val="Calibri"/>
      <family val="2"/>
    </font>
    <font>
      <b/>
      <sz val="13"/>
      <color rgb="FF1F4E79"/>
      <name val="Calibri"/>
      <family val="2"/>
    </font>
    <font>
      <i/>
      <sz val="9"/>
      <color rgb="FF595959"/>
      <name val="Calibri"/>
      <family val="2"/>
    </font>
    <font>
      <sz val="8"/>
      <color rgb="FF595959"/>
      <name val="Calibri"/>
      <family val="2"/>
    </font>
    <font>
      <i/>
      <sz val="9"/>
      <color rgb="FF1F4E79"/>
      <name val="Calibri"/>
      <family val="2"/>
    </font>
    <font>
      <b/>
      <sz val="11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9000"/>
        <bgColor rgb="FF808000"/>
      </patternFill>
    </fill>
    <fill>
      <patternFill patternType="solid">
        <fgColor rgb="FFD5E8F0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0">
    <dxf>
      <fill>
        <patternFill>
          <bgColor rgb="FFF4B7B7"/>
        </patternFill>
      </fill>
    </dxf>
    <dxf>
      <fill>
        <patternFill>
          <bgColor rgb="FFFFE08A"/>
        </patternFill>
      </fill>
    </dxf>
    <dxf>
      <fill>
        <patternFill>
          <bgColor rgb="FFF4B7B7"/>
        </patternFill>
      </fill>
    </dxf>
    <dxf>
      <fill>
        <patternFill>
          <bgColor rgb="FFC6E0B4"/>
        </patternFill>
      </fill>
    </dxf>
    <dxf>
      <fill>
        <patternFill>
          <bgColor rgb="FFFFE08A"/>
        </patternFill>
      </fill>
    </dxf>
    <dxf>
      <fill>
        <patternFill>
          <bgColor rgb="FFF4B7B7"/>
        </patternFill>
      </fill>
    </dxf>
    <dxf>
      <fill>
        <patternFill>
          <bgColor rgb="FFC6E0B4"/>
        </patternFill>
      </fill>
    </dxf>
    <dxf>
      <fill>
        <patternFill>
          <bgColor rgb="FFFFE08A"/>
        </patternFill>
      </fill>
    </dxf>
    <dxf>
      <fill>
        <patternFill>
          <bgColor rgb="FFFFC896"/>
        </patternFill>
      </fill>
    </dxf>
    <dxf>
      <fill>
        <patternFill>
          <bgColor rgb="FFF4B7B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CE4D6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08A"/>
      <rgbColor rgb="FF99CCFF"/>
      <rgbColor rgb="FFF4B7B7"/>
      <rgbColor rgb="FFCC99FF"/>
      <rgbColor rgb="FFFFC896"/>
      <rgbColor rgb="FF2E75B6"/>
      <rgbColor rgb="FF33CCCC"/>
      <rgbColor rgb="FF9BBB59"/>
      <rgbColor rgb="FFFFCC00"/>
      <rgbColor rgb="FFBF90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Distribución de componentes por nivel (I-2026)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Tablero_Perfil!$C$3:$F$3</c:f>
              <c:strCache>
                <c:ptCount val="4"/>
                <c:pt idx="0">
                  <c:v>Nivel 1</c:v>
                </c:pt>
                <c:pt idx="1">
                  <c:v>Nivel 2</c:v>
                </c:pt>
                <c:pt idx="2">
                  <c:v>Nivel 3</c:v>
                </c:pt>
                <c:pt idx="3">
                  <c:v>Nivel 4</c:v>
                </c:pt>
              </c:strCache>
            </c:strRef>
          </c:cat>
          <c:val>
            <c:numRef>
              <c:f>Tablero_Perfil!$C$10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C-E14D-A5D1-7A4C327369D1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Tablero_Perfil!$C$3:$F$3</c:f>
              <c:strCache>
                <c:ptCount val="4"/>
                <c:pt idx="0">
                  <c:v>Nivel 1</c:v>
                </c:pt>
                <c:pt idx="1">
                  <c:v>Nivel 2</c:v>
                </c:pt>
                <c:pt idx="2">
                  <c:v>Nivel 3</c:v>
                </c:pt>
                <c:pt idx="3">
                  <c:v>Nivel 4</c:v>
                </c:pt>
              </c:strCache>
            </c:strRef>
          </c:cat>
          <c:val>
            <c:numRef>
              <c:f>Tablero_Perfil!$D$10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C-E14D-A5D1-7A4C327369D1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Tablero_Perfil!$C$3:$F$3</c:f>
              <c:strCache>
                <c:ptCount val="4"/>
                <c:pt idx="0">
                  <c:v>Nivel 1</c:v>
                </c:pt>
                <c:pt idx="1">
                  <c:v>Nivel 2</c:v>
                </c:pt>
                <c:pt idx="2">
                  <c:v>Nivel 3</c:v>
                </c:pt>
                <c:pt idx="3">
                  <c:v>Nivel 4</c:v>
                </c:pt>
              </c:strCache>
            </c:strRef>
          </c:cat>
          <c:val>
            <c:numRef>
              <c:f>Tablero_Perfil!$E$10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9C-E14D-A5D1-7A4C327369D1}"/>
            </c:ext>
          </c:extLst>
        </c:ser>
        <c:ser>
          <c:idx val="3"/>
          <c:order val="3"/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Tablero_Perfil!$C$3:$F$3</c:f>
              <c:strCache>
                <c:ptCount val="4"/>
                <c:pt idx="0">
                  <c:v>Nivel 1</c:v>
                </c:pt>
                <c:pt idx="1">
                  <c:v>Nivel 2</c:v>
                </c:pt>
                <c:pt idx="2">
                  <c:v>Nivel 3</c:v>
                </c:pt>
                <c:pt idx="3">
                  <c:v>Nivel 4</c:v>
                </c:pt>
              </c:strCache>
            </c:strRef>
          </c:cat>
          <c:val>
            <c:numRef>
              <c:f>Tablero_Perfil!$F$10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9C-E14D-A5D1-7A4C32736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26482"/>
        <c:axId val="95179654"/>
      </c:barChart>
      <c:catAx>
        <c:axId val="912264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5179654"/>
        <c:crosses val="autoZero"/>
        <c:auto val="1"/>
        <c:lblAlgn val="ctr"/>
        <c:lblOffset val="100"/>
        <c:noMultiLvlLbl val="0"/>
      </c:catAx>
      <c:valAx>
        <c:axId val="95179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1226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Saber 11 global 2023–2025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Evidencia_Externa!$B$5:$D$5</c:f>
              <c:numCache>
                <c:formatCode>0.0</c:formatCode>
                <c:ptCount val="3"/>
                <c:pt idx="0">
                  <c:v>324.60000000000002</c:v>
                </c:pt>
                <c:pt idx="1">
                  <c:v>316</c:v>
                </c:pt>
                <c:pt idx="2">
                  <c:v>304.8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E4-1A4A-B4EA-C208A41B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20477"/>
        <c:axId val="91580517"/>
      </c:lineChart>
      <c:catAx>
        <c:axId val="50204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91580517"/>
        <c:crosses val="autoZero"/>
        <c:auto val="1"/>
        <c:lblAlgn val="ctr"/>
        <c:lblOffset val="100"/>
        <c:noMultiLvlLbl val="0"/>
      </c:catAx>
      <c:valAx>
        <c:axId val="91580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0204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175680</xdr:rowOff>
    </xdr:from>
    <xdr:to>
      <xdr:col>4</xdr:col>
      <xdr:colOff>238680</xdr:colOff>
      <xdr:row>27</xdr:row>
      <xdr:rowOff>28080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175680</xdr:rowOff>
    </xdr:from>
    <xdr:to>
      <xdr:col>13</xdr:col>
      <xdr:colOff>290160</xdr:colOff>
      <xdr:row>13</xdr:row>
      <xdr:rowOff>48960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0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3" width="66" customWidth="1"/>
  </cols>
  <sheetData>
    <row r="2" spans="2:3" ht="15" customHeight="1" x14ac:dyDescent="0.2">
      <c r="B2" s="25" t="s">
        <v>0</v>
      </c>
      <c r="C2" s="25"/>
    </row>
    <row r="4" spans="2:3" ht="19.5" customHeight="1" x14ac:dyDescent="0.2">
      <c r="B4" s="26" t="s">
        <v>1</v>
      </c>
      <c r="C4" s="26"/>
    </row>
    <row r="5" spans="2:3" ht="15" customHeight="1" x14ac:dyDescent="0.2">
      <c r="B5" s="27" t="s">
        <v>2</v>
      </c>
      <c r="C5" s="27"/>
    </row>
    <row r="6" spans="2:3" ht="15" customHeight="1" x14ac:dyDescent="0.2">
      <c r="B6" s="28" t="s">
        <v>3</v>
      </c>
      <c r="C6" s="28"/>
    </row>
    <row r="8" spans="2:3" ht="15" customHeight="1" x14ac:dyDescent="0.2">
      <c r="B8" s="3" t="s">
        <v>4</v>
      </c>
      <c r="C8" s="2" t="s">
        <v>5</v>
      </c>
    </row>
    <row r="9" spans="2:3" ht="15" customHeight="1" x14ac:dyDescent="0.2">
      <c r="B9" s="3" t="s">
        <v>6</v>
      </c>
      <c r="C9" s="2" t="s">
        <v>7</v>
      </c>
    </row>
    <row r="10" spans="2:3" ht="15" customHeight="1" x14ac:dyDescent="0.2">
      <c r="B10" s="3" t="s">
        <v>8</v>
      </c>
      <c r="C10" s="2" t="s">
        <v>9</v>
      </c>
    </row>
    <row r="11" spans="2:3" ht="15" customHeight="1" x14ac:dyDescent="0.2">
      <c r="B11" s="3" t="s">
        <v>10</v>
      </c>
      <c r="C11" s="2" t="s">
        <v>11</v>
      </c>
    </row>
    <row r="12" spans="2:3" ht="23.25" customHeight="1" x14ac:dyDescent="0.2">
      <c r="B12" s="3" t="s">
        <v>12</v>
      </c>
      <c r="C12" s="2" t="s">
        <v>13</v>
      </c>
    </row>
    <row r="13" spans="2:3" ht="15" customHeight="1" x14ac:dyDescent="0.2">
      <c r="B13" s="3" t="s">
        <v>14</v>
      </c>
      <c r="C13" s="2" t="s">
        <v>15</v>
      </c>
    </row>
    <row r="14" spans="2:3" ht="15" customHeight="1" x14ac:dyDescent="0.2">
      <c r="B14" s="3" t="s">
        <v>16</v>
      </c>
      <c r="C14" s="2" t="s">
        <v>17</v>
      </c>
    </row>
    <row r="16" spans="2:3" ht="15" customHeight="1" x14ac:dyDescent="0.2">
      <c r="B16" s="25" t="s">
        <v>18</v>
      </c>
      <c r="C16" s="25"/>
    </row>
    <row r="17" spans="2:3" ht="30" customHeight="1" x14ac:dyDescent="0.2">
      <c r="B17" s="24" t="s">
        <v>19</v>
      </c>
      <c r="C17" s="24"/>
    </row>
    <row r="18" spans="2:3" ht="30" customHeight="1" x14ac:dyDescent="0.2">
      <c r="B18" s="24" t="s">
        <v>20</v>
      </c>
      <c r="C18" s="24"/>
    </row>
    <row r="19" spans="2:3" ht="30" customHeight="1" x14ac:dyDescent="0.2">
      <c r="B19" s="24" t="s">
        <v>21</v>
      </c>
      <c r="C19" s="24"/>
    </row>
    <row r="20" spans="2:3" ht="30" customHeight="1" x14ac:dyDescent="0.2">
      <c r="B20" s="24" t="s">
        <v>22</v>
      </c>
      <c r="C20" s="24"/>
    </row>
  </sheetData>
  <mergeCells count="9">
    <mergeCell ref="B17:C17"/>
    <mergeCell ref="B18:C18"/>
    <mergeCell ref="B19:C19"/>
    <mergeCell ref="B20:C20"/>
    <mergeCell ref="B2:C2"/>
    <mergeCell ref="B4:C4"/>
    <mergeCell ref="B5:C5"/>
    <mergeCell ref="B6:C6"/>
    <mergeCell ref="B16:C1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3"/>
  <sheetViews>
    <sheetView showGridLines="0" tabSelected="1" zoomScale="180" zoomScaleNormal="18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I7" sqref="I7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3" width="20" customWidth="1"/>
    <col min="4" max="4" width="40" customWidth="1"/>
    <col min="5" max="5" width="10" customWidth="1"/>
    <col min="6" max="6" width="8" customWidth="1"/>
    <col min="7" max="7" width="9" customWidth="1"/>
    <col min="8" max="9" width="34" customWidth="1"/>
    <col min="10" max="10" width="13" customWidth="1"/>
    <col min="11" max="11" width="40" customWidth="1"/>
    <col min="12" max="12" width="9" customWidth="1"/>
    <col min="13" max="13" width="10" customWidth="1"/>
  </cols>
  <sheetData>
    <row r="1" spans="1:13" ht="42" customHeight="1" x14ac:dyDescent="0.2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</row>
    <row r="2" spans="1:13" ht="15" customHeight="1" x14ac:dyDescent="0.2">
      <c r="A2" s="23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39.75" customHeight="1" x14ac:dyDescent="0.2">
      <c r="A3" s="5" t="s">
        <v>37</v>
      </c>
      <c r="B3" s="5" t="s">
        <v>38</v>
      </c>
      <c r="C3" s="6" t="s">
        <v>39</v>
      </c>
      <c r="D3" s="6" t="s">
        <v>40</v>
      </c>
      <c r="E3" s="7"/>
      <c r="F3" s="8">
        <v>4</v>
      </c>
      <c r="G3" s="9" t="str">
        <f t="shared" ref="G3:G27" si="0">IF(E3="","—",IF(F3&gt;E3,"▲",IF(F3&lt;E3,"▼","=")))</f>
        <v>—</v>
      </c>
      <c r="H3" s="10" t="s">
        <v>41</v>
      </c>
      <c r="I3" s="11" t="s">
        <v>42</v>
      </c>
      <c r="J3" s="7"/>
      <c r="K3" s="10" t="s">
        <v>43</v>
      </c>
      <c r="L3" s="7"/>
      <c r="M3" s="7"/>
    </row>
    <row r="4" spans="1:13" ht="39.75" customHeight="1" x14ac:dyDescent="0.2">
      <c r="A4" s="5" t="s">
        <v>37</v>
      </c>
      <c r="B4" s="5" t="s">
        <v>38</v>
      </c>
      <c r="C4" s="6" t="s">
        <v>39</v>
      </c>
      <c r="D4" s="6" t="s">
        <v>44</v>
      </c>
      <c r="E4" s="7"/>
      <c r="F4" s="8">
        <v>3</v>
      </c>
      <c r="G4" s="9" t="str">
        <f t="shared" si="0"/>
        <v>—</v>
      </c>
      <c r="H4" s="10" t="s">
        <v>45</v>
      </c>
      <c r="I4" s="11" t="s">
        <v>42</v>
      </c>
      <c r="J4" s="7"/>
      <c r="K4" s="10" t="s">
        <v>46</v>
      </c>
      <c r="L4" s="7"/>
      <c r="M4" s="7"/>
    </row>
    <row r="5" spans="1:13" ht="39.75" customHeight="1" x14ac:dyDescent="0.2">
      <c r="A5" s="5" t="s">
        <v>37</v>
      </c>
      <c r="B5" s="5" t="s">
        <v>38</v>
      </c>
      <c r="C5" s="6" t="s">
        <v>39</v>
      </c>
      <c r="D5" s="6" t="s">
        <v>47</v>
      </c>
      <c r="E5" s="7"/>
      <c r="F5" s="8">
        <v>4</v>
      </c>
      <c r="G5" s="9" t="str">
        <f t="shared" si="0"/>
        <v>—</v>
      </c>
      <c r="H5" s="10" t="s">
        <v>48</v>
      </c>
      <c r="I5" s="11"/>
      <c r="J5" s="7"/>
      <c r="K5" s="10" t="s">
        <v>49</v>
      </c>
      <c r="L5" s="7"/>
      <c r="M5" s="7"/>
    </row>
    <row r="6" spans="1:13" ht="39.75" customHeight="1" x14ac:dyDescent="0.2">
      <c r="A6" s="5" t="s">
        <v>37</v>
      </c>
      <c r="B6" s="5" t="s">
        <v>38</v>
      </c>
      <c r="C6" s="6" t="s">
        <v>39</v>
      </c>
      <c r="D6" s="6" t="s">
        <v>50</v>
      </c>
      <c r="E6" s="7"/>
      <c r="F6" s="8">
        <v>4</v>
      </c>
      <c r="G6" s="9" t="str">
        <f t="shared" si="0"/>
        <v>—</v>
      </c>
      <c r="H6" s="10" t="s">
        <v>51</v>
      </c>
      <c r="I6" s="11" t="s">
        <v>42</v>
      </c>
      <c r="J6" s="7"/>
      <c r="K6" s="10" t="s">
        <v>52</v>
      </c>
      <c r="L6" s="7"/>
      <c r="M6" s="7"/>
    </row>
    <row r="7" spans="1:13" ht="39.75" customHeight="1" x14ac:dyDescent="0.2">
      <c r="A7" s="5" t="s">
        <v>37</v>
      </c>
      <c r="B7" s="5" t="s">
        <v>38</v>
      </c>
      <c r="C7" s="6" t="s">
        <v>53</v>
      </c>
      <c r="D7" s="6" t="s">
        <v>54</v>
      </c>
      <c r="E7" s="7"/>
      <c r="F7" s="8">
        <v>4</v>
      </c>
      <c r="G7" s="9" t="str">
        <f t="shared" si="0"/>
        <v>—</v>
      </c>
      <c r="H7" s="10" t="s">
        <v>55</v>
      </c>
      <c r="I7" s="11"/>
      <c r="J7" s="7"/>
      <c r="K7" s="10" t="s">
        <v>56</v>
      </c>
      <c r="L7" s="7"/>
      <c r="M7" s="7"/>
    </row>
    <row r="8" spans="1:13" ht="30" customHeight="1" x14ac:dyDescent="0.2">
      <c r="A8" s="5" t="s">
        <v>37</v>
      </c>
      <c r="B8" s="5" t="s">
        <v>38</v>
      </c>
      <c r="C8" s="6" t="s">
        <v>53</v>
      </c>
      <c r="D8" s="6" t="s">
        <v>57</v>
      </c>
      <c r="E8" s="7"/>
      <c r="F8" s="8">
        <v>3</v>
      </c>
      <c r="G8" s="9" t="str">
        <f t="shared" si="0"/>
        <v>—</v>
      </c>
      <c r="H8" s="10" t="s">
        <v>58</v>
      </c>
      <c r="I8" s="11"/>
      <c r="J8" s="7"/>
      <c r="K8" s="10" t="s">
        <v>59</v>
      </c>
      <c r="L8" s="7"/>
      <c r="M8" s="7"/>
    </row>
    <row r="9" spans="1:13" ht="39.75" customHeight="1" x14ac:dyDescent="0.2">
      <c r="A9" s="5" t="s">
        <v>37</v>
      </c>
      <c r="B9" s="5" t="s">
        <v>38</v>
      </c>
      <c r="C9" s="6" t="s">
        <v>60</v>
      </c>
      <c r="D9" s="6" t="s">
        <v>61</v>
      </c>
      <c r="E9" s="7"/>
      <c r="F9" s="8">
        <v>4</v>
      </c>
      <c r="G9" s="9" t="str">
        <f t="shared" si="0"/>
        <v>—</v>
      </c>
      <c r="H9" s="10" t="s">
        <v>62</v>
      </c>
      <c r="I9" s="11"/>
      <c r="J9" s="7"/>
      <c r="K9" s="10" t="s">
        <v>63</v>
      </c>
      <c r="L9" s="7"/>
      <c r="M9" s="7"/>
    </row>
    <row r="10" spans="1:13" ht="30" customHeight="1" x14ac:dyDescent="0.2">
      <c r="A10" s="5" t="s">
        <v>37</v>
      </c>
      <c r="B10" s="5" t="s">
        <v>38</v>
      </c>
      <c r="C10" s="6" t="s">
        <v>60</v>
      </c>
      <c r="D10" s="6" t="s">
        <v>64</v>
      </c>
      <c r="E10" s="7"/>
      <c r="F10" s="8">
        <v>4</v>
      </c>
      <c r="G10" s="9" t="str">
        <f t="shared" si="0"/>
        <v>—</v>
      </c>
      <c r="H10" s="10" t="s">
        <v>65</v>
      </c>
      <c r="I10" s="11"/>
      <c r="J10" s="7"/>
      <c r="K10" s="10" t="s">
        <v>66</v>
      </c>
      <c r="L10" s="7"/>
      <c r="M10" s="7"/>
    </row>
    <row r="11" spans="1:13" ht="39.75" customHeight="1" x14ac:dyDescent="0.2">
      <c r="A11" s="5" t="s">
        <v>37</v>
      </c>
      <c r="B11" s="5" t="s">
        <v>38</v>
      </c>
      <c r="C11" s="6" t="s">
        <v>60</v>
      </c>
      <c r="D11" s="6" t="s">
        <v>67</v>
      </c>
      <c r="E11" s="7"/>
      <c r="F11" s="8">
        <v>4</v>
      </c>
      <c r="G11" s="9" t="str">
        <f t="shared" si="0"/>
        <v>—</v>
      </c>
      <c r="H11" s="10" t="s">
        <v>68</v>
      </c>
      <c r="I11" s="11"/>
      <c r="J11" s="7"/>
      <c r="K11" s="10" t="s">
        <v>69</v>
      </c>
      <c r="L11" s="7"/>
      <c r="M11" s="7"/>
    </row>
    <row r="12" spans="1:13" ht="39.75" customHeight="1" x14ac:dyDescent="0.2">
      <c r="A12" s="5" t="s">
        <v>37</v>
      </c>
      <c r="B12" s="5" t="s">
        <v>38</v>
      </c>
      <c r="C12" s="6" t="s">
        <v>60</v>
      </c>
      <c r="D12" s="6" t="s">
        <v>70</v>
      </c>
      <c r="E12" s="7"/>
      <c r="F12" s="8">
        <v>4</v>
      </c>
      <c r="G12" s="9" t="str">
        <f t="shared" si="0"/>
        <v>—</v>
      </c>
      <c r="H12" s="10" t="s">
        <v>71</v>
      </c>
      <c r="I12" s="11"/>
      <c r="J12" s="7"/>
      <c r="K12" s="10" t="s">
        <v>72</v>
      </c>
      <c r="L12" s="7"/>
      <c r="M12" s="7"/>
    </row>
    <row r="13" spans="1:13" ht="39.75" customHeight="1" x14ac:dyDescent="0.2">
      <c r="A13" s="5" t="s">
        <v>37</v>
      </c>
      <c r="B13" s="5" t="s">
        <v>38</v>
      </c>
      <c r="C13" s="6" t="s">
        <v>60</v>
      </c>
      <c r="D13" s="6" t="s">
        <v>73</v>
      </c>
      <c r="E13" s="7"/>
      <c r="F13" s="8">
        <v>3</v>
      </c>
      <c r="G13" s="9" t="str">
        <f t="shared" si="0"/>
        <v>—</v>
      </c>
      <c r="H13" s="10" t="s">
        <v>74</v>
      </c>
      <c r="I13" s="11"/>
      <c r="J13" s="7"/>
      <c r="K13" s="10" t="s">
        <v>75</v>
      </c>
      <c r="L13" s="7"/>
      <c r="M13" s="7"/>
    </row>
    <row r="14" spans="1:13" ht="21.75" customHeight="1" x14ac:dyDescent="0.2">
      <c r="A14" s="5" t="s">
        <v>37</v>
      </c>
      <c r="B14" s="5" t="s">
        <v>38</v>
      </c>
      <c r="C14" s="6" t="s">
        <v>60</v>
      </c>
      <c r="D14" s="6" t="s">
        <v>76</v>
      </c>
      <c r="E14" s="7"/>
      <c r="F14" s="8">
        <v>4</v>
      </c>
      <c r="G14" s="9" t="str">
        <f t="shared" si="0"/>
        <v>—</v>
      </c>
      <c r="H14" s="10" t="s">
        <v>77</v>
      </c>
      <c r="I14" s="11"/>
      <c r="J14" s="7"/>
      <c r="K14" s="10" t="s">
        <v>78</v>
      </c>
      <c r="L14" s="7"/>
      <c r="M14" s="7"/>
    </row>
    <row r="15" spans="1:13" ht="39.75" customHeight="1" x14ac:dyDescent="0.2">
      <c r="A15" s="5" t="s">
        <v>37</v>
      </c>
      <c r="B15" s="5" t="s">
        <v>38</v>
      </c>
      <c r="C15" s="6" t="s">
        <v>60</v>
      </c>
      <c r="D15" s="6" t="s">
        <v>79</v>
      </c>
      <c r="E15" s="7"/>
      <c r="F15" s="8">
        <v>3</v>
      </c>
      <c r="G15" s="9" t="str">
        <f t="shared" si="0"/>
        <v>—</v>
      </c>
      <c r="H15" s="10" t="s">
        <v>80</v>
      </c>
      <c r="I15" s="11"/>
      <c r="J15" s="7"/>
      <c r="K15" s="10" t="s">
        <v>81</v>
      </c>
      <c r="L15" s="7"/>
      <c r="M15" s="7"/>
    </row>
    <row r="16" spans="1:13" ht="39.75" customHeight="1" x14ac:dyDescent="0.2">
      <c r="A16" s="5" t="s">
        <v>37</v>
      </c>
      <c r="B16" s="5" t="s">
        <v>38</v>
      </c>
      <c r="C16" s="6" t="s">
        <v>82</v>
      </c>
      <c r="D16" s="6" t="s">
        <v>83</v>
      </c>
      <c r="E16" s="7"/>
      <c r="F16" s="8">
        <v>3</v>
      </c>
      <c r="G16" s="9" t="str">
        <f t="shared" si="0"/>
        <v>—</v>
      </c>
      <c r="H16" s="10" t="s">
        <v>84</v>
      </c>
      <c r="I16" s="11"/>
      <c r="J16" s="7"/>
      <c r="K16" s="10" t="s">
        <v>85</v>
      </c>
      <c r="L16" s="7"/>
      <c r="M16" s="7"/>
    </row>
    <row r="17" spans="1:13" ht="39.75" customHeight="1" x14ac:dyDescent="0.2">
      <c r="A17" s="5" t="s">
        <v>37</v>
      </c>
      <c r="B17" s="5" t="s">
        <v>38</v>
      </c>
      <c r="C17" s="6" t="s">
        <v>82</v>
      </c>
      <c r="D17" s="6" t="s">
        <v>86</v>
      </c>
      <c r="E17" s="7"/>
      <c r="F17" s="8">
        <v>3</v>
      </c>
      <c r="G17" s="9" t="str">
        <f t="shared" si="0"/>
        <v>—</v>
      </c>
      <c r="H17" s="10" t="s">
        <v>87</v>
      </c>
      <c r="I17" s="11"/>
      <c r="J17" s="7"/>
      <c r="K17" s="10" t="s">
        <v>88</v>
      </c>
      <c r="L17" s="7"/>
      <c r="M17" s="7"/>
    </row>
    <row r="18" spans="1:13" ht="39.75" customHeight="1" x14ac:dyDescent="0.2">
      <c r="A18" s="5" t="s">
        <v>37</v>
      </c>
      <c r="B18" s="5" t="s">
        <v>38</v>
      </c>
      <c r="C18" s="6" t="s">
        <v>82</v>
      </c>
      <c r="D18" s="6" t="s">
        <v>89</v>
      </c>
      <c r="E18" s="7"/>
      <c r="F18" s="8">
        <v>4</v>
      </c>
      <c r="G18" s="9" t="str">
        <f t="shared" si="0"/>
        <v>—</v>
      </c>
      <c r="H18" s="10" t="s">
        <v>90</v>
      </c>
      <c r="I18" s="11"/>
      <c r="J18" s="7"/>
      <c r="K18" s="10" t="s">
        <v>91</v>
      </c>
      <c r="L18" s="7"/>
      <c r="M18" s="7"/>
    </row>
    <row r="19" spans="1:13" ht="39.75" customHeight="1" x14ac:dyDescent="0.2">
      <c r="A19" s="5" t="s">
        <v>37</v>
      </c>
      <c r="B19" s="5" t="s">
        <v>38</v>
      </c>
      <c r="C19" s="6" t="s">
        <v>92</v>
      </c>
      <c r="D19" s="6" t="s">
        <v>93</v>
      </c>
      <c r="E19" s="7"/>
      <c r="F19" s="8">
        <v>3</v>
      </c>
      <c r="G19" s="9" t="str">
        <f t="shared" si="0"/>
        <v>—</v>
      </c>
      <c r="H19" s="10" t="s">
        <v>94</v>
      </c>
      <c r="I19" s="11"/>
      <c r="J19" s="7"/>
      <c r="K19" s="10" t="s">
        <v>95</v>
      </c>
      <c r="L19" s="7"/>
      <c r="M19" s="7"/>
    </row>
    <row r="20" spans="1:13" ht="30" customHeight="1" x14ac:dyDescent="0.2">
      <c r="A20" s="5" t="s">
        <v>37</v>
      </c>
      <c r="B20" s="5" t="s">
        <v>38</v>
      </c>
      <c r="C20" s="6" t="s">
        <v>92</v>
      </c>
      <c r="D20" s="6" t="s">
        <v>96</v>
      </c>
      <c r="E20" s="7"/>
      <c r="F20" s="8">
        <v>4</v>
      </c>
      <c r="G20" s="9" t="str">
        <f t="shared" si="0"/>
        <v>—</v>
      </c>
      <c r="H20" s="10" t="s">
        <v>97</v>
      </c>
      <c r="I20" s="11"/>
      <c r="J20" s="7"/>
      <c r="K20" s="10" t="s">
        <v>98</v>
      </c>
      <c r="L20" s="7"/>
      <c r="M20" s="7"/>
    </row>
    <row r="21" spans="1:13" ht="39.75" customHeight="1" x14ac:dyDescent="0.2">
      <c r="A21" s="5" t="s">
        <v>37</v>
      </c>
      <c r="B21" s="5" t="s">
        <v>38</v>
      </c>
      <c r="C21" s="6" t="s">
        <v>92</v>
      </c>
      <c r="D21" s="6" t="s">
        <v>99</v>
      </c>
      <c r="E21" s="7"/>
      <c r="F21" s="8">
        <v>4</v>
      </c>
      <c r="G21" s="9" t="str">
        <f t="shared" si="0"/>
        <v>—</v>
      </c>
      <c r="H21" s="10" t="s">
        <v>100</v>
      </c>
      <c r="I21" s="11"/>
      <c r="J21" s="7"/>
      <c r="K21" s="10" t="s">
        <v>101</v>
      </c>
      <c r="L21" s="7"/>
      <c r="M21" s="7"/>
    </row>
    <row r="22" spans="1:13" ht="39.75" customHeight="1" x14ac:dyDescent="0.2">
      <c r="A22" s="5" t="s">
        <v>37</v>
      </c>
      <c r="B22" s="5" t="s">
        <v>38</v>
      </c>
      <c r="C22" s="6" t="s">
        <v>92</v>
      </c>
      <c r="D22" s="6" t="s">
        <v>102</v>
      </c>
      <c r="E22" s="7"/>
      <c r="F22" s="8">
        <v>4</v>
      </c>
      <c r="G22" s="9" t="str">
        <f t="shared" si="0"/>
        <v>—</v>
      </c>
      <c r="H22" s="10" t="s">
        <v>103</v>
      </c>
      <c r="I22" s="11"/>
      <c r="J22" s="7"/>
      <c r="K22" s="10" t="s">
        <v>104</v>
      </c>
      <c r="L22" s="7"/>
      <c r="M22" s="7"/>
    </row>
    <row r="23" spans="1:13" ht="39.75" customHeight="1" x14ac:dyDescent="0.2">
      <c r="A23" s="5" t="s">
        <v>37</v>
      </c>
      <c r="B23" s="5" t="s">
        <v>38</v>
      </c>
      <c r="C23" s="6" t="s">
        <v>92</v>
      </c>
      <c r="D23" s="6" t="s">
        <v>105</v>
      </c>
      <c r="E23" s="7"/>
      <c r="F23" s="8">
        <v>3</v>
      </c>
      <c r="G23" s="9" t="str">
        <f t="shared" si="0"/>
        <v>—</v>
      </c>
      <c r="H23" s="10" t="s">
        <v>106</v>
      </c>
      <c r="I23" s="11"/>
      <c r="J23" s="7"/>
      <c r="K23" s="10" t="s">
        <v>107</v>
      </c>
      <c r="L23" s="7"/>
      <c r="M23" s="7"/>
    </row>
    <row r="24" spans="1:13" ht="39.75" customHeight="1" x14ac:dyDescent="0.2">
      <c r="A24" s="5" t="s">
        <v>37</v>
      </c>
      <c r="B24" s="5" t="s">
        <v>38</v>
      </c>
      <c r="C24" s="6" t="s">
        <v>92</v>
      </c>
      <c r="D24" s="6" t="s">
        <v>108</v>
      </c>
      <c r="E24" s="7"/>
      <c r="F24" s="8">
        <v>4</v>
      </c>
      <c r="G24" s="9" t="str">
        <f t="shared" si="0"/>
        <v>—</v>
      </c>
      <c r="H24" s="10" t="s">
        <v>109</v>
      </c>
      <c r="I24" s="11"/>
      <c r="J24" s="7"/>
      <c r="K24" s="10" t="s">
        <v>110</v>
      </c>
      <c r="L24" s="7"/>
      <c r="M24" s="7"/>
    </row>
    <row r="25" spans="1:13" ht="39.75" customHeight="1" x14ac:dyDescent="0.2">
      <c r="A25" s="5" t="s">
        <v>37</v>
      </c>
      <c r="B25" s="5" t="s">
        <v>38</v>
      </c>
      <c r="C25" s="6" t="s">
        <v>111</v>
      </c>
      <c r="D25" s="6" t="s">
        <v>112</v>
      </c>
      <c r="E25" s="7"/>
      <c r="F25" s="8">
        <v>4</v>
      </c>
      <c r="G25" s="9" t="str">
        <f t="shared" si="0"/>
        <v>—</v>
      </c>
      <c r="H25" s="10" t="s">
        <v>113</v>
      </c>
      <c r="I25" s="11"/>
      <c r="J25" s="7"/>
      <c r="K25" s="10" t="s">
        <v>114</v>
      </c>
      <c r="L25" s="7"/>
      <c r="M25" s="7"/>
    </row>
    <row r="26" spans="1:13" ht="39.75" customHeight="1" x14ac:dyDescent="0.2">
      <c r="A26" s="5" t="s">
        <v>37</v>
      </c>
      <c r="B26" s="5" t="s">
        <v>38</v>
      </c>
      <c r="C26" s="6" t="s">
        <v>111</v>
      </c>
      <c r="D26" s="6" t="s">
        <v>115</v>
      </c>
      <c r="E26" s="7"/>
      <c r="F26" s="8">
        <v>4</v>
      </c>
      <c r="G26" s="9" t="str">
        <f t="shared" si="0"/>
        <v>—</v>
      </c>
      <c r="H26" s="10" t="s">
        <v>116</v>
      </c>
      <c r="I26" s="11"/>
      <c r="J26" s="7"/>
      <c r="K26" s="10" t="s">
        <v>117</v>
      </c>
      <c r="L26" s="7"/>
      <c r="M26" s="7"/>
    </row>
    <row r="27" spans="1:13" ht="30" customHeight="1" x14ac:dyDescent="0.2">
      <c r="A27" s="5" t="s">
        <v>37</v>
      </c>
      <c r="B27" s="5" t="s">
        <v>38</v>
      </c>
      <c r="C27" s="6" t="s">
        <v>111</v>
      </c>
      <c r="D27" s="6" t="s">
        <v>118</v>
      </c>
      <c r="E27" s="7"/>
      <c r="F27" s="8">
        <v>4</v>
      </c>
      <c r="G27" s="9" t="str">
        <f t="shared" si="0"/>
        <v>—</v>
      </c>
      <c r="H27" s="10" t="s">
        <v>119</v>
      </c>
      <c r="I27" s="11"/>
      <c r="J27" s="7"/>
      <c r="K27" s="10" t="s">
        <v>120</v>
      </c>
      <c r="L27" s="7"/>
      <c r="M27" s="7"/>
    </row>
    <row r="28" spans="1:13" ht="15" customHeight="1" x14ac:dyDescent="0.2">
      <c r="A28" s="23" t="s">
        <v>121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30" customHeight="1" x14ac:dyDescent="0.2">
      <c r="A29" s="5" t="s">
        <v>122</v>
      </c>
      <c r="B29" s="5" t="s">
        <v>123</v>
      </c>
      <c r="C29" s="6" t="s">
        <v>124</v>
      </c>
      <c r="D29" s="6" t="s">
        <v>125</v>
      </c>
      <c r="E29" s="7"/>
      <c r="F29" s="8">
        <v>4</v>
      </c>
      <c r="G29" s="9" t="str">
        <f t="shared" ref="G29:G52" si="1">IF(E29="","—",IF(F29&gt;E29,"▲",IF(F29&lt;E29,"▼","=")))</f>
        <v>—</v>
      </c>
      <c r="H29" s="10" t="s">
        <v>126</v>
      </c>
      <c r="I29" s="11"/>
      <c r="J29" s="7"/>
      <c r="K29" s="10" t="s">
        <v>127</v>
      </c>
      <c r="L29" s="7"/>
      <c r="M29" s="7"/>
    </row>
    <row r="30" spans="1:13" ht="30" customHeight="1" x14ac:dyDescent="0.2">
      <c r="A30" s="5" t="s">
        <v>122</v>
      </c>
      <c r="B30" s="5" t="s">
        <v>123</v>
      </c>
      <c r="C30" s="6" t="s">
        <v>124</v>
      </c>
      <c r="D30" s="6" t="s">
        <v>128</v>
      </c>
      <c r="E30" s="7"/>
      <c r="F30" s="8">
        <v>3</v>
      </c>
      <c r="G30" s="9" t="str">
        <f t="shared" si="1"/>
        <v>—</v>
      </c>
      <c r="H30" s="10" t="s">
        <v>129</v>
      </c>
      <c r="I30" s="11"/>
      <c r="J30" s="7"/>
      <c r="K30" s="10" t="s">
        <v>130</v>
      </c>
      <c r="L30" s="7"/>
      <c r="M30" s="7"/>
    </row>
    <row r="31" spans="1:13" ht="32.25" customHeight="1" x14ac:dyDescent="0.2">
      <c r="A31" s="5" t="s">
        <v>122</v>
      </c>
      <c r="B31" s="5" t="s">
        <v>123</v>
      </c>
      <c r="C31" s="6" t="s">
        <v>124</v>
      </c>
      <c r="D31" s="6" t="s">
        <v>131</v>
      </c>
      <c r="E31" s="7"/>
      <c r="F31" s="8">
        <v>4</v>
      </c>
      <c r="G31" s="9" t="str">
        <f t="shared" si="1"/>
        <v>—</v>
      </c>
      <c r="H31" s="10" t="s">
        <v>132</v>
      </c>
      <c r="I31" s="11"/>
      <c r="J31" s="7"/>
      <c r="K31" s="10" t="s">
        <v>133</v>
      </c>
      <c r="L31" s="7"/>
      <c r="M31" s="7"/>
    </row>
    <row r="32" spans="1:13" ht="21.75" customHeight="1" x14ac:dyDescent="0.2">
      <c r="A32" s="5" t="s">
        <v>122</v>
      </c>
      <c r="B32" s="5" t="s">
        <v>123</v>
      </c>
      <c r="C32" s="6" t="s">
        <v>124</v>
      </c>
      <c r="D32" s="6" t="s">
        <v>134</v>
      </c>
      <c r="E32" s="7"/>
      <c r="F32" s="8">
        <v>2</v>
      </c>
      <c r="G32" s="9" t="str">
        <f t="shared" si="1"/>
        <v>—</v>
      </c>
      <c r="H32" s="10" t="s">
        <v>135</v>
      </c>
      <c r="I32" s="11" t="s">
        <v>136</v>
      </c>
      <c r="J32" s="7"/>
      <c r="K32" s="10" t="s">
        <v>137</v>
      </c>
      <c r="L32" s="7"/>
      <c r="M32" s="7"/>
    </row>
    <row r="33" spans="1:13" ht="30" customHeight="1" x14ac:dyDescent="0.2">
      <c r="A33" s="5" t="s">
        <v>122</v>
      </c>
      <c r="B33" s="5" t="s">
        <v>123</v>
      </c>
      <c r="C33" s="6" t="s">
        <v>124</v>
      </c>
      <c r="D33" s="6" t="s">
        <v>138</v>
      </c>
      <c r="E33" s="7"/>
      <c r="F33" s="8">
        <v>4</v>
      </c>
      <c r="G33" s="9" t="str">
        <f t="shared" si="1"/>
        <v>—</v>
      </c>
      <c r="H33" s="10" t="s">
        <v>139</v>
      </c>
      <c r="I33" s="11"/>
      <c r="J33" s="7"/>
      <c r="K33" s="10" t="s">
        <v>140</v>
      </c>
      <c r="L33" s="7"/>
      <c r="M33" s="7"/>
    </row>
    <row r="34" spans="1:13" ht="32.25" customHeight="1" x14ac:dyDescent="0.2">
      <c r="A34" s="5" t="s">
        <v>122</v>
      </c>
      <c r="B34" s="5" t="s">
        <v>123</v>
      </c>
      <c r="C34" s="6" t="s">
        <v>124</v>
      </c>
      <c r="D34" s="6" t="s">
        <v>141</v>
      </c>
      <c r="E34" s="7"/>
      <c r="F34" s="8">
        <v>4</v>
      </c>
      <c r="G34" s="9" t="str">
        <f t="shared" si="1"/>
        <v>—</v>
      </c>
      <c r="H34" s="10" t="s">
        <v>142</v>
      </c>
      <c r="I34" s="11" t="s">
        <v>143</v>
      </c>
      <c r="J34" s="7"/>
      <c r="K34" s="10" t="s">
        <v>144</v>
      </c>
      <c r="L34" s="7"/>
      <c r="M34" s="7"/>
    </row>
    <row r="35" spans="1:13" ht="32.25" customHeight="1" x14ac:dyDescent="0.2">
      <c r="A35" s="5" t="s">
        <v>122</v>
      </c>
      <c r="B35" s="5" t="s">
        <v>123</v>
      </c>
      <c r="C35" s="6" t="s">
        <v>145</v>
      </c>
      <c r="D35" s="6" t="s">
        <v>146</v>
      </c>
      <c r="E35" s="7"/>
      <c r="F35" s="8">
        <v>3</v>
      </c>
      <c r="G35" s="9" t="str">
        <f t="shared" si="1"/>
        <v>—</v>
      </c>
      <c r="H35" s="10" t="s">
        <v>147</v>
      </c>
      <c r="I35" s="11"/>
      <c r="J35" s="7"/>
      <c r="K35" s="10" t="s">
        <v>148</v>
      </c>
      <c r="L35" s="7"/>
      <c r="M35" s="7"/>
    </row>
    <row r="36" spans="1:13" ht="32.25" customHeight="1" x14ac:dyDescent="0.2">
      <c r="A36" s="5" t="s">
        <v>122</v>
      </c>
      <c r="B36" s="5" t="s">
        <v>123</v>
      </c>
      <c r="C36" s="6" t="s">
        <v>145</v>
      </c>
      <c r="D36" s="6" t="s">
        <v>149</v>
      </c>
      <c r="E36" s="7"/>
      <c r="F36" s="8">
        <v>4</v>
      </c>
      <c r="G36" s="9" t="str">
        <f t="shared" si="1"/>
        <v>—</v>
      </c>
      <c r="H36" s="10" t="s">
        <v>150</v>
      </c>
      <c r="I36" s="11"/>
      <c r="J36" s="7"/>
      <c r="K36" s="10" t="s">
        <v>151</v>
      </c>
      <c r="L36" s="7"/>
      <c r="M36" s="7"/>
    </row>
    <row r="37" spans="1:13" ht="32.25" customHeight="1" x14ac:dyDescent="0.2">
      <c r="A37" s="5" t="s">
        <v>122</v>
      </c>
      <c r="B37" s="5" t="s">
        <v>123</v>
      </c>
      <c r="C37" s="6" t="s">
        <v>145</v>
      </c>
      <c r="D37" s="6" t="s">
        <v>152</v>
      </c>
      <c r="E37" s="7"/>
      <c r="F37" s="8">
        <v>2</v>
      </c>
      <c r="G37" s="9" t="str">
        <f t="shared" si="1"/>
        <v>—</v>
      </c>
      <c r="H37" s="10" t="s">
        <v>153</v>
      </c>
      <c r="I37" s="11"/>
      <c r="J37" s="7"/>
      <c r="K37" s="10" t="s">
        <v>154</v>
      </c>
      <c r="L37" s="7"/>
      <c r="M37" s="7"/>
    </row>
    <row r="38" spans="1:13" ht="32.25" customHeight="1" x14ac:dyDescent="0.2">
      <c r="A38" s="5" t="s">
        <v>122</v>
      </c>
      <c r="B38" s="5" t="s">
        <v>123</v>
      </c>
      <c r="C38" s="6" t="s">
        <v>145</v>
      </c>
      <c r="D38" s="6" t="s">
        <v>155</v>
      </c>
      <c r="E38" s="7"/>
      <c r="F38" s="8">
        <v>4</v>
      </c>
      <c r="G38" s="9" t="str">
        <f t="shared" si="1"/>
        <v>—</v>
      </c>
      <c r="H38" s="10" t="s">
        <v>156</v>
      </c>
      <c r="I38" s="11"/>
      <c r="J38" s="7"/>
      <c r="K38" s="10" t="s">
        <v>157</v>
      </c>
      <c r="L38" s="7"/>
      <c r="M38" s="7"/>
    </row>
    <row r="39" spans="1:13" ht="32.25" customHeight="1" x14ac:dyDescent="0.2">
      <c r="A39" s="5" t="s">
        <v>122</v>
      </c>
      <c r="B39" s="5" t="s">
        <v>123</v>
      </c>
      <c r="C39" s="6" t="s">
        <v>158</v>
      </c>
      <c r="D39" s="6" t="s">
        <v>159</v>
      </c>
      <c r="E39" s="7"/>
      <c r="F39" s="8">
        <v>3</v>
      </c>
      <c r="G39" s="9" t="str">
        <f t="shared" si="1"/>
        <v>—</v>
      </c>
      <c r="H39" s="10" t="s">
        <v>160</v>
      </c>
      <c r="I39" s="11"/>
      <c r="J39" s="7"/>
      <c r="K39" s="10" t="s">
        <v>161</v>
      </c>
      <c r="L39" s="7"/>
      <c r="M39" s="7"/>
    </row>
    <row r="40" spans="1:13" ht="21.75" customHeight="1" x14ac:dyDescent="0.2">
      <c r="A40" s="5" t="s">
        <v>122</v>
      </c>
      <c r="B40" s="5" t="s">
        <v>123</v>
      </c>
      <c r="C40" s="6" t="s">
        <v>158</v>
      </c>
      <c r="D40" s="6" t="s">
        <v>162</v>
      </c>
      <c r="E40" s="7"/>
      <c r="F40" s="8">
        <v>4</v>
      </c>
      <c r="G40" s="9" t="str">
        <f t="shared" si="1"/>
        <v>—</v>
      </c>
      <c r="H40" s="10" t="s">
        <v>163</v>
      </c>
      <c r="I40" s="11" t="s">
        <v>143</v>
      </c>
      <c r="J40" s="7"/>
      <c r="K40" s="10" t="s">
        <v>164</v>
      </c>
      <c r="L40" s="7"/>
      <c r="M40" s="7"/>
    </row>
    <row r="41" spans="1:13" ht="32.25" customHeight="1" x14ac:dyDescent="0.2">
      <c r="A41" s="5" t="s">
        <v>122</v>
      </c>
      <c r="B41" s="5" t="s">
        <v>123</v>
      </c>
      <c r="C41" s="6" t="s">
        <v>158</v>
      </c>
      <c r="D41" s="6" t="s">
        <v>165</v>
      </c>
      <c r="E41" s="7"/>
      <c r="F41" s="8">
        <v>4</v>
      </c>
      <c r="G41" s="9" t="str">
        <f t="shared" si="1"/>
        <v>—</v>
      </c>
      <c r="H41" s="10" t="s">
        <v>166</v>
      </c>
      <c r="I41" s="11" t="s">
        <v>143</v>
      </c>
      <c r="J41" s="7"/>
      <c r="K41" s="10" t="s">
        <v>167</v>
      </c>
      <c r="L41" s="7"/>
      <c r="M41" s="7"/>
    </row>
    <row r="42" spans="1:13" ht="32.25" customHeight="1" x14ac:dyDescent="0.2">
      <c r="A42" s="5" t="s">
        <v>122</v>
      </c>
      <c r="B42" s="5" t="s">
        <v>123</v>
      </c>
      <c r="C42" s="6" t="s">
        <v>168</v>
      </c>
      <c r="D42" s="6" t="s">
        <v>169</v>
      </c>
      <c r="E42" s="7"/>
      <c r="F42" s="8">
        <v>4</v>
      </c>
      <c r="G42" s="9" t="str">
        <f t="shared" si="1"/>
        <v>—</v>
      </c>
      <c r="H42" s="10" t="s">
        <v>170</v>
      </c>
      <c r="I42" s="11" t="s">
        <v>143</v>
      </c>
      <c r="J42" s="7"/>
      <c r="K42" s="10" t="s">
        <v>171</v>
      </c>
      <c r="L42" s="7"/>
      <c r="M42" s="7"/>
    </row>
    <row r="43" spans="1:13" ht="39.75" customHeight="1" x14ac:dyDescent="0.2">
      <c r="A43" s="5" t="s">
        <v>122</v>
      </c>
      <c r="B43" s="5" t="s">
        <v>123</v>
      </c>
      <c r="C43" s="6" t="s">
        <v>168</v>
      </c>
      <c r="D43" s="6" t="s">
        <v>172</v>
      </c>
      <c r="E43" s="7"/>
      <c r="F43" s="8">
        <v>4</v>
      </c>
      <c r="G43" s="9" t="str">
        <f t="shared" si="1"/>
        <v>—</v>
      </c>
      <c r="H43" s="10" t="s">
        <v>173</v>
      </c>
      <c r="I43" s="11" t="s">
        <v>143</v>
      </c>
      <c r="J43" s="7"/>
      <c r="K43" s="10" t="s">
        <v>174</v>
      </c>
      <c r="L43" s="7"/>
      <c r="M43" s="7"/>
    </row>
    <row r="44" spans="1:13" ht="39.75" customHeight="1" x14ac:dyDescent="0.2">
      <c r="A44" s="5" t="s">
        <v>122</v>
      </c>
      <c r="B44" s="5" t="s">
        <v>123</v>
      </c>
      <c r="C44" s="6" t="s">
        <v>168</v>
      </c>
      <c r="D44" s="6" t="s">
        <v>175</v>
      </c>
      <c r="E44" s="7"/>
      <c r="F44" s="8">
        <v>4</v>
      </c>
      <c r="G44" s="9" t="str">
        <f t="shared" si="1"/>
        <v>—</v>
      </c>
      <c r="H44" s="10" t="s">
        <v>176</v>
      </c>
      <c r="I44" s="11"/>
      <c r="J44" s="7"/>
      <c r="K44" s="10" t="s">
        <v>177</v>
      </c>
      <c r="L44" s="7"/>
      <c r="M44" s="7"/>
    </row>
    <row r="45" spans="1:13" ht="39.75" customHeight="1" x14ac:dyDescent="0.2">
      <c r="A45" s="5" t="s">
        <v>122</v>
      </c>
      <c r="B45" s="5" t="s">
        <v>123</v>
      </c>
      <c r="C45" s="6" t="s">
        <v>168</v>
      </c>
      <c r="D45" s="6" t="s">
        <v>178</v>
      </c>
      <c r="E45" s="7"/>
      <c r="F45" s="8">
        <v>4</v>
      </c>
      <c r="G45" s="9" t="str">
        <f t="shared" si="1"/>
        <v>—</v>
      </c>
      <c r="H45" s="10" t="s">
        <v>179</v>
      </c>
      <c r="I45" s="11" t="s">
        <v>143</v>
      </c>
      <c r="J45" s="7"/>
      <c r="K45" s="10" t="s">
        <v>180</v>
      </c>
      <c r="L45" s="7"/>
      <c r="M45" s="7"/>
    </row>
    <row r="46" spans="1:13" ht="32.25" customHeight="1" x14ac:dyDescent="0.2">
      <c r="A46" s="5" t="s">
        <v>122</v>
      </c>
      <c r="B46" s="5" t="s">
        <v>123</v>
      </c>
      <c r="C46" s="6" t="s">
        <v>168</v>
      </c>
      <c r="D46" s="6" t="s">
        <v>181</v>
      </c>
      <c r="E46" s="7"/>
      <c r="F46" s="8">
        <v>4</v>
      </c>
      <c r="G46" s="9" t="str">
        <f t="shared" si="1"/>
        <v>—</v>
      </c>
      <c r="H46" s="10" t="s">
        <v>182</v>
      </c>
      <c r="I46" s="11" t="s">
        <v>143</v>
      </c>
      <c r="J46" s="7"/>
      <c r="K46" s="10" t="s">
        <v>183</v>
      </c>
      <c r="L46" s="7"/>
      <c r="M46" s="7"/>
    </row>
    <row r="47" spans="1:13" ht="39.75" customHeight="1" x14ac:dyDescent="0.2">
      <c r="A47" s="5" t="s">
        <v>122</v>
      </c>
      <c r="B47" s="5" t="s">
        <v>123</v>
      </c>
      <c r="C47" s="6" t="s">
        <v>168</v>
      </c>
      <c r="D47" s="6" t="s">
        <v>184</v>
      </c>
      <c r="E47" s="7"/>
      <c r="F47" s="8">
        <v>2</v>
      </c>
      <c r="G47" s="9" t="str">
        <f t="shared" si="1"/>
        <v>—</v>
      </c>
      <c r="H47" s="10" t="s">
        <v>185</v>
      </c>
      <c r="I47" s="11" t="s">
        <v>143</v>
      </c>
      <c r="J47" s="7"/>
      <c r="K47" s="10" t="s">
        <v>186</v>
      </c>
      <c r="L47" s="7"/>
      <c r="M47" s="7"/>
    </row>
    <row r="48" spans="1:13" ht="53.25" customHeight="1" x14ac:dyDescent="0.2">
      <c r="A48" s="5" t="s">
        <v>122</v>
      </c>
      <c r="B48" s="5" t="s">
        <v>123</v>
      </c>
      <c r="C48" s="6" t="s">
        <v>168</v>
      </c>
      <c r="D48" s="6" t="s">
        <v>187</v>
      </c>
      <c r="E48" s="7"/>
      <c r="F48" s="8">
        <v>4</v>
      </c>
      <c r="G48" s="9" t="str">
        <f t="shared" si="1"/>
        <v>—</v>
      </c>
      <c r="H48" s="10" t="s">
        <v>188</v>
      </c>
      <c r="I48" s="11" t="s">
        <v>143</v>
      </c>
      <c r="J48" s="7"/>
      <c r="K48" s="10" t="s">
        <v>189</v>
      </c>
      <c r="L48" s="7"/>
      <c r="M48" s="7"/>
    </row>
    <row r="49" spans="1:13" ht="32.25" customHeight="1" x14ac:dyDescent="0.2">
      <c r="A49" s="5" t="s">
        <v>122</v>
      </c>
      <c r="B49" s="5" t="s">
        <v>123</v>
      </c>
      <c r="C49" s="6" t="s">
        <v>168</v>
      </c>
      <c r="D49" s="6" t="s">
        <v>190</v>
      </c>
      <c r="E49" s="7"/>
      <c r="F49" s="8">
        <v>4</v>
      </c>
      <c r="G49" s="9" t="str">
        <f t="shared" si="1"/>
        <v>—</v>
      </c>
      <c r="H49" s="10" t="s">
        <v>191</v>
      </c>
      <c r="I49" s="11"/>
      <c r="J49" s="7"/>
      <c r="K49" s="10" t="s">
        <v>189</v>
      </c>
      <c r="L49" s="7"/>
      <c r="M49" s="7"/>
    </row>
    <row r="50" spans="1:13" ht="32.25" customHeight="1" x14ac:dyDescent="0.2">
      <c r="A50" s="5" t="s">
        <v>122</v>
      </c>
      <c r="B50" s="5" t="s">
        <v>123</v>
      </c>
      <c r="C50" s="6" t="s">
        <v>192</v>
      </c>
      <c r="D50" s="6" t="s">
        <v>193</v>
      </c>
      <c r="E50" s="7"/>
      <c r="F50" s="8">
        <v>4</v>
      </c>
      <c r="G50" s="9" t="str">
        <f t="shared" si="1"/>
        <v>—</v>
      </c>
      <c r="H50" s="10" t="s">
        <v>194</v>
      </c>
      <c r="I50" s="11"/>
      <c r="J50" s="7"/>
      <c r="K50" s="10" t="s">
        <v>195</v>
      </c>
      <c r="L50" s="7"/>
      <c r="M50" s="7"/>
    </row>
    <row r="51" spans="1:13" ht="32.25" customHeight="1" x14ac:dyDescent="0.2">
      <c r="A51" s="5" t="s">
        <v>122</v>
      </c>
      <c r="B51" s="5" t="s">
        <v>123</v>
      </c>
      <c r="C51" s="6" t="s">
        <v>192</v>
      </c>
      <c r="D51" s="6" t="s">
        <v>196</v>
      </c>
      <c r="E51" s="7"/>
      <c r="F51" s="8">
        <v>4</v>
      </c>
      <c r="G51" s="9" t="str">
        <f t="shared" si="1"/>
        <v>—</v>
      </c>
      <c r="H51" s="10" t="s">
        <v>197</v>
      </c>
      <c r="I51" s="11"/>
      <c r="J51" s="7"/>
      <c r="K51" s="10" t="s">
        <v>198</v>
      </c>
      <c r="L51" s="7"/>
      <c r="M51" s="7"/>
    </row>
    <row r="52" spans="1:13" ht="39.75" customHeight="1" x14ac:dyDescent="0.2">
      <c r="A52" s="5" t="s">
        <v>122</v>
      </c>
      <c r="B52" s="5" t="s">
        <v>123</v>
      </c>
      <c r="C52" s="6" t="s">
        <v>192</v>
      </c>
      <c r="D52" s="6" t="s">
        <v>199</v>
      </c>
      <c r="E52" s="7"/>
      <c r="F52" s="8">
        <v>4</v>
      </c>
      <c r="G52" s="9" t="str">
        <f t="shared" si="1"/>
        <v>—</v>
      </c>
      <c r="H52" s="10" t="s">
        <v>200</v>
      </c>
      <c r="I52" s="11"/>
      <c r="J52" s="7"/>
      <c r="K52" s="10" t="s">
        <v>201</v>
      </c>
      <c r="L52" s="7"/>
      <c r="M52" s="7"/>
    </row>
    <row r="53" spans="1:13" ht="15" customHeight="1" x14ac:dyDescent="0.2">
      <c r="A53" s="23" t="s">
        <v>202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 ht="21.75" customHeight="1" x14ac:dyDescent="0.2">
      <c r="A54" s="5" t="s">
        <v>203</v>
      </c>
      <c r="B54" s="5" t="s">
        <v>204</v>
      </c>
      <c r="C54" s="6" t="s">
        <v>205</v>
      </c>
      <c r="D54" s="6" t="s">
        <v>206</v>
      </c>
      <c r="E54" s="7"/>
      <c r="F54" s="8">
        <v>4</v>
      </c>
      <c r="G54" s="9" t="str">
        <f t="shared" ref="G54:G73" si="2">IF(E54="","—",IF(F54&gt;E54,"▲",IF(F54&lt;E54,"▼","=")))</f>
        <v>—</v>
      </c>
      <c r="H54" s="10" t="s">
        <v>207</v>
      </c>
      <c r="I54" s="11"/>
      <c r="J54" s="7"/>
      <c r="K54" s="10" t="s">
        <v>208</v>
      </c>
      <c r="L54" s="7"/>
      <c r="M54" s="7"/>
    </row>
    <row r="55" spans="1:13" ht="30" customHeight="1" x14ac:dyDescent="0.2">
      <c r="A55" s="5" t="s">
        <v>203</v>
      </c>
      <c r="B55" s="5" t="s">
        <v>204</v>
      </c>
      <c r="C55" s="6" t="s">
        <v>205</v>
      </c>
      <c r="D55" s="6" t="s">
        <v>209</v>
      </c>
      <c r="E55" s="7"/>
      <c r="F55" s="8">
        <v>3</v>
      </c>
      <c r="G55" s="9" t="str">
        <f t="shared" si="2"/>
        <v>—</v>
      </c>
      <c r="H55" s="10" t="s">
        <v>210</v>
      </c>
      <c r="I55" s="11"/>
      <c r="J55" s="7"/>
      <c r="K55" s="10" t="s">
        <v>211</v>
      </c>
      <c r="L55" s="7"/>
      <c r="M55" s="7"/>
    </row>
    <row r="56" spans="1:13" ht="39.75" customHeight="1" x14ac:dyDescent="0.2">
      <c r="A56" s="5" t="s">
        <v>203</v>
      </c>
      <c r="B56" s="5" t="s">
        <v>204</v>
      </c>
      <c r="C56" s="6" t="s">
        <v>205</v>
      </c>
      <c r="D56" s="6" t="s">
        <v>212</v>
      </c>
      <c r="E56" s="7"/>
      <c r="F56" s="8">
        <v>4</v>
      </c>
      <c r="G56" s="9" t="str">
        <f t="shared" si="2"/>
        <v>—</v>
      </c>
      <c r="H56" s="10" t="s">
        <v>213</v>
      </c>
      <c r="I56" s="11"/>
      <c r="J56" s="7"/>
      <c r="K56" s="10" t="s">
        <v>214</v>
      </c>
      <c r="L56" s="7"/>
      <c r="M56" s="7"/>
    </row>
    <row r="57" spans="1:13" ht="39.75" customHeight="1" x14ac:dyDescent="0.2">
      <c r="A57" s="5" t="s">
        <v>203</v>
      </c>
      <c r="B57" s="5" t="s">
        <v>204</v>
      </c>
      <c r="C57" s="6" t="s">
        <v>215</v>
      </c>
      <c r="D57" s="6" t="s">
        <v>216</v>
      </c>
      <c r="E57" s="7"/>
      <c r="F57" s="8">
        <v>3</v>
      </c>
      <c r="G57" s="9" t="str">
        <f t="shared" si="2"/>
        <v>—</v>
      </c>
      <c r="H57" s="10" t="s">
        <v>217</v>
      </c>
      <c r="I57" s="11"/>
      <c r="J57" s="7"/>
      <c r="K57" s="10" t="s">
        <v>218</v>
      </c>
      <c r="L57" s="7"/>
      <c r="M57" s="7"/>
    </row>
    <row r="58" spans="1:13" ht="39.75" customHeight="1" x14ac:dyDescent="0.2">
      <c r="A58" s="5" t="s">
        <v>203</v>
      </c>
      <c r="B58" s="5" t="s">
        <v>204</v>
      </c>
      <c r="C58" s="6" t="s">
        <v>215</v>
      </c>
      <c r="D58" s="6" t="s">
        <v>219</v>
      </c>
      <c r="E58" s="7"/>
      <c r="F58" s="8">
        <v>4</v>
      </c>
      <c r="G58" s="9" t="str">
        <f t="shared" si="2"/>
        <v>—</v>
      </c>
      <c r="H58" s="10" t="s">
        <v>220</v>
      </c>
      <c r="I58" s="11"/>
      <c r="J58" s="7"/>
      <c r="K58" s="10" t="s">
        <v>221</v>
      </c>
      <c r="L58" s="7"/>
      <c r="M58" s="7"/>
    </row>
    <row r="59" spans="1:13" ht="39.75" customHeight="1" x14ac:dyDescent="0.2">
      <c r="A59" s="5" t="s">
        <v>203</v>
      </c>
      <c r="B59" s="5" t="s">
        <v>204</v>
      </c>
      <c r="C59" s="6" t="s">
        <v>215</v>
      </c>
      <c r="D59" s="6" t="s">
        <v>222</v>
      </c>
      <c r="E59" s="7"/>
      <c r="F59" s="8">
        <v>4</v>
      </c>
      <c r="G59" s="9" t="str">
        <f t="shared" si="2"/>
        <v>—</v>
      </c>
      <c r="H59" s="10" t="s">
        <v>223</v>
      </c>
      <c r="I59" s="11"/>
      <c r="J59" s="7"/>
      <c r="K59" s="10" t="s">
        <v>224</v>
      </c>
      <c r="L59" s="7"/>
      <c r="M59" s="7"/>
    </row>
    <row r="60" spans="1:13" ht="39.75" customHeight="1" x14ac:dyDescent="0.2">
      <c r="A60" s="5" t="s">
        <v>203</v>
      </c>
      <c r="B60" s="5" t="s">
        <v>204</v>
      </c>
      <c r="C60" s="6" t="s">
        <v>215</v>
      </c>
      <c r="D60" s="6" t="s">
        <v>225</v>
      </c>
      <c r="E60" s="7"/>
      <c r="F60" s="8">
        <v>4</v>
      </c>
      <c r="G60" s="9" t="str">
        <f t="shared" si="2"/>
        <v>—</v>
      </c>
      <c r="H60" s="10" t="s">
        <v>226</v>
      </c>
      <c r="I60" s="11" t="s">
        <v>136</v>
      </c>
      <c r="J60" s="7"/>
      <c r="K60" s="10" t="s">
        <v>227</v>
      </c>
      <c r="L60" s="7"/>
      <c r="M60" s="7"/>
    </row>
    <row r="61" spans="1:13" ht="39.75" customHeight="1" x14ac:dyDescent="0.2">
      <c r="A61" s="5" t="s">
        <v>203</v>
      </c>
      <c r="B61" s="5" t="s">
        <v>204</v>
      </c>
      <c r="C61" s="6" t="s">
        <v>215</v>
      </c>
      <c r="D61" s="6" t="s">
        <v>228</v>
      </c>
      <c r="E61" s="7"/>
      <c r="F61" s="8">
        <v>4</v>
      </c>
      <c r="G61" s="9" t="str">
        <f t="shared" si="2"/>
        <v>—</v>
      </c>
      <c r="H61" s="10" t="s">
        <v>229</v>
      </c>
      <c r="I61" s="11"/>
      <c r="J61" s="7"/>
      <c r="K61" s="10" t="s">
        <v>230</v>
      </c>
      <c r="L61" s="7"/>
      <c r="M61" s="7"/>
    </row>
    <row r="62" spans="1:13" ht="32.25" customHeight="1" x14ac:dyDescent="0.2">
      <c r="A62" s="5" t="s">
        <v>203</v>
      </c>
      <c r="B62" s="5" t="s">
        <v>204</v>
      </c>
      <c r="C62" s="6" t="s">
        <v>215</v>
      </c>
      <c r="D62" s="6" t="s">
        <v>231</v>
      </c>
      <c r="E62" s="7"/>
      <c r="F62" s="8">
        <v>4</v>
      </c>
      <c r="G62" s="9" t="str">
        <f t="shared" si="2"/>
        <v>—</v>
      </c>
      <c r="H62" s="10" t="s">
        <v>232</v>
      </c>
      <c r="I62" s="11"/>
      <c r="J62" s="7"/>
      <c r="K62" s="10" t="s">
        <v>233</v>
      </c>
      <c r="L62" s="7"/>
      <c r="M62" s="7"/>
    </row>
    <row r="63" spans="1:13" ht="39.75" customHeight="1" x14ac:dyDescent="0.2">
      <c r="A63" s="5" t="s">
        <v>203</v>
      </c>
      <c r="B63" s="5" t="s">
        <v>204</v>
      </c>
      <c r="C63" s="6" t="s">
        <v>234</v>
      </c>
      <c r="D63" s="6" t="s">
        <v>235</v>
      </c>
      <c r="E63" s="7"/>
      <c r="F63" s="8">
        <v>4</v>
      </c>
      <c r="G63" s="9" t="str">
        <f t="shared" si="2"/>
        <v>—</v>
      </c>
      <c r="H63" s="10" t="s">
        <v>236</v>
      </c>
      <c r="I63" s="11"/>
      <c r="J63" s="7"/>
      <c r="K63" s="10" t="s">
        <v>237</v>
      </c>
      <c r="L63" s="7"/>
      <c r="M63" s="7"/>
    </row>
    <row r="64" spans="1:13" ht="39.75" customHeight="1" x14ac:dyDescent="0.2">
      <c r="A64" s="5" t="s">
        <v>203</v>
      </c>
      <c r="B64" s="5" t="s">
        <v>204</v>
      </c>
      <c r="C64" s="6" t="s">
        <v>238</v>
      </c>
      <c r="D64" s="6" t="s">
        <v>239</v>
      </c>
      <c r="E64" s="7"/>
      <c r="F64" s="8">
        <v>4</v>
      </c>
      <c r="G64" s="9" t="str">
        <f t="shared" si="2"/>
        <v>—</v>
      </c>
      <c r="H64" s="10" t="s">
        <v>240</v>
      </c>
      <c r="I64" s="11"/>
      <c r="J64" s="7"/>
      <c r="K64" s="10" t="s">
        <v>241</v>
      </c>
      <c r="L64" s="7"/>
      <c r="M64" s="7"/>
    </row>
    <row r="65" spans="1:13" ht="39.75" customHeight="1" x14ac:dyDescent="0.2">
      <c r="A65" s="5" t="s">
        <v>203</v>
      </c>
      <c r="B65" s="5" t="s">
        <v>204</v>
      </c>
      <c r="C65" s="6" t="s">
        <v>238</v>
      </c>
      <c r="D65" s="6" t="s">
        <v>242</v>
      </c>
      <c r="E65" s="7"/>
      <c r="F65" s="8">
        <v>3</v>
      </c>
      <c r="G65" s="9" t="str">
        <f t="shared" si="2"/>
        <v>—</v>
      </c>
      <c r="H65" s="10" t="s">
        <v>243</v>
      </c>
      <c r="I65" s="11"/>
      <c r="J65" s="7"/>
      <c r="K65" s="10" t="s">
        <v>244</v>
      </c>
      <c r="L65" s="7"/>
      <c r="M65" s="7"/>
    </row>
    <row r="66" spans="1:13" ht="39.75" customHeight="1" x14ac:dyDescent="0.2">
      <c r="A66" s="5" t="s">
        <v>203</v>
      </c>
      <c r="B66" s="5" t="s">
        <v>204</v>
      </c>
      <c r="C66" s="6" t="s">
        <v>238</v>
      </c>
      <c r="D66" s="6" t="s">
        <v>245</v>
      </c>
      <c r="E66" s="7"/>
      <c r="F66" s="8">
        <v>4</v>
      </c>
      <c r="G66" s="9" t="str">
        <f t="shared" si="2"/>
        <v>—</v>
      </c>
      <c r="H66" s="10" t="s">
        <v>246</v>
      </c>
      <c r="I66" s="11"/>
      <c r="J66" s="7"/>
      <c r="K66" s="10" t="s">
        <v>247</v>
      </c>
      <c r="L66" s="7"/>
      <c r="M66" s="7"/>
    </row>
    <row r="67" spans="1:13" ht="30" customHeight="1" x14ac:dyDescent="0.2">
      <c r="A67" s="5" t="s">
        <v>203</v>
      </c>
      <c r="B67" s="5" t="s">
        <v>204</v>
      </c>
      <c r="C67" s="6" t="s">
        <v>238</v>
      </c>
      <c r="D67" s="6" t="s">
        <v>248</v>
      </c>
      <c r="E67" s="7"/>
      <c r="F67" s="8">
        <v>4</v>
      </c>
      <c r="G67" s="9" t="str">
        <f t="shared" si="2"/>
        <v>—</v>
      </c>
      <c r="H67" s="10" t="s">
        <v>249</v>
      </c>
      <c r="I67" s="11"/>
      <c r="J67" s="7"/>
      <c r="K67" s="10" t="s">
        <v>250</v>
      </c>
      <c r="L67" s="7"/>
      <c r="M67" s="7"/>
    </row>
    <row r="68" spans="1:13" ht="30" customHeight="1" x14ac:dyDescent="0.2">
      <c r="A68" s="5" t="s">
        <v>203</v>
      </c>
      <c r="B68" s="5" t="s">
        <v>204</v>
      </c>
      <c r="C68" s="6" t="s">
        <v>238</v>
      </c>
      <c r="D68" s="6" t="s">
        <v>251</v>
      </c>
      <c r="E68" s="7"/>
      <c r="F68" s="8">
        <v>4</v>
      </c>
      <c r="G68" s="9" t="str">
        <f t="shared" si="2"/>
        <v>—</v>
      </c>
      <c r="H68" s="10" t="s">
        <v>252</v>
      </c>
      <c r="I68" s="11"/>
      <c r="J68" s="7"/>
      <c r="K68" s="10" t="s">
        <v>253</v>
      </c>
      <c r="L68" s="7"/>
      <c r="M68" s="7"/>
    </row>
    <row r="69" spans="1:13" ht="39.75" customHeight="1" x14ac:dyDescent="0.2">
      <c r="A69" s="5" t="s">
        <v>203</v>
      </c>
      <c r="B69" s="5" t="s">
        <v>204</v>
      </c>
      <c r="C69" s="6" t="s">
        <v>238</v>
      </c>
      <c r="D69" s="6" t="s">
        <v>254</v>
      </c>
      <c r="E69" s="7"/>
      <c r="F69" s="8">
        <v>4</v>
      </c>
      <c r="G69" s="9" t="str">
        <f t="shared" si="2"/>
        <v>—</v>
      </c>
      <c r="H69" s="10" t="s">
        <v>252</v>
      </c>
      <c r="I69" s="11"/>
      <c r="J69" s="7"/>
      <c r="K69" s="10" t="s">
        <v>255</v>
      </c>
      <c r="L69" s="7"/>
      <c r="M69" s="7"/>
    </row>
    <row r="70" spans="1:13" ht="30" customHeight="1" x14ac:dyDescent="0.2">
      <c r="A70" s="5" t="s">
        <v>203</v>
      </c>
      <c r="B70" s="5" t="s">
        <v>204</v>
      </c>
      <c r="C70" s="6" t="s">
        <v>238</v>
      </c>
      <c r="D70" s="6" t="s">
        <v>256</v>
      </c>
      <c r="E70" s="7"/>
      <c r="F70" s="8">
        <v>4</v>
      </c>
      <c r="G70" s="9" t="str">
        <f t="shared" si="2"/>
        <v>—</v>
      </c>
      <c r="H70" s="10" t="s">
        <v>257</v>
      </c>
      <c r="I70" s="11"/>
      <c r="J70" s="7"/>
      <c r="K70" s="10" t="s">
        <v>258</v>
      </c>
      <c r="L70" s="7"/>
      <c r="M70" s="7"/>
    </row>
    <row r="71" spans="1:13" ht="39.75" customHeight="1" x14ac:dyDescent="0.2">
      <c r="A71" s="5" t="s">
        <v>203</v>
      </c>
      <c r="B71" s="5" t="s">
        <v>204</v>
      </c>
      <c r="C71" s="6" t="s">
        <v>238</v>
      </c>
      <c r="D71" s="6" t="s">
        <v>259</v>
      </c>
      <c r="E71" s="7"/>
      <c r="F71" s="8">
        <v>4</v>
      </c>
      <c r="G71" s="9" t="str">
        <f t="shared" si="2"/>
        <v>—</v>
      </c>
      <c r="H71" s="10" t="s">
        <v>260</v>
      </c>
      <c r="I71" s="11"/>
      <c r="J71" s="7"/>
      <c r="K71" s="10" t="s">
        <v>261</v>
      </c>
      <c r="L71" s="7"/>
      <c r="M71" s="7"/>
    </row>
    <row r="72" spans="1:13" ht="39.75" customHeight="1" x14ac:dyDescent="0.2">
      <c r="A72" s="5" t="s">
        <v>203</v>
      </c>
      <c r="B72" s="5" t="s">
        <v>204</v>
      </c>
      <c r="C72" s="6" t="s">
        <v>262</v>
      </c>
      <c r="D72" s="6" t="s">
        <v>263</v>
      </c>
      <c r="E72" s="7"/>
      <c r="F72" s="8">
        <v>4</v>
      </c>
      <c r="G72" s="9" t="str">
        <f t="shared" si="2"/>
        <v>—</v>
      </c>
      <c r="H72" s="10" t="s">
        <v>264</v>
      </c>
      <c r="I72" s="11"/>
      <c r="J72" s="7"/>
      <c r="K72" s="10" t="s">
        <v>265</v>
      </c>
      <c r="L72" s="7"/>
      <c r="M72" s="7"/>
    </row>
    <row r="73" spans="1:13" ht="39.75" customHeight="1" x14ac:dyDescent="0.2">
      <c r="A73" s="5" t="s">
        <v>203</v>
      </c>
      <c r="B73" s="5" t="s">
        <v>204</v>
      </c>
      <c r="C73" s="6" t="s">
        <v>262</v>
      </c>
      <c r="D73" s="6" t="s">
        <v>266</v>
      </c>
      <c r="E73" s="7"/>
      <c r="F73" s="8">
        <v>3</v>
      </c>
      <c r="G73" s="9" t="str">
        <f t="shared" si="2"/>
        <v>—</v>
      </c>
      <c r="H73" s="10" t="s">
        <v>267</v>
      </c>
      <c r="I73" s="11"/>
      <c r="J73" s="7"/>
      <c r="K73" s="10" t="s">
        <v>268</v>
      </c>
      <c r="L73" s="7"/>
      <c r="M73" s="7"/>
    </row>
    <row r="74" spans="1:13" ht="15" customHeight="1" x14ac:dyDescent="0.2">
      <c r="A74" s="23" t="s">
        <v>269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 ht="39.75" customHeight="1" x14ac:dyDescent="0.2">
      <c r="A75" s="5" t="s">
        <v>270</v>
      </c>
      <c r="B75" s="5" t="s">
        <v>271</v>
      </c>
      <c r="C75" s="6" t="s">
        <v>272</v>
      </c>
      <c r="D75" s="6" t="s">
        <v>273</v>
      </c>
      <c r="E75" s="7"/>
      <c r="F75" s="8">
        <v>3</v>
      </c>
      <c r="G75" s="9" t="str">
        <f t="shared" ref="G75:G84" si="3">IF(E75="","—",IF(F75&gt;E75,"▲",IF(F75&lt;E75,"▼","=")))</f>
        <v>—</v>
      </c>
      <c r="H75" s="10" t="s">
        <v>274</v>
      </c>
      <c r="I75" s="11"/>
      <c r="J75" s="7"/>
      <c r="K75" s="10" t="s">
        <v>275</v>
      </c>
      <c r="L75" s="7"/>
      <c r="M75" s="7"/>
    </row>
    <row r="76" spans="1:13" ht="39.75" customHeight="1" x14ac:dyDescent="0.2">
      <c r="A76" s="5" t="s">
        <v>270</v>
      </c>
      <c r="B76" s="5" t="s">
        <v>271</v>
      </c>
      <c r="C76" s="6" t="s">
        <v>272</v>
      </c>
      <c r="D76" s="6" t="s">
        <v>276</v>
      </c>
      <c r="E76" s="7"/>
      <c r="F76" s="8">
        <v>4</v>
      </c>
      <c r="G76" s="9" t="str">
        <f t="shared" si="3"/>
        <v>—</v>
      </c>
      <c r="H76" s="10" t="s">
        <v>277</v>
      </c>
      <c r="I76" s="11"/>
      <c r="J76" s="7"/>
      <c r="K76" s="10" t="s">
        <v>278</v>
      </c>
      <c r="L76" s="7"/>
      <c r="M76" s="7"/>
    </row>
    <row r="77" spans="1:13" ht="39.75" customHeight="1" x14ac:dyDescent="0.2">
      <c r="A77" s="5" t="s">
        <v>270</v>
      </c>
      <c r="B77" s="5" t="s">
        <v>271</v>
      </c>
      <c r="C77" s="6" t="s">
        <v>279</v>
      </c>
      <c r="D77" s="6" t="s">
        <v>280</v>
      </c>
      <c r="E77" s="7"/>
      <c r="F77" s="8">
        <v>4</v>
      </c>
      <c r="G77" s="9" t="str">
        <f t="shared" si="3"/>
        <v>—</v>
      </c>
      <c r="H77" s="10" t="s">
        <v>281</v>
      </c>
      <c r="I77" s="11"/>
      <c r="J77" s="7"/>
      <c r="K77" s="10" t="s">
        <v>282</v>
      </c>
      <c r="L77" s="7"/>
      <c r="M77" s="7"/>
    </row>
    <row r="78" spans="1:13" ht="39.75" customHeight="1" x14ac:dyDescent="0.2">
      <c r="A78" s="5" t="s">
        <v>270</v>
      </c>
      <c r="B78" s="5" t="s">
        <v>271</v>
      </c>
      <c r="C78" s="6" t="s">
        <v>279</v>
      </c>
      <c r="D78" s="6" t="s">
        <v>283</v>
      </c>
      <c r="E78" s="7"/>
      <c r="F78" s="8">
        <v>4</v>
      </c>
      <c r="G78" s="9" t="str">
        <f t="shared" si="3"/>
        <v>—</v>
      </c>
      <c r="H78" s="10" t="s">
        <v>284</v>
      </c>
      <c r="I78" s="11"/>
      <c r="J78" s="7"/>
      <c r="K78" s="10" t="s">
        <v>285</v>
      </c>
      <c r="L78" s="7"/>
      <c r="M78" s="7"/>
    </row>
    <row r="79" spans="1:13" ht="39.75" customHeight="1" x14ac:dyDescent="0.2">
      <c r="A79" s="5" t="s">
        <v>270</v>
      </c>
      <c r="B79" s="5" t="s">
        <v>271</v>
      </c>
      <c r="C79" s="6" t="s">
        <v>279</v>
      </c>
      <c r="D79" s="6" t="s">
        <v>286</v>
      </c>
      <c r="E79" s="7"/>
      <c r="F79" s="8">
        <v>3</v>
      </c>
      <c r="G79" s="9" t="str">
        <f t="shared" si="3"/>
        <v>—</v>
      </c>
      <c r="H79" s="10" t="s">
        <v>287</v>
      </c>
      <c r="I79" s="11"/>
      <c r="J79" s="7"/>
      <c r="K79" s="10" t="s">
        <v>288</v>
      </c>
      <c r="L79" s="7"/>
      <c r="M79" s="7"/>
    </row>
    <row r="80" spans="1:13" ht="32.25" customHeight="1" x14ac:dyDescent="0.2">
      <c r="A80" s="5" t="s">
        <v>270</v>
      </c>
      <c r="B80" s="5" t="s">
        <v>271</v>
      </c>
      <c r="C80" s="6" t="s">
        <v>279</v>
      </c>
      <c r="D80" s="6" t="s">
        <v>289</v>
      </c>
      <c r="E80" s="7"/>
      <c r="F80" s="8">
        <v>4</v>
      </c>
      <c r="G80" s="9" t="str">
        <f t="shared" si="3"/>
        <v>—</v>
      </c>
      <c r="H80" s="10" t="s">
        <v>290</v>
      </c>
      <c r="I80" s="11"/>
      <c r="J80" s="7"/>
      <c r="K80" s="10" t="s">
        <v>291</v>
      </c>
      <c r="L80" s="7"/>
      <c r="M80" s="7"/>
    </row>
    <row r="81" spans="1:13" ht="39.75" customHeight="1" x14ac:dyDescent="0.2">
      <c r="A81" s="5" t="s">
        <v>270</v>
      </c>
      <c r="B81" s="5" t="s">
        <v>271</v>
      </c>
      <c r="C81" s="6" t="s">
        <v>279</v>
      </c>
      <c r="D81" s="6" t="s">
        <v>292</v>
      </c>
      <c r="E81" s="7"/>
      <c r="F81" s="8">
        <v>4</v>
      </c>
      <c r="G81" s="9" t="str">
        <f t="shared" si="3"/>
        <v>—</v>
      </c>
      <c r="H81" s="10" t="s">
        <v>293</v>
      </c>
      <c r="I81" s="11"/>
      <c r="J81" s="7"/>
      <c r="K81" s="10" t="s">
        <v>294</v>
      </c>
      <c r="L81" s="7"/>
      <c r="M81" s="7"/>
    </row>
    <row r="82" spans="1:13" ht="39.75" customHeight="1" x14ac:dyDescent="0.2">
      <c r="A82" s="5" t="s">
        <v>270</v>
      </c>
      <c r="B82" s="5" t="s">
        <v>271</v>
      </c>
      <c r="C82" s="6" t="s">
        <v>295</v>
      </c>
      <c r="D82" s="6" t="s">
        <v>296</v>
      </c>
      <c r="E82" s="7"/>
      <c r="F82" s="8">
        <v>4</v>
      </c>
      <c r="G82" s="9" t="str">
        <f t="shared" si="3"/>
        <v>—</v>
      </c>
      <c r="H82" s="10" t="s">
        <v>297</v>
      </c>
      <c r="I82" s="11"/>
      <c r="J82" s="7"/>
      <c r="K82" s="10" t="s">
        <v>298</v>
      </c>
      <c r="L82" s="7"/>
      <c r="M82" s="7"/>
    </row>
    <row r="83" spans="1:13" ht="53.25" customHeight="1" x14ac:dyDescent="0.2">
      <c r="A83" s="5" t="s">
        <v>270</v>
      </c>
      <c r="B83" s="5" t="s">
        <v>271</v>
      </c>
      <c r="C83" s="6" t="s">
        <v>295</v>
      </c>
      <c r="D83" s="6" t="s">
        <v>299</v>
      </c>
      <c r="E83" s="7"/>
      <c r="F83" s="8">
        <v>3</v>
      </c>
      <c r="G83" s="9" t="str">
        <f t="shared" si="3"/>
        <v>—</v>
      </c>
      <c r="H83" s="10" t="s">
        <v>300</v>
      </c>
      <c r="I83" s="11"/>
      <c r="J83" s="7"/>
      <c r="K83" s="10" t="s">
        <v>301</v>
      </c>
      <c r="L83" s="7"/>
      <c r="M83" s="7"/>
    </row>
    <row r="84" spans="1:13" ht="30" customHeight="1" x14ac:dyDescent="0.2">
      <c r="A84" s="5" t="s">
        <v>270</v>
      </c>
      <c r="B84" s="5" t="s">
        <v>271</v>
      </c>
      <c r="C84" s="6" t="s">
        <v>295</v>
      </c>
      <c r="D84" s="6" t="s">
        <v>302</v>
      </c>
      <c r="E84" s="7"/>
      <c r="F84" s="8">
        <v>4</v>
      </c>
      <c r="G84" s="9" t="str">
        <f t="shared" si="3"/>
        <v>—</v>
      </c>
      <c r="H84" s="10" t="s">
        <v>303</v>
      </c>
      <c r="I84" s="11"/>
      <c r="J84" s="7"/>
      <c r="K84" s="10" t="s">
        <v>304</v>
      </c>
      <c r="L84" s="7"/>
      <c r="M84" s="7"/>
    </row>
    <row r="85" spans="1:13" ht="15" customHeight="1" x14ac:dyDescent="0.2">
      <c r="A85" s="23" t="s">
        <v>305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 ht="39.75" customHeight="1" x14ac:dyDescent="0.2">
      <c r="A86" s="5" t="s">
        <v>306</v>
      </c>
      <c r="B86" s="5" t="s">
        <v>307</v>
      </c>
      <c r="C86" s="6" t="s">
        <v>308</v>
      </c>
      <c r="D86" s="6" t="s">
        <v>309</v>
      </c>
      <c r="E86" s="7"/>
      <c r="F86" s="8">
        <v>4</v>
      </c>
      <c r="G86" s="9" t="str">
        <f t="shared" ref="G86:G97" si="4">IF(E86="","—",IF(F86&gt;E86,"▲",IF(F86&lt;E86,"▼","=")))</f>
        <v>—</v>
      </c>
      <c r="H86" s="10" t="s">
        <v>310</v>
      </c>
      <c r="I86" s="11"/>
      <c r="J86" s="7"/>
      <c r="K86" s="10" t="s">
        <v>311</v>
      </c>
      <c r="L86" s="7"/>
      <c r="M86" s="7"/>
    </row>
    <row r="87" spans="1:13" ht="30" customHeight="1" x14ac:dyDescent="0.2">
      <c r="A87" s="5" t="s">
        <v>306</v>
      </c>
      <c r="B87" s="5" t="s">
        <v>307</v>
      </c>
      <c r="C87" s="6" t="s">
        <v>308</v>
      </c>
      <c r="D87" s="6" t="s">
        <v>312</v>
      </c>
      <c r="E87" s="7"/>
      <c r="F87" s="8">
        <v>4</v>
      </c>
      <c r="G87" s="9" t="str">
        <f t="shared" si="4"/>
        <v>—</v>
      </c>
      <c r="H87" s="10" t="s">
        <v>313</v>
      </c>
      <c r="I87" s="11"/>
      <c r="J87" s="7"/>
      <c r="K87" s="10" t="s">
        <v>314</v>
      </c>
      <c r="L87" s="7"/>
      <c r="M87" s="7"/>
    </row>
    <row r="88" spans="1:13" ht="39.75" customHeight="1" x14ac:dyDescent="0.2">
      <c r="A88" s="5" t="s">
        <v>306</v>
      </c>
      <c r="B88" s="5" t="s">
        <v>307</v>
      </c>
      <c r="C88" s="6" t="s">
        <v>308</v>
      </c>
      <c r="D88" s="6" t="s">
        <v>315</v>
      </c>
      <c r="E88" s="7"/>
      <c r="F88" s="8">
        <v>4</v>
      </c>
      <c r="G88" s="9" t="str">
        <f t="shared" si="4"/>
        <v>—</v>
      </c>
      <c r="H88" s="10" t="s">
        <v>316</v>
      </c>
      <c r="I88" s="11"/>
      <c r="J88" s="7"/>
      <c r="K88" s="10" t="s">
        <v>317</v>
      </c>
      <c r="L88" s="7"/>
      <c r="M88" s="7"/>
    </row>
    <row r="89" spans="1:13" ht="39.75" customHeight="1" x14ac:dyDescent="0.2">
      <c r="A89" s="5" t="s">
        <v>306</v>
      </c>
      <c r="B89" s="5" t="s">
        <v>307</v>
      </c>
      <c r="C89" s="6" t="s">
        <v>308</v>
      </c>
      <c r="D89" s="6" t="s">
        <v>318</v>
      </c>
      <c r="E89" s="7"/>
      <c r="F89" s="8">
        <v>3</v>
      </c>
      <c r="G89" s="9" t="str">
        <f t="shared" si="4"/>
        <v>—</v>
      </c>
      <c r="H89" s="10" t="s">
        <v>319</v>
      </c>
      <c r="I89" s="11"/>
      <c r="J89" s="7"/>
      <c r="K89" s="10" t="s">
        <v>320</v>
      </c>
      <c r="L89" s="7"/>
      <c r="M89" s="7"/>
    </row>
    <row r="90" spans="1:13" ht="30" customHeight="1" x14ac:dyDescent="0.2">
      <c r="A90" s="5" t="s">
        <v>306</v>
      </c>
      <c r="B90" s="5" t="s">
        <v>307</v>
      </c>
      <c r="C90" s="6" t="s">
        <v>308</v>
      </c>
      <c r="D90" s="6" t="s">
        <v>321</v>
      </c>
      <c r="E90" s="7"/>
      <c r="F90" s="8">
        <v>3</v>
      </c>
      <c r="G90" s="9" t="str">
        <f t="shared" si="4"/>
        <v>—</v>
      </c>
      <c r="H90" s="10" t="s">
        <v>322</v>
      </c>
      <c r="I90" s="11"/>
      <c r="J90" s="7"/>
      <c r="K90" s="10" t="s">
        <v>323</v>
      </c>
      <c r="L90" s="7"/>
      <c r="M90" s="7"/>
    </row>
    <row r="91" spans="1:13" ht="39.75" customHeight="1" x14ac:dyDescent="0.2">
      <c r="A91" s="5" t="s">
        <v>306</v>
      </c>
      <c r="B91" s="5" t="s">
        <v>307</v>
      </c>
      <c r="C91" s="6" t="s">
        <v>308</v>
      </c>
      <c r="D91" s="6" t="s">
        <v>324</v>
      </c>
      <c r="E91" s="7"/>
      <c r="F91" s="8">
        <v>4</v>
      </c>
      <c r="G91" s="9" t="str">
        <f t="shared" si="4"/>
        <v>—</v>
      </c>
      <c r="H91" s="10" t="s">
        <v>325</v>
      </c>
      <c r="I91" s="11"/>
      <c r="J91" s="7"/>
      <c r="K91" s="10" t="s">
        <v>326</v>
      </c>
      <c r="L91" s="7"/>
      <c r="M91" s="7"/>
    </row>
    <row r="92" spans="1:13" ht="30" customHeight="1" x14ac:dyDescent="0.2">
      <c r="A92" s="5" t="s">
        <v>306</v>
      </c>
      <c r="B92" s="5" t="s">
        <v>307</v>
      </c>
      <c r="C92" s="6" t="s">
        <v>308</v>
      </c>
      <c r="D92" s="6" t="s">
        <v>327</v>
      </c>
      <c r="E92" s="7"/>
      <c r="F92" s="8">
        <v>4</v>
      </c>
      <c r="G92" s="9" t="str">
        <f t="shared" si="4"/>
        <v>—</v>
      </c>
      <c r="H92" s="10" t="s">
        <v>328</v>
      </c>
      <c r="I92" s="11"/>
      <c r="J92" s="7"/>
      <c r="K92" s="10" t="s">
        <v>329</v>
      </c>
      <c r="L92" s="7"/>
      <c r="M92" s="7"/>
    </row>
    <row r="93" spans="1:13" ht="30" customHeight="1" x14ac:dyDescent="0.2">
      <c r="A93" s="5" t="s">
        <v>306</v>
      </c>
      <c r="B93" s="5" t="s">
        <v>307</v>
      </c>
      <c r="C93" s="6" t="s">
        <v>308</v>
      </c>
      <c r="D93" s="6" t="s">
        <v>330</v>
      </c>
      <c r="E93" s="7"/>
      <c r="F93" s="8">
        <v>4</v>
      </c>
      <c r="G93" s="9" t="str">
        <f t="shared" si="4"/>
        <v>—</v>
      </c>
      <c r="H93" s="10" t="s">
        <v>331</v>
      </c>
      <c r="I93" s="11"/>
      <c r="J93" s="7"/>
      <c r="K93" s="10" t="s">
        <v>332</v>
      </c>
      <c r="L93" s="7"/>
      <c r="M93" s="7"/>
    </row>
    <row r="94" spans="1:13" ht="39.75" customHeight="1" x14ac:dyDescent="0.2">
      <c r="A94" s="5" t="s">
        <v>306</v>
      </c>
      <c r="B94" s="5" t="s">
        <v>307</v>
      </c>
      <c r="C94" s="6" t="s">
        <v>333</v>
      </c>
      <c r="D94" s="6" t="s">
        <v>334</v>
      </c>
      <c r="E94" s="7"/>
      <c r="F94" s="8">
        <v>2</v>
      </c>
      <c r="G94" s="9" t="str">
        <f t="shared" si="4"/>
        <v>—</v>
      </c>
      <c r="H94" s="10" t="s">
        <v>335</v>
      </c>
      <c r="I94" s="11"/>
      <c r="J94" s="7"/>
      <c r="K94" s="10" t="s">
        <v>336</v>
      </c>
      <c r="L94" s="7"/>
      <c r="M94" s="7"/>
    </row>
    <row r="95" spans="1:13" ht="32.25" customHeight="1" x14ac:dyDescent="0.2">
      <c r="A95" s="5" t="s">
        <v>306</v>
      </c>
      <c r="B95" s="5" t="s">
        <v>307</v>
      </c>
      <c r="C95" s="6" t="s">
        <v>333</v>
      </c>
      <c r="D95" s="6" t="s">
        <v>337</v>
      </c>
      <c r="E95" s="7"/>
      <c r="F95" s="8">
        <v>3</v>
      </c>
      <c r="G95" s="9" t="str">
        <f t="shared" si="4"/>
        <v>—</v>
      </c>
      <c r="H95" s="10" t="s">
        <v>338</v>
      </c>
      <c r="I95" s="11"/>
      <c r="J95" s="7"/>
      <c r="K95" s="10" t="s">
        <v>339</v>
      </c>
      <c r="L95" s="7"/>
      <c r="M95" s="7"/>
    </row>
    <row r="96" spans="1:13" ht="32.25" customHeight="1" x14ac:dyDescent="0.2">
      <c r="A96" s="5" t="s">
        <v>306</v>
      </c>
      <c r="B96" s="5" t="s">
        <v>307</v>
      </c>
      <c r="C96" s="6" t="s">
        <v>333</v>
      </c>
      <c r="D96" s="6" t="s">
        <v>340</v>
      </c>
      <c r="E96" s="7"/>
      <c r="F96" s="8">
        <v>4</v>
      </c>
      <c r="G96" s="9" t="str">
        <f t="shared" si="4"/>
        <v>—</v>
      </c>
      <c r="H96" s="10" t="s">
        <v>341</v>
      </c>
      <c r="I96" s="11"/>
      <c r="J96" s="7"/>
      <c r="K96" s="10" t="s">
        <v>342</v>
      </c>
      <c r="L96" s="7"/>
      <c r="M96" s="7"/>
    </row>
    <row r="97" spans="1:13" ht="39.75" customHeight="1" x14ac:dyDescent="0.2">
      <c r="A97" s="5" t="s">
        <v>306</v>
      </c>
      <c r="B97" s="5" t="s">
        <v>307</v>
      </c>
      <c r="C97" s="6" t="s">
        <v>343</v>
      </c>
      <c r="D97" s="6" t="s">
        <v>344</v>
      </c>
      <c r="E97" s="7"/>
      <c r="F97" s="8">
        <v>4</v>
      </c>
      <c r="G97" s="9" t="str">
        <f t="shared" si="4"/>
        <v>—</v>
      </c>
      <c r="H97" s="10" t="s">
        <v>345</v>
      </c>
      <c r="I97" s="11"/>
      <c r="J97" s="7"/>
      <c r="K97" s="10" t="s">
        <v>346</v>
      </c>
      <c r="L97" s="7"/>
      <c r="M97" s="7"/>
    </row>
    <row r="98" spans="1:13" ht="15" customHeight="1" x14ac:dyDescent="0.2">
      <c r="A98" s="23" t="s">
        <v>347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1:13" ht="39.75" customHeight="1" x14ac:dyDescent="0.2">
      <c r="A99" s="5" t="s">
        <v>348</v>
      </c>
      <c r="B99" s="5" t="s">
        <v>349</v>
      </c>
      <c r="C99" s="6" t="s">
        <v>350</v>
      </c>
      <c r="D99" s="6" t="s">
        <v>351</v>
      </c>
      <c r="E99" s="7"/>
      <c r="F99" s="8">
        <v>3</v>
      </c>
      <c r="G99" s="9" t="str">
        <f>IF(E99="","—",IF(F99&gt;E99,"▲",IF(F99&lt;E99,"▼","=")))</f>
        <v>—</v>
      </c>
      <c r="H99" s="10" t="s">
        <v>352</v>
      </c>
      <c r="I99" s="11"/>
      <c r="J99" s="7"/>
      <c r="K99" s="10" t="s">
        <v>353</v>
      </c>
      <c r="L99" s="7"/>
      <c r="M99" s="7"/>
    </row>
    <row r="100" spans="1:13" ht="39.75" customHeight="1" x14ac:dyDescent="0.2">
      <c r="A100" s="5" t="s">
        <v>348</v>
      </c>
      <c r="B100" s="5" t="s">
        <v>349</v>
      </c>
      <c r="C100" s="6" t="s">
        <v>350</v>
      </c>
      <c r="D100" s="6" t="s">
        <v>354</v>
      </c>
      <c r="E100" s="7"/>
      <c r="F100" s="8">
        <v>3</v>
      </c>
      <c r="G100" s="9" t="str">
        <f>IF(E100="","—",IF(F100&gt;E100,"▲",IF(F100&lt;E100,"▼","=")))</f>
        <v>—</v>
      </c>
      <c r="H100" s="10" t="s">
        <v>355</v>
      </c>
      <c r="I100" s="11"/>
      <c r="J100" s="7"/>
      <c r="K100" s="10" t="s">
        <v>356</v>
      </c>
      <c r="L100" s="7"/>
      <c r="M100" s="7"/>
    </row>
    <row r="101" spans="1:13" ht="39.75" customHeight="1" x14ac:dyDescent="0.2">
      <c r="A101" s="5" t="s">
        <v>348</v>
      </c>
      <c r="B101" s="5" t="s">
        <v>349</v>
      </c>
      <c r="C101" s="6" t="s">
        <v>350</v>
      </c>
      <c r="D101" s="6" t="s">
        <v>357</v>
      </c>
      <c r="E101" s="7"/>
      <c r="F101" s="8">
        <v>3</v>
      </c>
      <c r="G101" s="9" t="str">
        <f>IF(E101="","—",IF(F101&gt;E101,"▲",IF(F101&lt;E101,"▼","=")))</f>
        <v>—</v>
      </c>
      <c r="H101" s="10" t="s">
        <v>358</v>
      </c>
      <c r="I101" s="11"/>
      <c r="J101" s="7"/>
      <c r="K101" s="10" t="s">
        <v>359</v>
      </c>
      <c r="L101" s="7"/>
      <c r="M101" s="7"/>
    </row>
    <row r="102" spans="1:13" ht="39.75" customHeight="1" x14ac:dyDescent="0.2">
      <c r="A102" s="5" t="s">
        <v>348</v>
      </c>
      <c r="B102" s="5" t="s">
        <v>349</v>
      </c>
      <c r="C102" s="6" t="s">
        <v>350</v>
      </c>
      <c r="D102" s="6" t="s">
        <v>360</v>
      </c>
      <c r="E102" s="7"/>
      <c r="F102" s="8">
        <v>4</v>
      </c>
      <c r="G102" s="9" t="str">
        <f>IF(E102="","—",IF(F102&gt;E102,"▲",IF(F102&lt;E102,"▼","=")))</f>
        <v>—</v>
      </c>
      <c r="H102" s="10" t="s">
        <v>361</v>
      </c>
      <c r="I102" s="11"/>
      <c r="J102" s="7"/>
      <c r="K102" s="10" t="s">
        <v>362</v>
      </c>
      <c r="L102" s="7"/>
      <c r="M102" s="7"/>
    </row>
    <row r="103" spans="1:13" ht="63.75" customHeight="1" x14ac:dyDescent="0.2">
      <c r="A103" s="5" t="s">
        <v>348</v>
      </c>
      <c r="B103" s="5" t="s">
        <v>349</v>
      </c>
      <c r="C103" s="6" t="s">
        <v>350</v>
      </c>
      <c r="D103" s="6" t="s">
        <v>363</v>
      </c>
      <c r="E103" s="7"/>
      <c r="F103" s="8">
        <v>4</v>
      </c>
      <c r="G103" s="9" t="str">
        <f>IF(E103="","—",IF(F103&gt;E103,"▲",IF(F103&lt;E103,"▼","=")))</f>
        <v>—</v>
      </c>
      <c r="H103" s="10" t="s">
        <v>364</v>
      </c>
      <c r="I103" s="11"/>
      <c r="J103" s="7"/>
      <c r="K103" s="10" t="s">
        <v>365</v>
      </c>
      <c r="L103" s="7"/>
      <c r="M103" s="7"/>
    </row>
  </sheetData>
  <mergeCells count="6">
    <mergeCell ref="A98:M98"/>
    <mergeCell ref="A2:M2"/>
    <mergeCell ref="A28:M28"/>
    <mergeCell ref="A53:M53"/>
    <mergeCell ref="A74:M74"/>
    <mergeCell ref="A85:M85"/>
  </mergeCells>
  <conditionalFormatting sqref="E2:F103">
    <cfRule type="cellIs" dxfId="9" priority="2" operator="equal">
      <formula>1</formula>
    </cfRule>
    <cfRule type="cellIs" dxfId="8" priority="3" operator="equal">
      <formula>2</formula>
    </cfRule>
    <cfRule type="cellIs" dxfId="7" priority="4" operator="equal">
      <formula>3</formula>
    </cfRule>
    <cfRule type="cellIs" dxfId="6" priority="5" operator="equal">
      <formula>4</formula>
    </cfRule>
  </conditionalFormatting>
  <conditionalFormatting sqref="J2:J103">
    <cfRule type="cellIs" dxfId="5" priority="10" operator="equal">
      <formula>"Discrepancia"</formula>
    </cfRule>
    <cfRule type="cellIs" dxfId="4" priority="11" operator="equal">
      <formula>"Revisar"</formula>
    </cfRule>
    <cfRule type="cellIs" dxfId="3" priority="12" operator="equal">
      <formula>"Coherente"</formula>
    </cfRule>
  </conditionalFormatting>
  <conditionalFormatting sqref="M2:M103">
    <cfRule type="cellIs" dxfId="2" priority="13" operator="equal">
      <formula>"Alta"</formula>
    </cfRule>
    <cfRule type="cellIs" dxfId="1" priority="14" operator="equal">
      <formula>"Media"</formula>
    </cfRule>
  </conditionalFormatting>
  <dataValidations count="4">
    <dataValidation type="list" allowBlank="1" sqref="E2:E103" xr:uid="{00000000-0002-0000-0100-000000000000}">
      <formula1>"1,2,3,4"</formula1>
      <formula2>0</formula2>
    </dataValidation>
    <dataValidation type="list" allowBlank="1" sqref="J2:J103" xr:uid="{00000000-0002-0000-0100-000001000000}">
      <formula1>"Coherente,Revisar,Discrepancia"</formula1>
      <formula2>0</formula2>
    </dataValidation>
    <dataValidation type="list" allowBlank="1" sqref="L2:L103" xr:uid="{00000000-0002-0000-0100-000002000000}">
      <formula1>"Sí,Parcial,No"</formula1>
      <formula2>0</formula2>
    </dataValidation>
    <dataValidation type="list" allowBlank="1" sqref="M2:M103" xr:uid="{00000000-0002-0000-0100-000003000000}">
      <formula1>"Alta,Media,Baja"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3"/>
  <sheetViews>
    <sheetView showGridLines="0" zoomScale="210" zoomScaleNormal="210" workbookViewId="0">
      <selection activeCell="G10" sqref="G10"/>
    </sheetView>
  </sheetViews>
  <sheetFormatPr baseColWidth="10" defaultColWidth="8.6640625" defaultRowHeight="15" x14ac:dyDescent="0.2"/>
  <cols>
    <col min="1" max="1" width="30" customWidth="1"/>
    <col min="2" max="6" width="11" customWidth="1"/>
    <col min="7" max="7" width="13" customWidth="1"/>
  </cols>
  <sheetData>
    <row r="1" spans="1:7" ht="15.75" customHeight="1" x14ac:dyDescent="0.2">
      <c r="A1" s="29" t="s">
        <v>366</v>
      </c>
      <c r="B1" s="29"/>
      <c r="C1" s="29"/>
      <c r="D1" s="29"/>
      <c r="E1" s="29"/>
      <c r="F1" s="29"/>
      <c r="G1" s="29"/>
    </row>
    <row r="3" spans="1:7" ht="15" customHeight="1" x14ac:dyDescent="0.2">
      <c r="A3" s="4" t="s">
        <v>367</v>
      </c>
      <c r="B3" s="4" t="s">
        <v>368</v>
      </c>
      <c r="C3" s="4" t="s">
        <v>369</v>
      </c>
      <c r="D3" s="4" t="s">
        <v>370</v>
      </c>
      <c r="E3" s="4" t="s">
        <v>371</v>
      </c>
      <c r="F3" s="4" t="s">
        <v>372</v>
      </c>
      <c r="G3" s="4" t="s">
        <v>373</v>
      </c>
    </row>
    <row r="4" spans="1:7" ht="15" customHeight="1" x14ac:dyDescent="0.2">
      <c r="A4" s="12" t="s">
        <v>37</v>
      </c>
      <c r="B4" s="9">
        <f>COUNTIF(Matriz_Revisión!A2:A103,"DIRECTIVO")</f>
        <v>25</v>
      </c>
      <c r="C4" s="9">
        <f>COUNTIFS(Matriz_Revisión!A2:A103,"DIRECTIVO",Matriz_Revisión!F2:F103,1)</f>
        <v>0</v>
      </c>
      <c r="D4" s="9">
        <f>COUNTIFS(Matriz_Revisión!A2:A103,"DIRECTIVO",Matriz_Revisión!F2:F103,2)</f>
        <v>0</v>
      </c>
      <c r="E4" s="9">
        <f>COUNTIFS(Matriz_Revisión!A2:A103,"DIRECTIVO",Matriz_Revisión!F2:F103,3)</f>
        <v>8</v>
      </c>
      <c r="F4" s="9">
        <f>COUNTIFS(Matriz_Revisión!A2:A103,"DIRECTIVO",Matriz_Revisión!F2:F103,4)</f>
        <v>17</v>
      </c>
      <c r="G4" s="13">
        <f>IFERROR(AVERAGEIF(Matriz_Revisión!A2:A103,"DIRECTIVO",Matriz_Revisión!F2:F103),"—")</f>
        <v>3.68</v>
      </c>
    </row>
    <row r="5" spans="1:7" ht="15" customHeight="1" x14ac:dyDescent="0.2">
      <c r="A5" s="12" t="s">
        <v>122</v>
      </c>
      <c r="B5" s="9">
        <f>COUNTIF(Matriz_Revisión!A2:A103,"ACADÉMICO PEDAGÓGICO")</f>
        <v>24</v>
      </c>
      <c r="C5" s="9">
        <f>COUNTIFS(Matriz_Revisión!A2:A103,"ACADÉMICO PEDAGÓGICO",Matriz_Revisión!F2:F103,1)</f>
        <v>0</v>
      </c>
      <c r="D5" s="9">
        <f>COUNTIFS(Matriz_Revisión!A2:A103,"ACADÉMICO PEDAGÓGICO",Matriz_Revisión!F2:F103,2)</f>
        <v>3</v>
      </c>
      <c r="E5" s="9">
        <f>COUNTIFS(Matriz_Revisión!A2:A103,"ACADÉMICO PEDAGÓGICO",Matriz_Revisión!F2:F103,3)</f>
        <v>3</v>
      </c>
      <c r="F5" s="9">
        <f>COUNTIFS(Matriz_Revisión!A2:A103,"ACADÉMICO PEDAGÓGICO",Matriz_Revisión!F2:F103,4)</f>
        <v>18</v>
      </c>
      <c r="G5" s="13">
        <f>IFERROR(AVERAGEIF(Matriz_Revisión!A2:A103,"ACADÉMICO PEDAGÓGICO",Matriz_Revisión!F2:F103),"—")</f>
        <v>3.625</v>
      </c>
    </row>
    <row r="6" spans="1:7" ht="15" customHeight="1" x14ac:dyDescent="0.2">
      <c r="A6" s="12" t="s">
        <v>203</v>
      </c>
      <c r="B6" s="9">
        <f>COUNTIF(Matriz_Revisión!A2:A103,"ADMINISTRATIVO FINANCIERO")</f>
        <v>20</v>
      </c>
      <c r="C6" s="9">
        <f>COUNTIFS(Matriz_Revisión!A2:A103,"ADMINISTRATIVO FINANCIERO",Matriz_Revisión!F2:F103,1)</f>
        <v>0</v>
      </c>
      <c r="D6" s="9">
        <f>COUNTIFS(Matriz_Revisión!A2:A103,"ADMINISTRATIVO FINANCIERO",Matriz_Revisión!F2:F103,2)</f>
        <v>0</v>
      </c>
      <c r="E6" s="9">
        <f>COUNTIFS(Matriz_Revisión!A2:A103,"ADMINISTRATIVO FINANCIERO",Matriz_Revisión!F2:F103,3)</f>
        <v>4</v>
      </c>
      <c r="F6" s="9">
        <f>COUNTIFS(Matriz_Revisión!A2:A103,"ADMINISTRATIVO FINANCIERO",Matriz_Revisión!F2:F103,4)</f>
        <v>16</v>
      </c>
      <c r="G6" s="13">
        <f>IFERROR(AVERAGEIF(Matriz_Revisión!A2:A103,"ADMINISTRATIVO FINANCIERO",Matriz_Revisión!F2:F103),"—")</f>
        <v>3.8</v>
      </c>
    </row>
    <row r="7" spans="1:7" ht="15" customHeight="1" x14ac:dyDescent="0.2">
      <c r="A7" s="12" t="s">
        <v>270</v>
      </c>
      <c r="B7" s="9">
        <f>COUNTIF(Matriz_Revisión!A2:A103,"SOCIAL COMUNITARIO")</f>
        <v>10</v>
      </c>
      <c r="C7" s="9">
        <f>COUNTIFS(Matriz_Revisión!A2:A103,"SOCIAL COMUNITARIO",Matriz_Revisión!F2:F103,1)</f>
        <v>0</v>
      </c>
      <c r="D7" s="9">
        <f>COUNTIFS(Matriz_Revisión!A2:A103,"SOCIAL COMUNITARIO",Matriz_Revisión!F2:F103,2)</f>
        <v>0</v>
      </c>
      <c r="E7" s="9">
        <f>COUNTIFS(Matriz_Revisión!A2:A103,"SOCIAL COMUNITARIO",Matriz_Revisión!F2:F103,3)</f>
        <v>3</v>
      </c>
      <c r="F7" s="9">
        <f>COUNTIFS(Matriz_Revisión!A2:A103,"SOCIAL COMUNITARIO",Matriz_Revisión!F2:F103,4)</f>
        <v>7</v>
      </c>
      <c r="G7" s="13">
        <f>IFERROR(AVERAGEIF(Matriz_Revisión!A2:A103,"SOCIAL COMUNITARIO",Matriz_Revisión!F2:F103),"—")</f>
        <v>3.7</v>
      </c>
    </row>
    <row r="8" spans="1:7" ht="15" customHeight="1" x14ac:dyDescent="0.2">
      <c r="A8" s="12" t="s">
        <v>306</v>
      </c>
      <c r="B8" s="9">
        <f>COUNTIF(Matriz_Revisión!A2:A103,"EVANGELIZADOR")</f>
        <v>12</v>
      </c>
      <c r="C8" s="9">
        <f>COUNTIFS(Matriz_Revisión!A2:A103,"EVANGELIZADOR",Matriz_Revisión!F2:F103,1)</f>
        <v>0</v>
      </c>
      <c r="D8" s="9">
        <f>COUNTIFS(Matriz_Revisión!A2:A103,"EVANGELIZADOR",Matriz_Revisión!F2:F103,2)</f>
        <v>1</v>
      </c>
      <c r="E8" s="9">
        <f>COUNTIFS(Matriz_Revisión!A2:A103,"EVANGELIZADOR",Matriz_Revisión!F2:F103,3)</f>
        <v>3</v>
      </c>
      <c r="F8" s="9">
        <f>COUNTIFS(Matriz_Revisión!A2:A103,"EVANGELIZADOR",Matriz_Revisión!F2:F103,4)</f>
        <v>8</v>
      </c>
      <c r="G8" s="13">
        <f>IFERROR(AVERAGEIF(Matriz_Revisión!A2:A103,"EVANGELIZADOR",Matriz_Revisión!F2:F103),"—")</f>
        <v>3.5833333333333335</v>
      </c>
    </row>
    <row r="9" spans="1:7" ht="15" customHeight="1" x14ac:dyDescent="0.2">
      <c r="A9" s="12" t="s">
        <v>348</v>
      </c>
      <c r="B9" s="9">
        <f>COUNTIF(Matriz_Revisión!A2:A103,"GESTIÓN DE CALIDAD")</f>
        <v>5</v>
      </c>
      <c r="C9" s="9">
        <f>COUNTIFS(Matriz_Revisión!A2:A103,"GESTIÓN DE CALIDAD",Matriz_Revisión!F2:F103,1)</f>
        <v>0</v>
      </c>
      <c r="D9" s="9">
        <f>COUNTIFS(Matriz_Revisión!A2:A103,"GESTIÓN DE CALIDAD",Matriz_Revisión!F2:F103,2)</f>
        <v>0</v>
      </c>
      <c r="E9" s="9">
        <f>COUNTIFS(Matriz_Revisión!A2:A103,"GESTIÓN DE CALIDAD",Matriz_Revisión!F2:F103,3)</f>
        <v>3</v>
      </c>
      <c r="F9" s="9">
        <f>COUNTIFS(Matriz_Revisión!A2:A103,"GESTIÓN DE CALIDAD",Matriz_Revisión!F2:F103,4)</f>
        <v>2</v>
      </c>
      <c r="G9" s="13">
        <f>IFERROR(AVERAGEIF(Matriz_Revisión!A2:A103,"GESTIÓN DE CALIDAD",Matriz_Revisión!F2:F103),"—")</f>
        <v>3.4</v>
      </c>
    </row>
    <row r="10" spans="1:7" ht="15" customHeight="1" x14ac:dyDescent="0.2">
      <c r="A10" s="14" t="s">
        <v>374</v>
      </c>
      <c r="B10" s="15">
        <f>SUM(B4:B9)</f>
        <v>96</v>
      </c>
      <c r="C10" s="15">
        <f>COUNTIF(Matriz_Revisión!F2:F103,1)</f>
        <v>0</v>
      </c>
      <c r="D10" s="15">
        <f>COUNTIF(Matriz_Revisión!F2:F103,2)</f>
        <v>4</v>
      </c>
      <c r="E10" s="15">
        <f>COUNTIF(Matriz_Revisión!F2:F103,3)</f>
        <v>24</v>
      </c>
      <c r="F10" s="15">
        <f>COUNTIF(Matriz_Revisión!F2:F103,4)</f>
        <v>68</v>
      </c>
      <c r="G10" s="16">
        <f>IFERROR(AVERAGE(Matriz_Revisión!F2:F103),"—")</f>
        <v>3.6666666666666665</v>
      </c>
    </row>
    <row r="12" spans="1:7" ht="15" customHeight="1" x14ac:dyDescent="0.2">
      <c r="A12" s="30" t="s">
        <v>375</v>
      </c>
      <c r="B12" s="30"/>
      <c r="C12" s="30"/>
      <c r="D12" s="30"/>
      <c r="E12" s="30"/>
      <c r="F12" s="30"/>
      <c r="G12" s="30"/>
    </row>
    <row r="13" spans="1:7" ht="15" customHeight="1" x14ac:dyDescent="0.2">
      <c r="A13" s="30"/>
      <c r="B13" s="30"/>
      <c r="C13" s="30"/>
      <c r="D13" s="30"/>
      <c r="E13" s="30"/>
      <c r="F13" s="30"/>
      <c r="G13" s="30"/>
    </row>
  </sheetData>
  <mergeCells count="2">
    <mergeCell ref="A1:G1"/>
    <mergeCell ref="A12:G13"/>
  </mergeCells>
  <conditionalFormatting sqref="G4:G10">
    <cfRule type="colorScale" priority="2">
      <colorScale>
        <cfvo type="num" val="2"/>
        <cfvo type="num" val="3"/>
        <cfvo type="num" val="4"/>
        <color rgb="FFF4B7B7"/>
        <color rgb="FFFFE08A"/>
        <color rgb="FFC6E0B4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1"/>
  <sheetViews>
    <sheetView showGridLines="0" zoomScale="240" zoomScaleNormal="240" workbookViewId="0">
      <selection activeCell="C10" sqref="C10"/>
    </sheetView>
  </sheetViews>
  <sheetFormatPr baseColWidth="10" defaultColWidth="8.6640625" defaultRowHeight="15" x14ac:dyDescent="0.2"/>
  <cols>
    <col min="1" max="1" width="26" customWidth="1"/>
    <col min="2" max="4" width="12" customWidth="1"/>
    <col min="5" max="6" width="14" customWidth="1"/>
  </cols>
  <sheetData>
    <row r="1" spans="1:6" ht="15.75" customHeight="1" x14ac:dyDescent="0.2">
      <c r="A1" s="29" t="s">
        <v>376</v>
      </c>
      <c r="B1" s="29"/>
      <c r="C1" s="29"/>
      <c r="D1" s="29"/>
      <c r="E1" s="29"/>
      <c r="F1" s="29"/>
    </row>
    <row r="3" spans="1:6" ht="15" customHeight="1" x14ac:dyDescent="0.2">
      <c r="A3" s="31" t="s">
        <v>377</v>
      </c>
      <c r="B3" s="31"/>
      <c r="C3" s="31"/>
      <c r="D3" s="31"/>
      <c r="E3" s="31"/>
      <c r="F3" s="31"/>
    </row>
    <row r="4" spans="1:6" ht="15" customHeight="1" x14ac:dyDescent="0.2">
      <c r="A4" s="17" t="s">
        <v>378</v>
      </c>
      <c r="B4" s="17" t="s">
        <v>379</v>
      </c>
      <c r="C4" s="17" t="s">
        <v>380</v>
      </c>
      <c r="D4" s="17" t="s">
        <v>381</v>
      </c>
      <c r="E4" s="17" t="s">
        <v>382</v>
      </c>
      <c r="F4" s="17"/>
    </row>
    <row r="5" spans="1:6" ht="15" customHeight="1" x14ac:dyDescent="0.2">
      <c r="A5" s="12" t="s">
        <v>383</v>
      </c>
      <c r="B5" s="18">
        <v>324.60000000000002</v>
      </c>
      <c r="C5" s="18">
        <v>316</v>
      </c>
      <c r="D5" s="18">
        <v>304.8</v>
      </c>
      <c r="E5" s="19">
        <f t="shared" ref="E5:E10" si="0">D5-B5</f>
        <v>-19.800000000000011</v>
      </c>
      <c r="F5" s="9"/>
    </row>
    <row r="6" spans="1:6" ht="15" customHeight="1" x14ac:dyDescent="0.2">
      <c r="A6" s="12" t="s">
        <v>384</v>
      </c>
      <c r="B6" s="18">
        <v>65.599999999999994</v>
      </c>
      <c r="C6" s="18">
        <v>61.9</v>
      </c>
      <c r="D6" s="18">
        <v>60.3</v>
      </c>
      <c r="E6" s="19">
        <f t="shared" si="0"/>
        <v>-5.2999999999999972</v>
      </c>
      <c r="F6" s="9"/>
    </row>
    <row r="7" spans="1:6" ht="15" customHeight="1" x14ac:dyDescent="0.2">
      <c r="A7" s="12" t="s">
        <v>385</v>
      </c>
      <c r="B7" s="18">
        <v>64.8</v>
      </c>
      <c r="C7" s="18">
        <v>64.900000000000006</v>
      </c>
      <c r="D7" s="18">
        <v>62.9</v>
      </c>
      <c r="E7" s="19">
        <f t="shared" si="0"/>
        <v>-1.8999999999999986</v>
      </c>
      <c r="F7" s="9"/>
    </row>
    <row r="8" spans="1:6" ht="15" customHeight="1" x14ac:dyDescent="0.2">
      <c r="A8" s="12" t="s">
        <v>386</v>
      </c>
      <c r="B8" s="18">
        <v>63.6</v>
      </c>
      <c r="C8" s="18">
        <v>62.1</v>
      </c>
      <c r="D8" s="18">
        <v>59.6</v>
      </c>
      <c r="E8" s="19">
        <f t="shared" si="0"/>
        <v>-4</v>
      </c>
      <c r="F8" s="9"/>
    </row>
    <row r="9" spans="1:6" ht="15" customHeight="1" x14ac:dyDescent="0.2">
      <c r="A9" s="12" t="s">
        <v>387</v>
      </c>
      <c r="B9" s="18">
        <v>63.4</v>
      </c>
      <c r="C9" s="18">
        <v>60.9</v>
      </c>
      <c r="D9" s="18">
        <v>58.4</v>
      </c>
      <c r="E9" s="19">
        <f t="shared" si="0"/>
        <v>-5</v>
      </c>
      <c r="F9" s="9"/>
    </row>
    <row r="10" spans="1:6" ht="15" customHeight="1" x14ac:dyDescent="0.2">
      <c r="A10" s="12" t="s">
        <v>388</v>
      </c>
      <c r="B10" s="18">
        <v>71.400000000000006</v>
      </c>
      <c r="C10" s="18">
        <v>71.900000000000006</v>
      </c>
      <c r="D10" s="18">
        <v>69.2</v>
      </c>
      <c r="E10" s="19">
        <f t="shared" si="0"/>
        <v>-2.2000000000000028</v>
      </c>
      <c r="F10" s="9"/>
    </row>
    <row r="12" spans="1:6" ht="15" customHeight="1" x14ac:dyDescent="0.2">
      <c r="A12" s="31" t="s">
        <v>389</v>
      </c>
      <c r="B12" s="31"/>
      <c r="C12" s="31"/>
      <c r="D12" s="31"/>
      <c r="E12" s="31"/>
      <c r="F12" s="31"/>
    </row>
    <row r="13" spans="1:6" ht="15" customHeight="1" x14ac:dyDescent="0.2">
      <c r="A13" s="3" t="s">
        <v>390</v>
      </c>
      <c r="B13" s="32" t="s">
        <v>391</v>
      </c>
      <c r="C13" s="32"/>
      <c r="D13" s="32"/>
      <c r="E13" s="32"/>
      <c r="F13" s="32"/>
    </row>
    <row r="14" spans="1:6" ht="15" customHeight="1" x14ac:dyDescent="0.2">
      <c r="A14" s="3" t="s">
        <v>392</v>
      </c>
      <c r="B14" s="32" t="s">
        <v>393</v>
      </c>
      <c r="C14" s="32"/>
      <c r="D14" s="32"/>
      <c r="E14" s="32"/>
      <c r="F14" s="32"/>
    </row>
    <row r="15" spans="1:6" ht="15" customHeight="1" x14ac:dyDescent="0.2">
      <c r="A15" s="3" t="s">
        <v>394</v>
      </c>
      <c r="B15" s="32" t="s">
        <v>395</v>
      </c>
      <c r="C15" s="32"/>
      <c r="D15" s="32"/>
      <c r="E15" s="32"/>
      <c r="F15" s="32"/>
    </row>
    <row r="16" spans="1:6" ht="15" customHeight="1" x14ac:dyDescent="0.2">
      <c r="A16" s="3" t="s">
        <v>396</v>
      </c>
      <c r="B16" s="32" t="s">
        <v>397</v>
      </c>
      <c r="C16" s="32"/>
      <c r="D16" s="32"/>
      <c r="E16" s="32"/>
      <c r="F16" s="32"/>
    </row>
    <row r="17" spans="1:9" ht="15" customHeight="1" x14ac:dyDescent="0.2">
      <c r="A17" s="3" t="s">
        <v>398</v>
      </c>
      <c r="B17" s="32" t="s">
        <v>399</v>
      </c>
      <c r="C17" s="32"/>
      <c r="D17" s="32"/>
      <c r="E17" s="32"/>
      <c r="F17" s="32"/>
    </row>
    <row r="18" spans="1:9" ht="15" customHeight="1" x14ac:dyDescent="0.2">
      <c r="A18" s="3" t="s">
        <v>400</v>
      </c>
      <c r="B18" s="32" t="s">
        <v>401</v>
      </c>
      <c r="C18" s="32"/>
      <c r="D18" s="32"/>
      <c r="E18" s="32"/>
      <c r="F18" s="32"/>
    </row>
    <row r="19" spans="1:9" ht="15" customHeight="1" x14ac:dyDescent="0.2">
      <c r="A19" s="3" t="s">
        <v>402</v>
      </c>
      <c r="B19" s="32" t="s">
        <v>403</v>
      </c>
      <c r="C19" s="32"/>
      <c r="D19" s="32"/>
      <c r="E19" s="32"/>
      <c r="F19" s="32"/>
    </row>
    <row r="20" spans="1:9" ht="15" customHeight="1" x14ac:dyDescent="0.2">
      <c r="A20" s="3" t="s">
        <v>404</v>
      </c>
      <c r="B20" s="32" t="s">
        <v>405</v>
      </c>
      <c r="C20" s="32"/>
      <c r="D20" s="32"/>
      <c r="E20" s="32"/>
      <c r="F20" s="32"/>
    </row>
    <row r="22" spans="1:9" ht="15" customHeight="1" x14ac:dyDescent="0.2">
      <c r="A22" s="31" t="s">
        <v>406</v>
      </c>
      <c r="B22" s="31"/>
      <c r="C22" s="31"/>
      <c r="D22" s="31"/>
      <c r="E22" s="31"/>
      <c r="F22" s="31"/>
    </row>
    <row r="23" spans="1:9" ht="15" customHeight="1" x14ac:dyDescent="0.2">
      <c r="A23" s="17">
        <v>2015</v>
      </c>
      <c r="B23" s="17">
        <v>2016</v>
      </c>
      <c r="C23" s="17">
        <v>2017</v>
      </c>
      <c r="D23" s="17">
        <v>2018</v>
      </c>
      <c r="E23" s="17">
        <v>2019</v>
      </c>
      <c r="F23" s="17">
        <v>2020</v>
      </c>
      <c r="G23" s="17">
        <v>2021</v>
      </c>
      <c r="H23" s="17">
        <v>2022</v>
      </c>
      <c r="I23" s="17">
        <v>2024</v>
      </c>
    </row>
    <row r="24" spans="1:9" ht="15" customHeight="1" x14ac:dyDescent="0.2">
      <c r="A24" s="9">
        <v>803</v>
      </c>
      <c r="B24" s="9">
        <v>683</v>
      </c>
      <c r="C24" s="9">
        <v>636</v>
      </c>
      <c r="D24" s="9">
        <v>595</v>
      </c>
      <c r="E24" s="9">
        <v>553</v>
      </c>
      <c r="F24" s="9">
        <v>470</v>
      </c>
      <c r="G24" s="9">
        <v>446</v>
      </c>
      <c r="H24" s="9">
        <v>425</v>
      </c>
      <c r="I24" s="9">
        <v>503</v>
      </c>
    </row>
    <row r="26" spans="1:9" ht="15" customHeight="1" x14ac:dyDescent="0.2">
      <c r="A26" s="30" t="s">
        <v>407</v>
      </c>
      <c r="B26" s="30"/>
      <c r="C26" s="30"/>
      <c r="D26" s="30"/>
      <c r="E26" s="30"/>
      <c r="F26" s="30"/>
    </row>
    <row r="27" spans="1:9" ht="15" customHeight="1" x14ac:dyDescent="0.2">
      <c r="A27" s="30"/>
      <c r="B27" s="30"/>
      <c r="C27" s="30"/>
      <c r="D27" s="30"/>
      <c r="E27" s="30"/>
      <c r="F27" s="30"/>
    </row>
    <row r="29" spans="1:9" ht="15" customHeight="1" x14ac:dyDescent="0.2">
      <c r="A29" s="33" t="s">
        <v>408</v>
      </c>
      <c r="B29" s="33"/>
      <c r="C29" s="33"/>
      <c r="D29" s="33"/>
      <c r="E29" s="33"/>
      <c r="F29" s="33"/>
    </row>
    <row r="30" spans="1:9" ht="15" customHeight="1" x14ac:dyDescent="0.2">
      <c r="A30" s="33"/>
      <c r="B30" s="33"/>
      <c r="C30" s="33"/>
      <c r="D30" s="33"/>
      <c r="E30" s="33"/>
      <c r="F30" s="33"/>
    </row>
    <row r="31" spans="1:9" ht="15" customHeight="1" x14ac:dyDescent="0.2">
      <c r="A31" s="33"/>
      <c r="B31" s="33"/>
      <c r="C31" s="33"/>
      <c r="D31" s="33"/>
      <c r="E31" s="33"/>
      <c r="F31" s="33"/>
    </row>
  </sheetData>
  <mergeCells count="14">
    <mergeCell ref="B20:F20"/>
    <mergeCell ref="A22:F22"/>
    <mergeCell ref="A26:F27"/>
    <mergeCell ref="A29:F31"/>
    <mergeCell ref="B15:F15"/>
    <mergeCell ref="B16:F16"/>
    <mergeCell ref="B17:F17"/>
    <mergeCell ref="B18:F18"/>
    <mergeCell ref="B19:F19"/>
    <mergeCell ref="A1:F1"/>
    <mergeCell ref="A3:F3"/>
    <mergeCell ref="A12:F12"/>
    <mergeCell ref="B13:F13"/>
    <mergeCell ref="B14:F14"/>
  </mergeCells>
  <conditionalFormatting sqref="E5:E10">
    <cfRule type="cellIs" dxfId="0" priority="2" operator="less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6"/>
  <sheetViews>
    <sheetView showGridLines="0" zoomScale="143" zoomScaleNormal="100" workbookViewId="0">
      <selection activeCell="E6" sqref="E6"/>
    </sheetView>
  </sheetViews>
  <sheetFormatPr baseColWidth="10" defaultColWidth="8.6640625" defaultRowHeight="15" x14ac:dyDescent="0.2"/>
  <cols>
    <col min="1" max="1" width="34" customWidth="1"/>
    <col min="2" max="2" width="22" customWidth="1"/>
    <col min="3" max="3" width="16" customWidth="1"/>
    <col min="4" max="4" width="14" customWidth="1"/>
    <col min="5" max="5" width="20" customWidth="1"/>
    <col min="6" max="6" width="16" customWidth="1"/>
  </cols>
  <sheetData>
    <row r="1" spans="1:6" ht="15.75" customHeight="1" x14ac:dyDescent="0.2">
      <c r="A1" s="29" t="s">
        <v>409</v>
      </c>
      <c r="B1" s="29"/>
      <c r="C1" s="29"/>
      <c r="D1" s="29"/>
      <c r="E1" s="29"/>
      <c r="F1" s="29"/>
    </row>
    <row r="2" spans="1:6" ht="15" customHeight="1" x14ac:dyDescent="0.2">
      <c r="A2" s="34" t="s">
        <v>410</v>
      </c>
      <c r="B2" s="34"/>
      <c r="C2" s="34"/>
      <c r="D2" s="34"/>
      <c r="E2" s="34"/>
      <c r="F2" s="34"/>
    </row>
    <row r="4" spans="1:6" ht="15" customHeight="1" x14ac:dyDescent="0.2">
      <c r="A4" s="4" t="s">
        <v>411</v>
      </c>
      <c r="B4" s="4" t="s">
        <v>412</v>
      </c>
      <c r="C4" s="4" t="s">
        <v>413</v>
      </c>
      <c r="D4" s="4" t="s">
        <v>414</v>
      </c>
      <c r="E4" s="4" t="s">
        <v>415</v>
      </c>
      <c r="F4" s="4" t="s">
        <v>416</v>
      </c>
    </row>
    <row r="5" spans="1:6" ht="15" customHeight="1" x14ac:dyDescent="0.2">
      <c r="A5" s="6" t="s">
        <v>417</v>
      </c>
      <c r="B5" s="5" t="s">
        <v>418</v>
      </c>
      <c r="C5" s="20" t="s">
        <v>419</v>
      </c>
      <c r="D5" s="21"/>
      <c r="E5" s="21"/>
      <c r="F5" s="21"/>
    </row>
    <row r="6" spans="1:6" ht="15" customHeight="1" x14ac:dyDescent="0.2">
      <c r="A6" s="6" t="s">
        <v>420</v>
      </c>
      <c r="B6" s="5" t="s">
        <v>418</v>
      </c>
      <c r="C6" s="20" t="s">
        <v>421</v>
      </c>
      <c r="D6" s="21"/>
      <c r="E6" s="21"/>
      <c r="F6" s="21"/>
    </row>
    <row r="7" spans="1:6" ht="15" customHeight="1" x14ac:dyDescent="0.2">
      <c r="A7" s="6" t="s">
        <v>422</v>
      </c>
      <c r="B7" s="5" t="s">
        <v>418</v>
      </c>
      <c r="C7" s="20" t="s">
        <v>423</v>
      </c>
      <c r="D7" s="21"/>
      <c r="E7" s="21"/>
      <c r="F7" s="21"/>
    </row>
    <row r="8" spans="1:6" ht="15" customHeight="1" x14ac:dyDescent="0.2">
      <c r="A8" s="6" t="s">
        <v>424</v>
      </c>
      <c r="B8" s="5" t="s">
        <v>425</v>
      </c>
      <c r="C8" s="20" t="s">
        <v>426</v>
      </c>
      <c r="D8" s="21"/>
      <c r="E8" s="21"/>
      <c r="F8" s="21"/>
    </row>
    <row r="9" spans="1:6" ht="15" customHeight="1" x14ac:dyDescent="0.2">
      <c r="A9" s="6" t="s">
        <v>427</v>
      </c>
      <c r="B9" s="5" t="s">
        <v>428</v>
      </c>
      <c r="C9" s="20" t="s">
        <v>429</v>
      </c>
      <c r="D9" s="21"/>
      <c r="E9" s="21"/>
      <c r="F9" s="21"/>
    </row>
    <row r="10" spans="1:6" ht="15" customHeight="1" x14ac:dyDescent="0.2">
      <c r="A10" s="6" t="s">
        <v>430</v>
      </c>
      <c r="B10" s="5" t="s">
        <v>428</v>
      </c>
      <c r="C10" s="20" t="s">
        <v>431</v>
      </c>
      <c r="D10" s="21"/>
      <c r="E10" s="21"/>
      <c r="F10" s="21"/>
    </row>
    <row r="11" spans="1:6" ht="15" customHeight="1" x14ac:dyDescent="0.2">
      <c r="A11" s="6" t="s">
        <v>432</v>
      </c>
      <c r="B11" s="5" t="s">
        <v>433</v>
      </c>
      <c r="C11" s="20" t="s">
        <v>434</v>
      </c>
      <c r="D11" s="21"/>
      <c r="E11" s="21"/>
      <c r="F11" s="21"/>
    </row>
    <row r="12" spans="1:6" ht="15" customHeight="1" x14ac:dyDescent="0.2">
      <c r="A12" s="6" t="s">
        <v>435</v>
      </c>
      <c r="B12" s="5" t="s">
        <v>436</v>
      </c>
      <c r="C12" s="21" t="s">
        <v>437</v>
      </c>
      <c r="D12" s="21"/>
      <c r="E12" s="21"/>
      <c r="F12" s="21"/>
    </row>
    <row r="13" spans="1:6" ht="15" customHeight="1" x14ac:dyDescent="0.2">
      <c r="A13" s="6" t="s">
        <v>438</v>
      </c>
      <c r="B13" s="5" t="s">
        <v>439</v>
      </c>
      <c r="C13" s="20" t="s">
        <v>440</v>
      </c>
      <c r="D13" s="21"/>
      <c r="E13" s="21"/>
      <c r="F13" s="21"/>
    </row>
    <row r="15" spans="1:6" ht="15" customHeight="1" x14ac:dyDescent="0.2">
      <c r="A15" s="35" t="s">
        <v>441</v>
      </c>
      <c r="B15" s="35"/>
      <c r="C15" s="35"/>
      <c r="D15" s="35"/>
      <c r="E15" s="35"/>
      <c r="F15" s="35"/>
    </row>
    <row r="16" spans="1:6" ht="15" customHeight="1" x14ac:dyDescent="0.2">
      <c r="A16" s="35"/>
      <c r="B16" s="35"/>
      <c r="C16" s="35"/>
      <c r="D16" s="35"/>
      <c r="E16" s="35"/>
      <c r="F16" s="35"/>
    </row>
  </sheetData>
  <mergeCells count="3">
    <mergeCell ref="A1:F1"/>
    <mergeCell ref="A2:F2"/>
    <mergeCell ref="A15:F1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B1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00" customWidth="1"/>
  </cols>
  <sheetData>
    <row r="1" spans="2:2" ht="15.75" customHeight="1" x14ac:dyDescent="0.2">
      <c r="B1" s="1" t="s">
        <v>442</v>
      </c>
    </row>
    <row r="3" spans="2:2" ht="18" customHeight="1" x14ac:dyDescent="0.2">
      <c r="B3" s="22" t="s">
        <v>443</v>
      </c>
    </row>
    <row r="4" spans="2:2" ht="18" customHeight="1" x14ac:dyDescent="0.2">
      <c r="B4" s="2" t="s">
        <v>444</v>
      </c>
    </row>
    <row r="5" spans="2:2" ht="30" customHeight="1" x14ac:dyDescent="0.2">
      <c r="B5" s="22" t="s">
        <v>445</v>
      </c>
    </row>
    <row r="6" spans="2:2" ht="18" customHeight="1" x14ac:dyDescent="0.2">
      <c r="B6" s="22" t="s">
        <v>446</v>
      </c>
    </row>
    <row r="7" spans="2:2" ht="30" customHeight="1" x14ac:dyDescent="0.2">
      <c r="B7" s="2" t="s">
        <v>447</v>
      </c>
    </row>
    <row r="8" spans="2:2" ht="30" customHeight="1" x14ac:dyDescent="0.2">
      <c r="B8" s="2" t="s">
        <v>448</v>
      </c>
    </row>
    <row r="9" spans="2:2" ht="18" customHeight="1" x14ac:dyDescent="0.2">
      <c r="B9" s="2" t="s">
        <v>449</v>
      </c>
    </row>
    <row r="10" spans="2:2" ht="18" customHeight="1" x14ac:dyDescent="0.2">
      <c r="B10" s="22" t="s">
        <v>450</v>
      </c>
    </row>
    <row r="11" spans="2:2" ht="30" customHeight="1" x14ac:dyDescent="0.2">
      <c r="B11" s="2" t="s">
        <v>451</v>
      </c>
    </row>
    <row r="12" spans="2:2" ht="30" customHeight="1" x14ac:dyDescent="0.2">
      <c r="B12" s="2" t="s">
        <v>452</v>
      </c>
    </row>
    <row r="13" spans="2:2" ht="30" customHeight="1" x14ac:dyDescent="0.2">
      <c r="B13" s="2" t="s">
        <v>453</v>
      </c>
    </row>
    <row r="14" spans="2:2" ht="18" customHeight="1" x14ac:dyDescent="0.2">
      <c r="B14" s="2" t="s">
        <v>454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Matriz_Revisión</vt:lpstr>
      <vt:lpstr>Tablero_Perfil</vt:lpstr>
      <vt:lpstr>Evidencia_Externa</vt:lpstr>
      <vt:lpstr>Transverso_Calidad</vt:lpstr>
      <vt:lpstr>Notas_Método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MIREYA CASTILLO</cp:lastModifiedBy>
  <cp:revision>2</cp:revision>
  <dcterms:created xsi:type="dcterms:W3CDTF">2026-08-30T16:54:23Z</dcterms:created>
  <dcterms:modified xsi:type="dcterms:W3CDTF">2026-09-01T19:40:30Z</dcterms:modified>
  <dc:language>en-US</dc:language>
</cp:coreProperties>
</file>