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henryossa/Documents/EICIT-2026/008.Ma_Auxiliadora/000. Proceso/F2. Estudio de referentes/1.3.6 Matriz de Incorporación referentes/"/>
    </mc:Choice>
  </mc:AlternateContent>
  <xr:revisionPtr revIDLastSave="0" documentId="13_ncr:1_{C030DFE8-72FE-3D49-BEE8-0A997A6510BE}" xr6:coauthVersionLast="47" xr6:coauthVersionMax="47" xr10:uidLastSave="{00000000-0000-0000-0000-000000000000}"/>
  <bookViews>
    <workbookView xWindow="0" yWindow="600" windowWidth="28800" windowHeight="17400" tabRatio="500" activeTab="1" xr2:uid="{00000000-000D-0000-FFFF-FFFF00000000}"/>
  </bookViews>
  <sheets>
    <sheet name="Instructivo" sheetId="1" r:id="rId1"/>
    <sheet name="Fichas" sheetId="2" r:id="rId2"/>
    <sheet name="Resumen" sheetId="3" r:id="rId3"/>
    <sheet name="Listas" sheetId="4" state="hidden" r:id="rId4"/>
  </sheets>
  <definedNames>
    <definedName name="_xlnm.Print_Area" localSheetId="1">Fichas!$A$1:$S$80</definedName>
    <definedName name="_xlnm.Print_Area" localSheetId="0">Instructivo!$A$1:$B$40</definedName>
    <definedName name="_xlnm.Print_Area" localSheetId="2">Resumen!$A$1:$F$22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3" l="1"/>
  <c r="C17" i="3"/>
  <c r="C16" i="3"/>
  <c r="C13" i="3"/>
  <c r="C12" i="3"/>
  <c r="F10" i="3"/>
  <c r="F9" i="3"/>
  <c r="F8" i="3"/>
  <c r="C8" i="3"/>
  <c r="F7" i="3"/>
  <c r="C7" i="3"/>
  <c r="F6" i="3"/>
  <c r="C6" i="3"/>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C9" i="3" s="1"/>
</calcChain>
</file>

<file path=xl/sharedStrings.xml><?xml version="1.0" encoding="utf-8"?>
<sst xmlns="http://schemas.openxmlformats.org/spreadsheetml/2006/main" count="697" uniqueCount="363">
  <si>
    <t>EICIT · Acompañamiento a la actualización del PEI — ENSMA</t>
  </si>
  <si>
    <t>Libro de consolidación de fichas — Incorporación de los referentes de la Circular 0064 al PEI</t>
  </si>
  <si>
    <t>Estado de este libro (sep. 2026): prellenado por EICIT IA como PROPUESTA de incorporación de los 33 referentes de la Circular 0064 de 2026 (31 filas; los 2 «No aplica» se documentan aparte). Insumo interno de EICIT para la redacción del PEI ajustado del Colegio María Auxiliadora de Soacha. La deliberación, decisión y adopción corresponden a la ENSMA/CMA (Consejo Académico → Consejo Directivo → Rectoría). La columna «Ubicación en el PEI vigente» se ancla a la estructura de la plantilla SEM; los folios exactos se confirman en el inventario general.</t>
  </si>
  <si>
    <t>Propósito</t>
  </si>
  <si>
    <t>Estandarizar el diligenciamiento de todos los grupos y consolidar sus aportes en una sola tabla lista para el ajuste del PEI. Cada fila de la hoja «Fichas» es una ficha (un referente × un ítem del PEI).</t>
  </si>
  <si>
    <t>Cómo se usa</t>
  </si>
  <si>
    <t>1.  Las columnas azules vienen precargadas por EICIT desde el semáforo (referente, clasificación, componente sugerido, implicación). No se modifican.</t>
  </si>
  <si>
    <t>2.  Las columnas doradas las diligencia el grupo, usando las listas desplegables. No se escribe fuera de la lista.</t>
  </si>
  <si>
    <t>3.  «Correspondencia» avisa si el ítem elegido no pertenece al área elegida.</t>
  </si>
  <si>
    <t>4.  Si un referente afecta a más de un ítem del PEI, duplique la fila y diligencie una ficha por ítem (regla de atomicidad).</t>
  </si>
  <si>
    <t>5.  «Redacción propuesta» contiene texto listo para insertar en el PEI, no comentarios (esos van en «Justificación»).</t>
  </si>
  <si>
    <t>6.  La hoja «Resumen» cuenta el avance automáticamente por área, clasificación y estado.</t>
  </si>
  <si>
    <t>Reglas clave</t>
  </si>
  <si>
    <t>•  Atomicidad: una ficha = un referente × un ítem.</t>
  </si>
  <si>
    <t>•  Clasificación cerrada: no se reabre ni se agregan referentes nuevos aquí.</t>
  </si>
  <si>
    <t>•  Vocabulario controlado: solo valores de las listas.</t>
  </si>
  <si>
    <t>•  Voz única: una redacción por ficha; las variantes van en «Justificación».</t>
  </si>
  <si>
    <t>Nota</t>
  </si>
  <si>
    <t>No se incluyen los 2 referentes clasificados «No aplica» en el semáforo (Circular 25 y Ley 2507). Encuadre: EICIT propone y estandariza; la ENSMA diligencia, delibera, decide y adopta.</t>
  </si>
  <si>
    <t>ID</t>
  </si>
  <si>
    <t>Referente</t>
  </si>
  <si>
    <t>Tipo</t>
  </si>
  <si>
    <t>Año</t>
  </si>
  <si>
    <t>Clasificación</t>
  </si>
  <si>
    <t>Aplica</t>
  </si>
  <si>
    <t>Componente sugerido (semáforo)</t>
  </si>
  <si>
    <t>Implicación inicial (semáforo)</t>
  </si>
  <si>
    <t>Área de gestión</t>
  </si>
  <si>
    <t>Ítem del PEI</t>
  </si>
  <si>
    <t>Correspondencia</t>
  </si>
  <si>
    <t>Ubicación en el PEI vigente</t>
  </si>
  <si>
    <t>Tipo de incorporación</t>
  </si>
  <si>
    <t>Redacción propuesta (texto para insertar)</t>
  </si>
  <si>
    <t>Justificación breve</t>
  </si>
  <si>
    <t>Instancia de decisión</t>
  </si>
  <si>
    <t>Grupo responsable</t>
  </si>
  <si>
    <t>Fecha</t>
  </si>
  <si>
    <t>Estado</t>
  </si>
  <si>
    <t>Checklist (no perder de vista)</t>
  </si>
  <si>
    <t>REF-01</t>
  </si>
  <si>
    <t>Decreto 459</t>
  </si>
  <si>
    <t>Decreto</t>
  </si>
  <si>
    <t>2024</t>
  </si>
  <si>
    <t>Obligatorio</t>
  </si>
  <si>
    <t>Sí</t>
  </si>
  <si>
    <t>Directiva · Gobierno Escolar · Comunidad</t>
  </si>
  <si>
    <t>Formalizar participación de familias; enlazar Gobierno Escolar y Escuela de Padres.</t>
  </si>
  <si>
    <t>Gestión de la Comunidad</t>
  </si>
  <si>
    <t>Alianza familia-escuela</t>
  </si>
  <si>
    <t>Gestión de la Comunidad · Alianza familia-escuela — apartado nuevo (folio por confirmar)</t>
  </si>
  <si>
    <t>Crear apartado nuevo</t>
  </si>
  <si>
    <t>En cumplimiento del Decreto 459 de 2024, el Colegio María Auxiliadora de Soacha formaliza la participación de las familias en el diseño, la ejecución y la evaluación de su Proyecto Educativo Institucional y en la buena marcha del establecimiento. Para ello adopta la Alianza Familias-Escuela como proceso propio, con una ruta metodológica y un plan de acción anual concertado, y desarrolla la Escuela para Familias, Madres, Padres y Cuidadores como su herramienta formativa. Esta alianza expresa el espíritu de comunidad educativa propio de la tradición salesiana y se articula con el Gobierno Escolar y el comité escolar de convivencia.</t>
  </si>
  <si>
    <t>Decreto 459/2024, reglamentario (arts. 2.3.4.1.1.1 y ss. del Decreto 1075); Ley 2025/2020 (Escuela para Familias). Secundarios: Gobierno escolar, Instancias de participación, Manual.</t>
  </si>
  <si>
    <t>Consejo Directivo</t>
  </si>
  <si>
    <t>EICIT IA</t>
  </si>
  <si>
    <t>Borrador</t>
  </si>
  <si>
    <t>Participación de familias en diseño/ejecución/evaluación del PEI · adoptar la Alianza con ruta metodológica y plan de acción anual · Escuela para Familias con temáticas · articular con Gobierno Escolar y comité de convivencia</t>
  </si>
  <si>
    <t>REF-02</t>
  </si>
  <si>
    <t>Ley 2383</t>
  </si>
  <si>
    <t>Ley</t>
  </si>
  <si>
    <t>Académica · Modelo pedagógico</t>
  </si>
  <si>
    <t>Anclar componente socioemocional transversal (ver Ley 2491).</t>
  </si>
  <si>
    <t>Gestión Académica</t>
  </si>
  <si>
    <t>Modelo y/o enfoque pedagógico</t>
  </si>
  <si>
    <t>Gestión Académica · Modelo y/o enfoque pedagógico (folio por confirmar)</t>
  </si>
  <si>
    <t>Remitir a otro ítem</t>
  </si>
  <si>
    <t>En desarrollo de la Ley 2383 de 2024, el Colegio María Auxiliadora de Soacha promueve la educación socioemocional de manera transversal en todos los niveles, del preescolar a la media, como expresión del desarrollo integral que inspira el Sistema Preventivo salesiano. Esta formación se implementa con la participación activa de docentes, directivos y familias, y contempla un seguimiento y una evaluación periódicos de su avance, articulándose con el componente de competencias socioemocionales del modelo pedagógico para evitar abordajes fragmentados.</t>
  </si>
  <si>
    <t>Ley 2383/2024, arts. 1 y 3. Clúster socioemocional: se responde de forma integrada con REF-07 (Ley 2491); aporta la participación de las familias y el seguimiento.</t>
  </si>
  <si>
    <t>Consejo Académico</t>
  </si>
  <si>
    <t>Eje transversal (no asignatura aislada) · vincular a las familias · seguimiento y evaluación</t>
  </si>
  <si>
    <t>REF-03</t>
  </si>
  <si>
    <t>Ley 2394</t>
  </si>
  <si>
    <t>Comunidad · Convivencia · SIEE</t>
  </si>
  <si>
    <t>Ajustar Manual de Convivencia y SIEE (permanencia, no discriminación).</t>
  </si>
  <si>
    <t>Manual de convivencia</t>
  </si>
  <si>
    <t>Gestión de la Comunidad · Manual de convivencia + SIEE (dos capas) — folio por confirmar</t>
  </si>
  <si>
    <t>Ajustar texto existente</t>
  </si>
  <si>
    <t>[Capa 1 — Manual de Convivencia, cláusula paraguas] El Colegio María Auxiliadora de Soacha, fiel a su vocación de acogida y acompañamiento, garantiza el derecho a la educación y la permanencia de todos sus estudiantes, sin discriminación por razones de salud o por situaciones personales de carácter transitorio. Ninguna de estas circunstancias podrá dar lugar a la negación del cupo, la suspensión o la exclusión; en tales casos la institución activa sus rutas de acompañamiento y los ajustes académicos razonables previstos en su Sistema Institucional de Evaluación.  [Capa 2 — SIEE/protocolo, texto técnico] Como parte de sus ajustes razonables, la institución contempla un plan de flexibilización académica para estudiantes en estado de gestación, en periodo de lactancia y para estudiantes en licencia de paternidad, que incluye la adecuación de tiempos, formas y fechas de las actividades y evaluaciones y, cuando la situación lo requiera, la continuidad del proceso mediante medios virtuales o remotos (Ley 2394 de 2024).</t>
  </si>
  <si>
    <t>Ley 2394/2024, arts. 2–5. Enfoque de DOS CAPAS: cláusula paraguas sobria en el Manual (aquí) + plan de flexibilización nombrado con precisión en el SIEE/protocolo (Consejo Académico). Criterio validado con Rectoría: se modula la ubicación y el tono, NO el contenido garantizado (acceso, permanencia, no sanción, flexibilización). Cumplimiento vigilado por la SEM de Soacha.</t>
  </si>
  <si>
    <t>Cláusula paraguas de permanencia y no discriminación en el Manual · plan de flexibilización académica en el SIEE (ajustes razonables, evaluación flexible, modalidad remota) · prohibición expresa de sanciones por el estado</t>
  </si>
  <si>
    <t>REF-04</t>
  </si>
  <si>
    <t>Ley 2427</t>
  </si>
  <si>
    <t>Académica · PRAE · Comunidad</t>
  </si>
  <si>
    <t>Fortalecer PRAE e integrar GRD (enlaza Resolución 006519).</t>
  </si>
  <si>
    <t>Proyectos pedagógicos transversales y cátedras</t>
  </si>
  <si>
    <t>Gestión Académica · Proyectos transversales (PRAE) — folio por confirmar</t>
  </si>
  <si>
    <t>En cumplimiento de la Ley 2427 de 2024, el Colegio María Auxiliadora de Soacha actualiza su Proyecto Ambiental Escolar (PRAE) para integrar la formación en sostenibilidad ambiental, cambio climático y gestión del riesgo, reflejándola en el plan de estudios conforme a la modificación del artículo 79 de la Ley 115 de 1994. Este esfuerzo se articula con el Plan Escolar de Gestión del Riesgo y con el cuidado de la casa común, en sintonía con la sensibilidad ecológica que la tradición eclesial y salesiana promueve.</t>
  </si>
  <si>
    <t>Ley 2427/2024, arts. 1, 3 y 7 (modifica el par. del art. 79 de la Ley 115). Secundarios: Planes de estudios, PEGR. Concurre con REF-12 y REF-14.</t>
  </si>
  <si>
    <t>Fortalecer el PRAE (sostenibilidad, cambio climático, GRD) · reflejar en plan de estudios (art. 79 Ley 115 modif.) · articular con PEGR · opción de invitar actores externos</t>
  </si>
  <si>
    <t>REF-05</t>
  </si>
  <si>
    <t>Ley 2414</t>
  </si>
  <si>
    <t>Comunidad · Convivencia</t>
  </si>
  <si>
    <t>Integrar al componente socioemocional y al Manual de Convivencia.</t>
  </si>
  <si>
    <t>Gestión de la Comunidad · Manual de convivencia — folio por confirmar</t>
  </si>
  <si>
    <t>Conforme a la Ley 2414 de 2024, la institución fortalece la formación en convivencia escolar como parte de su Manual de Convivencia y de su apuesta socioemocional, orientada a construir relaciones fundadas en el respeto, la amabilidad y el cuidado mutuo. Esta formación se hace pública a la comunidad educativa durante la semana de desarrollo institucional, favoreciendo su apropiación por estudiantes, docentes y familias.</t>
  </si>
  <si>
    <t>Ley 2414/2024, arts. 1–2. Clúster socioemocional/convivencia (remite parcialmente a REF-07). Secundario: Modelo pedagógico.</t>
  </si>
  <si>
    <t>Incluir formación en convivencia en el PEI · socializarla en la semana de desarrollo institucional · articular con Manual y socioemocional</t>
  </si>
  <si>
    <t>REF-06</t>
  </si>
  <si>
    <t>Ley 2420</t>
  </si>
  <si>
    <t>Académica · SIEE</t>
  </si>
  <si>
    <t>Prever nivelación en SIEE y planes de mejoramiento.</t>
  </si>
  <si>
    <t>Sistema Institucional de Evaluación de Estudiantes (SIEE)</t>
  </si>
  <si>
    <t>Gestión Académica · SIEE — folio por confirmar</t>
  </si>
  <si>
    <t>En desarrollo de la Ley 2420 de 2024, la institución incorpora a su Sistema Institucional de Evaluación de los Estudiantes estrategias de nivelación escolar orientadas a superar los rezagos de aprendizaje, con planes de apoyo y acompañamiento que aseguran la continuidad y el éxito académico de cada estudiante. Estas estrategias expresan la atención personalizada característica del acompañamiento salesiano.</t>
  </si>
  <si>
    <t>Ley 2420/2024, arts. 1–2 y 4. Secundarios: Planes de estudios, Lineamientos de la propuesta pedagógica.</t>
  </si>
  <si>
    <t>Estrategias de nivelación en PEI y currículo · reflejarlas en el SIEE (planes de apoyo) · enfoque de calidad y atención al rezago</t>
  </si>
  <si>
    <t>REF-07</t>
  </si>
  <si>
    <t>Ley 2491 ★</t>
  </si>
  <si>
    <t>2025</t>
  </si>
  <si>
    <t>Horizonte · Modelo pedagógico · Plan de estudios</t>
  </si>
  <si>
    <t>Crear el componente socioemocional del PEI que integra 2383, 2414, 2503, 2460, 2564.</t>
  </si>
  <si>
    <t>Gestión Académica · Modelo y/o enfoque pedagógico — apartado nuevo (folio por confirmar)</t>
  </si>
  <si>
    <t>El Colegio María Auxiliadora de Soacha incorpora el componente de competencias socioemocionales como eje transversal de su modelo pedagógico, en desarrollo de la Ley 2491 de 2025 y en plena coherencia con el Sistema Preventivo salesiano (razón, religión y amabilidad). El componente se organiza en torno a seis competencias —consciencia emocional, autonomía emocional, regulación emocional, habilidades sociales, habilidades para la vida y el bienestar, y cultura del autocuidado y prevención en salud mental—, desarrolladas de forma gradual y en secuencia por ciclos, desde preescolar hasta la media. Su implementación respeta la libertad de cultos y creencias y requiere el consentimiento informado de las familias en los procesos de acompañamiento psicosocial. La institución integra la educación emocional en la formación de sus docentes y evalúa estas competencias dentro de su autoevaluación institucional.</t>
  </si>
  <si>
    <t>Ley 2491/2025, arts. 1–5 (art. 5, PAR 5: seis competencias). NORMA KEYSTONE del clúster socioemocional (absorbe REF-02, 05, 08, 09). Secundarios: Planes de estudios, Proyectos transversales, SIEE, Manual, Actualización y capacitación. Ruta: Consejo Académico → Consejo Directivo.</t>
  </si>
  <si>
    <t>Componente socioemocional transversal · 6 competencias en progresión por ciclos · formación docente en educación emocional · inclusión en autoevaluación · consentimiento informado + libertad de cultos</t>
  </si>
  <si>
    <t>REF-08</t>
  </si>
  <si>
    <t>Ley 2503</t>
  </si>
  <si>
    <t>Académica · Plan de estudios</t>
  </si>
  <si>
    <t>Incorporar la cátedra al plan de estudios o transversalizarla.</t>
  </si>
  <si>
    <t>Gestión Académica · Proyectos transversales y cátedras — apartado nuevo (folio por confirmar)</t>
  </si>
  <si>
    <t>En cumplimiento de la Ley 2503 de 2025, el Colegio María Auxiliadora de Soacha implementa la Cátedra de Educación Emocional en los niveles de preescolar, básica y media, articulada a su componente socioemocional y a su modelo pedagógico. Su desarrollo se acompaña de la formación de los docentes en educación emocional y respeta plenamente el derecho de las familias a orientar la formación de sus hijos conforme a sus convicciones filosóficas, éticas, morales o religiosas, en coherencia con la identidad católica y salesiana de la institución.</t>
  </si>
  <si>
    <t>Ley 2503/2025, arts. 1 y 4 (objeción de conciencia de las familias). Integra con REF-07. Secundarios: Modelo, Actualización y capacitación, Manual.</t>
  </si>
  <si>
    <t>Crear la Cátedra articulada al modelo/plan · capacitación docente · respetar la objeción de conciencia familiar (art. 4) · integrar con lo socioemocional</t>
  </si>
  <si>
    <t>REF-09</t>
  </si>
  <si>
    <t>Ley 2460</t>
  </si>
  <si>
    <t>Comunidad · Orientación</t>
  </si>
  <si>
    <t>Integrar salud mental al componente socioemocional y a orientación.</t>
  </si>
  <si>
    <t>Gestión Académica · Proyectos transversales (orientación/salud mental) — folio por confirmar</t>
  </si>
  <si>
    <t>En el marco de la Ley 2460 de 2025 —que actualiza la Ley 1616 de 2013—, la institución incorpora a su servicio de orientación escolar la promoción de la salud mental y la prevención de los trastornos mentales, como parte del cuidado integral de la persona. Estas acciones se articulan con el componente socioemocional y con las entidades de salud del territorio, garantizando rutas de acompañamiento oportunas para los estudiantes y sus familias.</t>
  </si>
  <si>
    <t>Ley 2460/2025 (modifica Ley 1616/2013), art. 4. Remite al clúster socioemocional (REF-07). Secundario: Alianza familia-escuela.</t>
  </si>
  <si>
    <t>Rutas de promoción de salud mental y prevención en orientación escolar · articular con orientación y entidades de salud · enlazar con socioemocional y Cátedra</t>
  </si>
  <si>
    <t>REF-10</t>
  </si>
  <si>
    <t>Ley 2489</t>
  </si>
  <si>
    <t>Académica · Convivencia · Eje TIC</t>
  </si>
  <si>
    <t>Ciudadanía digital en currículo y convivencia; enlaza EJE TIC.</t>
  </si>
  <si>
    <t>Planes de estudios</t>
  </si>
  <si>
    <t>Gestión Académica · Planes de estudios (ciudadanía digital) — apartado nuevo (folio por confirmar)</t>
  </si>
  <si>
    <t>En desarrollo de la Ley 2489 de 2025, el Colegio María Auxiliadora de Soacha incorpora la ciudadanía digital como competencia transversal de su plan de estudios, integrando competencias tecnológicas, ciudadanas y socioemocionales orientadas al uso sano, seguro y responsable de los entornos digitales. Esta apuesta se articula con el eje de innovación institucional —los «Nuevos Patios» como extensión del Patio salesiano al entorno digital— e incluye estrategias de prevención de riesgos en línea, promoción de hábitos saludables frente a la tecnología y talleres de acompañamiento a las familias, en el marco de la corresponsabilidad y del Sistema Preventivo.</t>
  </si>
  <si>
    <t>Ley 2489/2025, art. 6 y PAR 2. Respaldo legal directo del eje de innovación / ciudadanía digital. Secundarios: Proyectos transversales, Modelo (eje TIC), Manual, Alianza.</t>
  </si>
  <si>
    <t>Ciudadanía digital como competencia transversal · prevención de riesgos en línea y hábitos saludables · talleres para familias · anclaje en los Nuevos Patios</t>
  </si>
  <si>
    <t>REF-11</t>
  </si>
  <si>
    <t>Ley 2511</t>
  </si>
  <si>
    <t>Académica · Proyectos transversales</t>
  </si>
  <si>
    <t>Transversalizar educación para la salud y la vida.</t>
  </si>
  <si>
    <t>Gestión Académica · Proyectos transversales (salud y vida) — apartado nuevo (folio por confirmar)</t>
  </si>
  <si>
    <t>Atendiendo la Ley 2511 de 2025, el Colegio María Auxiliadora de Soacha articula un proyecto transversal de educación para la salud y la vida que integra el cuidado de la salud mental y la educación para la sexualidad, en el marco del desarrollo integral y desde una perspectiva respetuosa de la identidad institucional. El proyecto contempla la capacitación de los docentes en el abordaje de la salud mental y la debida información a la comunidad educativa.</t>
  </si>
  <si>
    <t>Ley 2511/2025, art. 7 y par. (capítulo especial de salud mental y educación sexual). Concurre con el clúster socioemocional. Secundarios: Modelo, Actualización y capacitación.</t>
  </si>
  <si>
    <t>Proyecto transversal de educación para la salud y la vida (salud mental + PESCC) · ajustar el PEI a la política · capacitación docente en salud mental · informar a la comunidad</t>
  </si>
  <si>
    <t>REF-12</t>
  </si>
  <si>
    <t>Ley 2563</t>
  </si>
  <si>
    <t>Académica · PRAE</t>
  </si>
  <si>
    <t>Actualizar el PRAE (bienestar animal, biodiversidad).</t>
  </si>
  <si>
    <t>Conforme a la Ley 2563 de 2025, el PRAE de la institución incorpora los enfoques de protección y bienestar animal y de conservación de la biodiversidad, con la posibilidad de orientar el servicio social estudiantil hacia estos fines y de fortalecer la formación de los docentes en la materia. Estos enfoques se integran a la educación ambiental como expresión del respeto por la vida en todas sus formas.</t>
  </si>
  <si>
    <t>Ley 2563/2025, arts. 1, 3 y 6. Concurre con REF-04 (ambiental). Secundarios: SSEO, Actualización y capacitación.</t>
  </si>
  <si>
    <t>Integrar bienestar animal y biodiversidad al PRAE · formación docente · opción de orientar el SSEO</t>
  </si>
  <si>
    <t>REF-13</t>
  </si>
  <si>
    <t>Ley 2564</t>
  </si>
  <si>
    <t>2026</t>
  </si>
  <si>
    <t>Comunidad · Convivencia · Eje TIC</t>
  </si>
  <si>
    <t>Integrar al socioemocional y a ciudadanía digital (con 2460, 2489).</t>
  </si>
  <si>
    <t>En desarrollo de la Ley 2564 de 2026, la institución incorpora a su Manual de Convivencia medidas de prevención de la violencia en los entornos digitales —incluido el ciberacoso— y las rutas de atención en salud mental asociadas. Estas medidas se articulan con la formación en ciudadanía digital del plan de estudios y con el acompañamiento propio del Sistema Preventivo, que privilegia la presencia atenta y la prevención sobre la sanción.</t>
  </si>
  <si>
    <t>Ley 2564/2026 (modifica Ley 1616/2013). Remite a REF-10 (ciudadanía digital) y REF-09 (salud mental). Secundarios: Proyectos transversales, Alianza.</t>
  </si>
  <si>
    <t>Prevención de violencia en entornos digitales (ciberacoso) en convivencia · rutas de atención en salud mental digital · articular con ciudadanía digital y salud mental</t>
  </si>
  <si>
    <t>REF-14</t>
  </si>
  <si>
    <t>Resolución 006519</t>
  </si>
  <si>
    <t>Resolución</t>
  </si>
  <si>
    <t>Directiva · PEGR · Comunidad</t>
  </si>
  <si>
    <t>Elaborar/actualizar el PEGR (enlaza Ley 2427 y grupo 6).</t>
  </si>
  <si>
    <t>Plan escolar de gestión del riesgo</t>
  </si>
  <si>
    <t>Gestión de la Comunidad · Plan escolar de gestión del riesgo — apartado nuevo (folio por confirmar)</t>
  </si>
  <si>
    <t>En atención a la Resolución 006519 de 2025, el Colegio María Auxiliadora de Soacha formula y adopta su Plan Escolar de Gestión del Riesgo y de Educación en Emergencias, articulado con el PRAE y con el Sistema Nacional de Gestión del Riesgo de Desastres. El plan promueve una cultura del cuidado y la prevención que protege a la comunidad educativa y fortalece su capacidad de respuesta ante emergencias.</t>
  </si>
  <si>
    <t>Resolución 006519/2025 (Política de Gestión Integral del Riesgo Escolar y Educación en Emergencias); Ley 1523, Decreto 2157/2017. Se apoya en REF-31 (guía operativa). Secundario: PRAE.</t>
  </si>
  <si>
    <t>Formular/actualizar el PEGR · educación en emergencias como cultura del riesgo · articular con el PRAE</t>
  </si>
  <si>
    <t>REF-15</t>
  </si>
  <si>
    <t>Circular 14</t>
  </si>
  <si>
    <t>Circular</t>
  </si>
  <si>
    <t>Recomendado</t>
  </si>
  <si>
    <t>Sí (preesc.)</t>
  </si>
  <si>
    <t>Académica · Preescolar</t>
  </si>
  <si>
    <t>Ajustar preescolar a educación inicial.</t>
  </si>
  <si>
    <t>Lineamientos de la propuesta pedagógica y curricular</t>
  </si>
  <si>
    <t>Gestión Académica · Lineamientos de la propuesta pedagógica (preescolar) — folio por confirmar</t>
  </si>
  <si>
    <t>Incorporar referencia normativa</t>
  </si>
  <si>
    <t>El componente de educación inicial se organiza conforme a las orientaciones nacionales vigentes para el preescolar (Circular 14 de 2024, que actualiza la Circular 07 de 2023), asegurando la pertinencia de sus prácticas pedagógicas en el primer tramo de la trayectoria educativa y su continuidad con los ciclos siguientes.</t>
  </si>
  <si>
    <t>Circular MEN 14/2024 (actualiza Circular 07/2023). Orientaciones de educación inicial. Secundario: Planes de estudios (preescolar).</t>
  </si>
  <si>
    <t>Alinear el preescolar con las orientaciones de educación inicial vigentes · revisar condiciones de prestación</t>
  </si>
  <si>
    <t>REF-16</t>
  </si>
  <si>
    <t>Circular 31</t>
  </si>
  <si>
    <t>Directiva · Preescolar</t>
  </si>
  <si>
    <t>Revisar admisión y permanencia en preescolar.</t>
  </si>
  <si>
    <t>Acogida a estudiantes nuevos</t>
  </si>
  <si>
    <t>Gestión de la Comunidad · Acogida a estudiantes nuevos — folio por confirmar</t>
  </si>
  <si>
    <t>La institución adopta estrategias para garantizar el ingreso oportuno y promover la permanencia de niñas y niños en el preescolar (Circular 31 de 2025), articulándolas con sus procesos de acogida y con el acompañamiento a las familias, de modo que el inicio de la trayectoria escolar sea estable y bien acompañado.</t>
  </si>
  <si>
    <t>Circular MEN 31/2025. Ingreso oportuno y permanencia en el segundo ciclo de educación inicial. Secundario: Alianza familia-escuela.</t>
  </si>
  <si>
    <t>Favorecer el ingreso oportuno al preescolar · estrategias de permanencia · articular con acogida y familias</t>
  </si>
  <si>
    <t>REF-17</t>
  </si>
  <si>
    <t>Directiva 01</t>
  </si>
  <si>
    <t>Directiva</t>
  </si>
  <si>
    <t>Académica · Eje TIC</t>
  </si>
  <si>
    <t>Guía de uso seguro de TIC/IA; insumo del Diplomado y del eje.</t>
  </si>
  <si>
    <t>Gestión Académica · Modelo (eje TIC) — folio por confirmar</t>
  </si>
  <si>
    <t>La institución acoge las orientaciones técnicas nacionales para el uso seguro y responsable de las TIC por parte de niñas, niños y adolescentes (Directiva 01 de 2026), incorporándolas a su eje de innovación —los «Nuevos Patios» como extensión del Patio salesiano— y a su Manual de Convivencia, construido de manera participativa con la comunidad educativa.</t>
  </si>
  <si>
    <t>Directiva MEN 01/2026 (marco Ley 2170/2021). Remite a REF-10 (ciudadanía digital). Secundario: Manual.</t>
  </si>
  <si>
    <t>Incorporar orientaciones de uso seguro de TIC · reflejarlas en el Manual (participativo) · articular con ciudadanía digital</t>
  </si>
  <si>
    <t>REF-18</t>
  </si>
  <si>
    <t>Circular 24</t>
  </si>
  <si>
    <t>Comunidad · Inclusión · SIEE</t>
  </si>
  <si>
    <t>Ajustar ruta de inclusión, PIAR y aulas de apoyo en el SIEE.</t>
  </si>
  <si>
    <t>Gestión Académica · Lineamientos (inclusión) — apartado nuevo (folio por confirmar)</t>
  </si>
  <si>
    <t>En el marco del Decreto 1421 de 2017 y la Circular 24 de 2026, la institución garantiza la atención educativa de los estudiantes con discapacidad mediante ajustes razonables y Planes Individuales de Ajustes Razonables (PIAR), asegurando su participación, aprendizaje y tránsitos educativos armónicos, en plena coherencia con la vocación de acogida y el «dar más al que menos tiene» propios del carisma salesiano.</t>
  </si>
  <si>
    <t>Circular MEN 24/2026 (Decreto 1421/2017). Educación inclusiva, ajustes razonables/PIAR. Secundarios: SIEE, Manual.</t>
  </si>
  <si>
    <t>Garantizar el derecho a la educación de estudiantes con discapacidad · ajustes razonables y PIAR · tránsitos y trayectorias armónicas · reflejar en SIEE y Manual</t>
  </si>
  <si>
    <t>REF-19</t>
  </si>
  <si>
    <t>Ley 2555</t>
  </si>
  <si>
    <t>Parcial</t>
  </si>
  <si>
    <t>(Opcional) Plan de estudios</t>
  </si>
  <si>
    <t>Opcional: fortalecer artes y transdisciplinariedad.</t>
  </si>
  <si>
    <t>Gestión Académica · Planes de estudios (educación artística) — folio por confirmar</t>
  </si>
  <si>
    <t>De manera opcional, la institución puede fortalecer su área de educación artística mediante las herramientas pedagógicas de la estrategia «Artes al Aula» (Ley 2555 de 2025), enriqueciendo la formación integral y la expresión cultural de sus estudiantes en el marco de los referentes curriculares vigentes.</t>
  </si>
  <si>
    <t>Ley 2555/2025 «Artes al Aula». Carácter opcional. Enriquece la educación artística.</t>
  </si>
  <si>
    <t>Opción de fortalecer educación artística con «Artes al Aula» · articular con competencias básicas y referentes vigentes</t>
  </si>
  <si>
    <t>REF-20</t>
  </si>
  <si>
    <t>Enseñanza de la Historia — marco</t>
  </si>
  <si>
    <t>Directiva 003 + Doc. técnico</t>
  </si>
  <si>
    <t>Académica · Plan de estudios · Sociales</t>
  </si>
  <si>
    <t>Incorporar el enfoque de historia al plan de estudios de sociales.</t>
  </si>
  <si>
    <t>Gestión Académica · Planes de estudios (Ciencias Sociales) — folio por confirmar</t>
  </si>
  <si>
    <t>La institución incorpora el enfoque de enseñanza de la historia de Colombia (Ley 1874 de 2017 y sus recomendaciones curriculares) al área de Ciencias Sociales, desarrollándolo de manera transversal e integrada con los Lineamientos Curriculares de Ciencias Sociales, para fortalecer la comprensión crítica del pasado y la construcción de identidad y memoria.</t>
  </si>
  <si>
    <t>Ley 1874/2017 y recomendaciones curriculares (Decreto 1660). Remite a REF-27. Secundario: Modelo pedagógico.</t>
  </si>
  <si>
    <t>Incorporar el enfoque de enseñanza de la historia (Ley 1874/2017) en Ciencias Sociales · articular con Lineamientos de Ciencias Sociales · desarrollarla transversal</t>
  </si>
  <si>
    <t>REF-21</t>
  </si>
  <si>
    <t>Colección Bicentenario «Historia Hoy»</t>
  </si>
  <si>
    <t>Guías y materiales</t>
  </si>
  <si>
    <t>s. f.</t>
  </si>
  <si>
    <t>Académica · Aula · Sociales</t>
  </si>
  <si>
    <t>Insumo para diseño de aula en ciencias sociales.</t>
  </si>
  <si>
    <t>Gestión Académica · Planes de estudios (aula, Ciencias Sociales) — folio por confirmar</t>
  </si>
  <si>
    <t>Enlazar documento anexo</t>
  </si>
  <si>
    <t>La institución dispone de la Colección Bicentenario «Historia Hoy» como recurso didáctico para el aula de Ciencias Sociales, con rutas de orientación por conjuntos de grados y materiales temáticos que enriquecen la enseñanza de la historia desde una mirada plural e incluyente.</t>
  </si>
  <si>
    <t>Colección Bicentenario «Historia Hoy» (recurso didáctico por conjuntos de grados). Remite a REF-20.</t>
  </si>
  <si>
    <t>Usar la Colección como recurso didáctico en sociales · articular con enfoque (REF-20) y lineamientos (REF-27)</t>
  </si>
  <si>
    <t>REF-22</t>
  </si>
  <si>
    <t>Ampliación y armonización curricular</t>
  </si>
  <si>
    <t>Orientación</t>
  </si>
  <si>
    <t>Armonizar la transición preescolar→primaria.</t>
  </si>
  <si>
    <t>Gestión Académica · Lineamientos (educación inicial) — folio por confirmar</t>
  </si>
  <si>
    <t>La institución acoge las orientaciones de ampliación y armonización curricular para la educación inicial, garantizando la continuidad pedagógica entre el preescolar y el primer ciclo de la básica y una transición cuidada en la trayectoria de niñas y niños.</t>
  </si>
  <si>
    <t>Orientaciones de ampliación y armonización curricular (educación inicial). Insumo de diseño de mallas (Fase 4). Secundario: Planes de estudios.</t>
  </si>
  <si>
    <t>Armonizar el currículo de educación inicial con el primer ciclo de básica · asegurar continuidad y ampliación · insumo de mallas de preescolar (Fase 4)</t>
  </si>
  <si>
    <t>REF-23</t>
  </si>
  <si>
    <t>Desarrollo socioemocional y salud mental (educación inicial)</t>
  </si>
  <si>
    <t>Académica · Preescolar · Socioemocional</t>
  </si>
  <si>
    <t>Base del componente socioemocional en preescolar.</t>
  </si>
  <si>
    <t>Gestión Académica · Modelo (preescolar) — folio por confirmar</t>
  </si>
  <si>
    <t>El desarrollo socioemocional en la educación inicial se incorpora como fundamento del componente socioemocional institucional desde la primera infancia, asegurando que la progresión de competencias (Ley 2491) tenga un punto de partida sólido y pertinente en el preescolar.</t>
  </si>
  <si>
    <t>Orientaciones de desarrollo socioemocional en la educación inicial. Base de REF-07 en la primera infancia.</t>
  </si>
  <si>
    <t>Incorporar el desarrollo socioemocional desde el preescolar · articularlo como base del componente socioemocional en la primera infancia</t>
  </si>
  <si>
    <t>REF-24</t>
  </si>
  <si>
    <t>Condiciones de calidad de la educación inicial</t>
  </si>
  <si>
    <t>Calidad · Preescolar</t>
  </si>
  <si>
    <t>Autoevaluar preescolar vs. condiciones de calidad (enlaza transverso de calidad).</t>
  </si>
  <si>
    <t>Gestión Directiva</t>
  </si>
  <si>
    <t>Caracterización institucional</t>
  </si>
  <si>
    <t>Gestión Directiva · Caracterización institucional — folio por confirmar</t>
  </si>
  <si>
    <t>La institución verifica y documenta el cumplimiento de las condiciones de calidad para la prestación de la educación inicial conforme a las orientaciones nacionales, integrando este análisis a su caracterización institucional y a su autoevaluación.</t>
  </si>
  <si>
    <t>Orientaciones de condiciones de calidad de los prestadores de educación inicial. Secundario: Recursos (Adm. y Fin.).</t>
  </si>
  <si>
    <t>Verificar el cumplimiento de las condiciones de calidad del preescolar · reflejarlo en la autoevaluación (Guía 34)</t>
  </si>
  <si>
    <t>REF-25</t>
  </si>
  <si>
    <t>Lineamientos de Formación Integral («Un viaje curricular»)</t>
  </si>
  <si>
    <t>Lineamiento curricular</t>
  </si>
  <si>
    <t>2024–25</t>
  </si>
  <si>
    <t>Horizonte · Modelo pedagógico · Mallas</t>
  </si>
  <si>
    <t>Orienta el rediseño del modelo pedagógico y las mallas (Fase 3–4).</t>
  </si>
  <si>
    <t>Gestión Académica · Modelo y/o enfoque pedagógico — folio por confirmar</t>
  </si>
  <si>
    <t>La institución acoge los Lineamientos Curriculares para la Formación Integral del Ministerio de Educación como referente para la transformación de su currículo, integrando el desarrollo del ser y del saber en coherencia con la formación integral del corazón, la mente y la vida que promueve el Sistema Preventivo salesiano.</t>
  </si>
  <si>
    <t>Lineamientos Curriculares para la Formación Integral (MEN). Insumo de diseño del modelo y las mallas (Fase 4).</t>
  </si>
  <si>
    <t>Acoger la integralidad (ser y saber) como criterio de diseño curricular · usar como insumo del modelo y de las mallas (Fase 4)</t>
  </si>
  <si>
    <t>REF-26</t>
  </si>
  <si>
    <t>Lineamientos de Formación Ciudadana y Desarrollo Socioemocional</t>
  </si>
  <si>
    <t>Modelo pedagógico · Socioemocional</t>
  </si>
  <si>
    <t>Insumo directo del componente socioemocional del PEI.</t>
  </si>
  <si>
    <t>Los Lineamientos Curriculares para la Formación Ciudadana y el Desarrollo Socioemocional se adoptan como referente para articular la formación ciudadana con el componente socioemocional del modelo pedagógico, fortaleciendo la convivencia, la participación democrática y el cuidado de sí y de los demás.</t>
  </si>
  <si>
    <t>Lineamientos Curriculares para la Formación Ciudadana y el Desarrollo Socioemocional (MEN). Remite a REF-07. Secundario: Proyectos transversales.</t>
  </si>
  <si>
    <t>Integrar formación ciudadana + socioemocional en el currículo · articular con componente socioemocional y ciudadanía digital</t>
  </si>
  <si>
    <t>REF-27</t>
  </si>
  <si>
    <t>Lineamientos de Ciencias Sociales (actualización)</t>
  </si>
  <si>
    <t>Plan de estudios · Sociales</t>
  </si>
  <si>
    <t>Insumo para la malla de ciencias sociales.</t>
  </si>
  <si>
    <t>La institución toma los Lineamientos Curriculares de Ciencias Sociales del Ministerio de Educación como referente para la actualización del área, en articulación con las orientaciones vigentes para la enseñanza de la historia y la formación ciudadana.</t>
  </si>
  <si>
    <t>Lineamientos Curriculares de Ciencias Sociales (MEN, actualización). Articula con REF-20/21.</t>
  </si>
  <si>
    <t>Referente para actualizar Ciencias Sociales · articular con la enseñanza de la historia</t>
  </si>
  <si>
    <t>REF-28</t>
  </si>
  <si>
    <t>Orientaciones técnicas ESA con TIC</t>
  </si>
  <si>
    <t>Orientación técnica</t>
  </si>
  <si>
    <t>Convivencia · Eje TIC</t>
  </si>
  <si>
    <t>Ciudadanía digital y entornos seguros en el Manual de Convivencia.</t>
  </si>
  <si>
    <t>La institución integra los principios de los Entornos Seguros de Aprendizaje con uso de TIC —convivencia pacífica y participación— a su Manual de Convivencia y a su eje de innovación, garantizando que los espacios digitales de aprendizaje sean protegidos, respetuosos y coherentes con el Sistema Preventivo.</t>
  </si>
  <si>
    <t>Orientaciones técnicas ESA con TIC (entornos seguros de aprendizaje). Remite a REF-10/17. Secundario: Modelo (eje TIC).</t>
  </si>
  <si>
    <t>Fundamentar entornos seguros de aprendizaje con TIC · principios de convivencia y participación en lo digital · articular con Manual y ciudadanía digital</t>
  </si>
  <si>
    <t>REF-29</t>
  </si>
  <si>
    <t>Abordaje pedagógico de situaciones de riesgo (PEQ)</t>
  </si>
  <si>
    <t>Convivencia</t>
  </si>
  <si>
    <t>Ruta de prevención en el Manual de Convivencia.</t>
  </si>
  <si>
    <t>La institución incorpora orientaciones para el abordaje pedagógico de situaciones de riesgo, articuladas con su Manual de Convivencia y su servicio de orientación, privilegiando la prevención, la escucha y el acompañamiento cercano característicos del estilo salesiano por encima de la sanción.</t>
  </si>
  <si>
    <t>Abordaje pedagógico de situaciones de riesgo (PEQ). Articula con orientación y salud mental.</t>
  </si>
  <si>
    <t>Rutas de abordaje pedagógico de situaciones de riesgo · articular con convivencia, orientación y salud mental</t>
  </si>
  <si>
    <t>REF-30</t>
  </si>
  <si>
    <t>Alianza Familia-Escuela (colección)</t>
  </si>
  <si>
    <t>Colección orientadora</t>
  </si>
  <si>
    <t>varios</t>
  </si>
  <si>
    <t>Comunidad · Familias · Convivencia</t>
  </si>
  <si>
    <t>Insumo para Escuela de Padres, caracterización de familias y participación (Gobierno Escolar).</t>
  </si>
  <si>
    <t>Gestión de la Comunidad · Alianza familia-escuela — folio por confirmar</t>
  </si>
  <si>
    <t>Para implementar la Alianza Familias-Escuela, la institución dispone de la biblioteca operativa nacional —orientaciones técnicas, kit metodológico, instrumentos de caracterización de familias y colecciones temáticas sobre crianza, emociones y salud mental, bienestar físico y seguridad en línea—, que nutre la Escuela para Familias y da soporte práctico a lo dispuesto en el Decreto 459 de 2024.</t>
  </si>
  <si>
    <t>Colección Alianza Familia-Escuela (88 archivos: orientaciones, kit, instrumentos de caracterización de familias, colecciones temáticas). Remite a REF-01 (Decreto 459).</t>
  </si>
  <si>
    <t>Adoptar la caja de herramientas para operar el Decreto 459 · usar los instrumentos de caracterización de familias · nutrir la Escuela para Familias · enlazar «Seguridad en línea» con ciudadanía digital</t>
  </si>
  <si>
    <t>REF-31</t>
  </si>
  <si>
    <t>Guía del Plan Escolar de Gestión del Riesgo (PEGR)</t>
  </si>
  <si>
    <t>Guía</t>
  </si>
  <si>
    <t>Directiva · PEGR</t>
  </si>
  <si>
    <t>Elaborar/actualizar el PEGR institucional.</t>
  </si>
  <si>
    <t>Gestión de la Comunidad · Plan escolar de gestión del riesgo — folio por confirmar</t>
  </si>
  <si>
    <t>Para la formulación de su Plan Escolar de Gestión del Riesgo, la institución se apoya en la guía «Escuela, territorio de vida» del Ministerio de Educación, que desarrolla operativamente la política adoptada mediante la Resolución 006519 de 2025.</t>
  </si>
  <si>
    <t>Guía «Escuela, territorio de vida» (desarrollo operativo de la Resolución 006519). Remite a REF-14.</t>
  </si>
  <si>
    <t>Usar la guía para formular el PEGR · educación en emergencias</t>
  </si>
  <si>
    <t>Tablero de consolidación</t>
  </si>
  <si>
    <t>Se actualiza solo al diligenciar la hoja «Fichas».</t>
  </si>
  <si>
    <t>Totales</t>
  </si>
  <si>
    <t>Por área de gestión</t>
  </si>
  <si>
    <t>Fichas registradas</t>
  </si>
  <si>
    <t>Con redacción propuesta</t>
  </si>
  <si>
    <t>Avaladas por coordinación</t>
  </si>
  <si>
    <t>Correspondencias a revisar</t>
  </si>
  <si>
    <t>Gestión Administrativa y Financiera</t>
  </si>
  <si>
    <t>Sin asignar área</t>
  </si>
  <si>
    <t>Por clasificación</t>
  </si>
  <si>
    <t>Por estado</t>
  </si>
  <si>
    <t>Revisado por el grupo</t>
  </si>
  <si>
    <t>Avalado por coordinación</t>
  </si>
  <si>
    <t>Áreas</t>
  </si>
  <si>
    <t>Instancia</t>
  </si>
  <si>
    <t>Ítem</t>
  </si>
  <si>
    <t>Área (mapa)</t>
  </si>
  <si>
    <t>No requiere</t>
  </si>
  <si>
    <t>Identidad institucional</t>
  </si>
  <si>
    <t>Filosofía o fundamentos del PEI</t>
  </si>
  <si>
    <t>Rectoría</t>
  </si>
  <si>
    <t>Horizonte institucional</t>
  </si>
  <si>
    <t>Sin cambios (ya contemplado)</t>
  </si>
  <si>
    <t>Políticas institucionales</t>
  </si>
  <si>
    <t>Objetivos del PEI</t>
  </si>
  <si>
    <t>Metas del PEI</t>
  </si>
  <si>
    <t>Gobierno escolar</t>
  </si>
  <si>
    <t>Instancias de participación</t>
  </si>
  <si>
    <t>Procesos de articulación (convenios, programas, alianzas)</t>
  </si>
  <si>
    <t>Servicio social estudiantil (SSEO)</t>
  </si>
  <si>
    <t>Seguimiento a egresados</t>
  </si>
  <si>
    <t>Diseño organizacional</t>
  </si>
  <si>
    <t>Proceso de matrícula</t>
  </si>
  <si>
    <t>Validación de grados</t>
  </si>
  <si>
    <t>Actualización y capacitación</t>
  </si>
  <si>
    <t>Recursos físicos, tecnológicos, humanos y financieros</t>
  </si>
  <si>
    <t>Servicios adicionales y complementarios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</si>
</sst>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charset val="1"/>
    </font>
    <font>
      <b/>
      <sz val="11"/>
      <color rgb="FF1F4E79"/>
      <name val="Calibri"/>
      <charset val="1"/>
    </font>
    <font>
      <b/>
      <sz val="15"/>
      <color rgb="FF1F4E79"/>
      <name val="Calibri"/>
      <charset val="1"/>
    </font>
    <font>
      <i/>
      <sz val="10"/>
      <name val="Calibri"/>
      <charset val="1"/>
    </font>
    <font>
      <sz val="10"/>
      <color rgb="FF222222"/>
      <name val="Calibri"/>
      <charset val="1"/>
    </font>
    <font>
      <i/>
      <sz val="9"/>
      <color rgb="FF808080"/>
      <name val="Calibri"/>
      <charset val="1"/>
    </font>
    <font>
      <b/>
      <sz val="11"/>
      <color rgb="FFFFFFFF"/>
      <name val="Calibri"/>
      <charset val="1"/>
    </font>
    <font>
      <b/>
      <sz val="11"/>
      <color rgb="FF3A2E00"/>
      <name val="Calibri"/>
      <charset val="1"/>
    </font>
    <font>
      <b/>
      <sz val="11"/>
      <color rgb="FF222222"/>
      <name val="Calibri"/>
      <charset val="1"/>
    </font>
    <font>
      <sz val="10"/>
      <name val="Calibri"/>
      <charset val="1"/>
    </font>
    <font>
      <b/>
      <sz val="9"/>
      <color rgb="FF222222"/>
      <name val="Calibri"/>
      <charset val="1"/>
    </font>
    <font>
      <b/>
      <sz val="13"/>
      <color rgb="FF1F4E79"/>
      <name val="Calibri"/>
      <charset val="1"/>
    </font>
  </fonts>
  <fills count="6">
    <fill>
      <patternFill patternType="none"/>
    </fill>
    <fill>
      <patternFill patternType="gray125"/>
    </fill>
    <fill>
      <patternFill patternType="solid">
        <fgColor rgb="FF1F4E79"/>
        <bgColor rgb="FF003366"/>
      </patternFill>
    </fill>
    <fill>
      <patternFill patternType="solid">
        <fgColor rgb="FFBF9000"/>
        <bgColor rgb="FF808000"/>
      </patternFill>
    </fill>
    <fill>
      <patternFill patternType="solid">
        <fgColor rgb="FFD9D9D9"/>
        <bgColor rgb="FFC6EFCE"/>
      </patternFill>
    </fill>
    <fill>
      <patternFill patternType="solid">
        <fgColor rgb="FFEEF4FA"/>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vertical="top" wrapText="1"/>
    </xf>
    <xf numFmtId="0" fontId="1"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4" fillId="5" borderId="1" xfId="0" applyFont="1" applyFill="1" applyBorder="1" applyAlignment="1">
      <alignment vertical="top" wrapText="1"/>
    </xf>
    <xf numFmtId="0" fontId="11" fillId="0" borderId="0" xfId="0" applyFont="1"/>
    <xf numFmtId="0" fontId="5" fillId="0" borderId="0" xfId="0" applyFont="1"/>
    <xf numFmtId="0" fontId="4" fillId="5" borderId="1" xfId="0" applyFont="1" applyFill="1" applyBorder="1"/>
    <xf numFmtId="0" fontId="8" fillId="0" borderId="1" xfId="0" applyFont="1" applyBorder="1" applyAlignment="1">
      <alignment horizontal="center"/>
    </xf>
    <xf numFmtId="0" fontId="4" fillId="0" borderId="1" xfId="0" applyFont="1" applyBorder="1"/>
    <xf numFmtId="0" fontId="0" fillId="0" borderId="1" xfId="0" applyBorder="1" applyAlignment="1">
      <alignment horizontal="center"/>
    </xf>
    <xf numFmtId="0" fontId="8" fillId="0" borderId="0" xfId="0" applyFont="1"/>
    <xf numFmtId="0" fontId="6" fillId="2" borderId="1" xfId="0" applyFont="1" applyFill="1" applyBorder="1" applyAlignment="1">
      <alignment vertical="center" wrapText="1"/>
    </xf>
    <xf numFmtId="0" fontId="7" fillId="3" borderId="1" xfId="0" applyFont="1" applyFill="1" applyBorder="1" applyAlignment="1">
      <alignment vertical="center" wrapText="1"/>
    </xf>
    <xf numFmtId="0" fontId="8" fillId="4" borderId="1" xfId="0" applyFont="1" applyFill="1" applyBorder="1" applyAlignment="1">
      <alignment vertical="center" wrapText="1"/>
    </xf>
    <xf numFmtId="0" fontId="10" fillId="0" borderId="1" xfId="0" applyFont="1" applyBorder="1" applyAlignment="1">
      <alignment vertical="center" wrapText="1"/>
    </xf>
    <xf numFmtId="0" fontId="0" fillId="0" borderId="0" xfId="0" applyAlignment="1">
      <alignment vertical="center"/>
    </xf>
    <xf numFmtId="0" fontId="4" fillId="5" borderId="1" xfId="0" applyFont="1" applyFill="1" applyBorder="1" applyAlignment="1">
      <alignment vertical="center" wrapText="1"/>
    </xf>
    <xf numFmtId="0" fontId="9" fillId="0" borderId="1" xfId="0" applyFont="1" applyBorder="1" applyAlignment="1">
      <alignment vertical="center" wrapText="1"/>
    </xf>
    <xf numFmtId="164" fontId="4" fillId="0" borderId="1" xfId="0" applyNumberFormat="1" applyFont="1" applyBorder="1" applyAlignment="1">
      <alignment vertical="center" wrapText="1"/>
    </xf>
    <xf numFmtId="0" fontId="9" fillId="0" borderId="0" xfId="0" applyFont="1" applyAlignment="1">
      <alignment vertical="center" wrapText="1"/>
    </xf>
  </cellXfs>
  <cellStyles count="1">
    <cellStyle name="Normal" xfId="0" builtinId="0"/>
  </cellStyles>
  <dxfs count="2">
    <dxf>
      <fill>
        <patternFill>
          <bgColor rgb="FFC6EF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4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BF9000"/>
      <rgbColor rgb="FFFF6600"/>
      <rgbColor rgb="FF666699"/>
      <rgbColor rgb="FF969696"/>
      <rgbColor rgb="FF003366"/>
      <rgbColor rgb="FF339966"/>
      <rgbColor rgb="FF003300"/>
      <rgbColor rgb="FF3A2E00"/>
      <rgbColor rgb="FF993300"/>
      <rgbColor rgb="FF993366"/>
      <rgbColor rgb="FF1F4E7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22"/>
  <sheetViews>
    <sheetView showGridLines="0" zoomScaleNormal="100" workbookViewId="0"/>
  </sheetViews>
  <sheetFormatPr baseColWidth="10" defaultColWidth="8.6640625" defaultRowHeight="15" x14ac:dyDescent="0.2"/>
  <cols>
    <col min="1" max="1" width="2" customWidth="1"/>
    <col min="2" max="2" width="104" customWidth="1"/>
  </cols>
  <sheetData>
    <row r="1" spans="2:2" x14ac:dyDescent="0.2">
      <c r="B1" s="1" t="s">
        <v>0</v>
      </c>
    </row>
    <row r="2" spans="2:2" ht="21.75" customHeight="1" x14ac:dyDescent="0.2">
      <c r="B2" s="2" t="s">
        <v>1</v>
      </c>
    </row>
    <row r="3" spans="2:2" ht="60" x14ac:dyDescent="0.2">
      <c r="B3" s="3" t="s">
        <v>2</v>
      </c>
    </row>
    <row r="4" spans="2:2" ht="16" x14ac:dyDescent="0.2">
      <c r="B4" s="4" t="s">
        <v>3</v>
      </c>
    </row>
    <row r="5" spans="2:2" ht="31.5" customHeight="1" x14ac:dyDescent="0.2">
      <c r="B5" s="5" t="s">
        <v>4</v>
      </c>
    </row>
    <row r="7" spans="2:2" ht="16" x14ac:dyDescent="0.2">
      <c r="B7" s="4" t="s">
        <v>5</v>
      </c>
    </row>
    <row r="8" spans="2:2" ht="30" customHeight="1" x14ac:dyDescent="0.2">
      <c r="B8" s="5" t="s">
        <v>6</v>
      </c>
    </row>
    <row r="9" spans="2:2" ht="30" customHeight="1" x14ac:dyDescent="0.2">
      <c r="B9" s="5" t="s">
        <v>7</v>
      </c>
    </row>
    <row r="10" spans="2:2" ht="30" customHeight="1" x14ac:dyDescent="0.2">
      <c r="B10" s="5" t="s">
        <v>8</v>
      </c>
    </row>
    <row r="11" spans="2:2" ht="30" customHeight="1" x14ac:dyDescent="0.2">
      <c r="B11" s="5" t="s">
        <v>9</v>
      </c>
    </row>
    <row r="12" spans="2:2" ht="30" customHeight="1" x14ac:dyDescent="0.2">
      <c r="B12" s="5" t="s">
        <v>10</v>
      </c>
    </row>
    <row r="13" spans="2:2" ht="30" customHeight="1" x14ac:dyDescent="0.2">
      <c r="B13" s="5" t="s">
        <v>11</v>
      </c>
    </row>
    <row r="15" spans="2:2" ht="16" x14ac:dyDescent="0.2">
      <c r="B15" s="4" t="s">
        <v>12</v>
      </c>
    </row>
    <row r="16" spans="2:2" ht="18" customHeight="1" x14ac:dyDescent="0.2">
      <c r="B16" s="5" t="s">
        <v>13</v>
      </c>
    </row>
    <row r="17" spans="2:2" ht="18" customHeight="1" x14ac:dyDescent="0.2">
      <c r="B17" s="5" t="s">
        <v>14</v>
      </c>
    </row>
    <row r="18" spans="2:2" ht="18" customHeight="1" x14ac:dyDescent="0.2">
      <c r="B18" s="5" t="s">
        <v>15</v>
      </c>
    </row>
    <row r="19" spans="2:2" ht="18" customHeight="1" x14ac:dyDescent="0.2">
      <c r="B19" s="5" t="s">
        <v>16</v>
      </c>
    </row>
    <row r="21" spans="2:2" ht="16" x14ac:dyDescent="0.2">
      <c r="B21" s="4" t="s">
        <v>17</v>
      </c>
    </row>
    <row r="22" spans="2:2" ht="30" customHeight="1" x14ac:dyDescent="0.2">
      <c r="B22" s="6" t="s">
        <v>18</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80"/>
  <sheetViews>
    <sheetView showGridLines="0" tabSelected="1" zoomScaleNormal="100" workbookViewId="0">
      <pane xSplit="2" ySplit="1" topLeftCell="L2" activePane="bottomRight" state="frozen"/>
      <selection pane="topRight" activeCell="C1" sqref="C1"/>
      <selection pane="bottomLeft" activeCell="A2" sqref="A2"/>
      <selection pane="bottomRight" activeCell="N2" sqref="N2"/>
    </sheetView>
  </sheetViews>
  <sheetFormatPr baseColWidth="10" defaultColWidth="8.6640625" defaultRowHeight="15" x14ac:dyDescent="0.2"/>
  <cols>
    <col min="1" max="1" width="9" style="19" customWidth="1"/>
    <col min="2" max="2" width="26" style="19" customWidth="1"/>
    <col min="3" max="3" width="10" style="19" customWidth="1"/>
    <col min="4" max="4" width="7" style="19" customWidth="1"/>
    <col min="5" max="5" width="13" style="19" customWidth="1"/>
    <col min="6" max="6" width="11" style="19" customWidth="1"/>
    <col min="7" max="7" width="30" style="19" customWidth="1"/>
    <col min="8" max="8" width="40" style="19" customWidth="1"/>
    <col min="9" max="9" width="22" style="19" customWidth="1"/>
    <col min="10" max="10" width="30" style="19" customWidth="1"/>
    <col min="11" max="11" width="15" style="19" customWidth="1"/>
    <col min="12" max="12" width="26" style="19" customWidth="1"/>
    <col min="13" max="13" width="24" style="19" customWidth="1"/>
    <col min="14" max="14" width="40" style="19" customWidth="1"/>
    <col min="15" max="15" width="30" style="19" customWidth="1"/>
    <col min="16" max="17" width="20" style="19" customWidth="1"/>
    <col min="18" max="18" width="12" style="19" customWidth="1"/>
    <col min="19" max="19" width="22" style="19" customWidth="1"/>
    <col min="20" max="20" width="46" style="19" customWidth="1"/>
    <col min="21" max="16384" width="8.6640625" style="19"/>
  </cols>
  <sheetData>
    <row r="1" spans="1:20" ht="42" customHeight="1" x14ac:dyDescent="0.2">
      <c r="A1" s="15" t="s">
        <v>19</v>
      </c>
      <c r="B1" s="15" t="s">
        <v>20</v>
      </c>
      <c r="C1" s="15" t="s">
        <v>21</v>
      </c>
      <c r="D1" s="15" t="s">
        <v>22</v>
      </c>
      <c r="E1" s="15" t="s">
        <v>23</v>
      </c>
      <c r="F1" s="15" t="s">
        <v>24</v>
      </c>
      <c r="G1" s="15" t="s">
        <v>25</v>
      </c>
      <c r="H1" s="15" t="s">
        <v>26</v>
      </c>
      <c r="I1" s="16" t="s">
        <v>27</v>
      </c>
      <c r="J1" s="16" t="s">
        <v>28</v>
      </c>
      <c r="K1" s="17" t="s">
        <v>29</v>
      </c>
      <c r="L1" s="16" t="s">
        <v>30</v>
      </c>
      <c r="M1" s="16" t="s">
        <v>31</v>
      </c>
      <c r="N1" s="16" t="s">
        <v>32</v>
      </c>
      <c r="O1" s="16" t="s">
        <v>33</v>
      </c>
      <c r="P1" s="16" t="s">
        <v>34</v>
      </c>
      <c r="Q1" s="16" t="s">
        <v>35</v>
      </c>
      <c r="R1" s="16" t="s">
        <v>36</v>
      </c>
      <c r="S1" s="16" t="s">
        <v>37</v>
      </c>
      <c r="T1" s="16" t="s">
        <v>38</v>
      </c>
    </row>
    <row r="2" spans="1:20" ht="150" customHeight="1" x14ac:dyDescent="0.2">
      <c r="A2" s="20" t="s">
        <v>39</v>
      </c>
      <c r="B2" s="20" t="s">
        <v>40</v>
      </c>
      <c r="C2" s="20" t="s">
        <v>41</v>
      </c>
      <c r="D2" s="20" t="s">
        <v>42</v>
      </c>
      <c r="E2" s="20" t="s">
        <v>43</v>
      </c>
      <c r="F2" s="20" t="s">
        <v>44</v>
      </c>
      <c r="G2" s="20" t="s">
        <v>45</v>
      </c>
      <c r="H2" s="20" t="s">
        <v>46</v>
      </c>
      <c r="I2" s="21" t="s">
        <v>47</v>
      </c>
      <c r="J2" s="21" t="s">
        <v>48</v>
      </c>
      <c r="K2" s="21" t="str">
        <f>IF($I2="","",IF($J2="","",IF(IFERROR(VLOOKUP($J2,Listas!$G$2:$H$28,2,0),"")=$I2,"OK","Revisar área/ítem")))</f>
        <v>OK</v>
      </c>
      <c r="L2" s="21" t="s">
        <v>49</v>
      </c>
      <c r="M2" s="21" t="s">
        <v>50</v>
      </c>
      <c r="N2" s="21" t="s">
        <v>51</v>
      </c>
      <c r="O2" s="21" t="s">
        <v>52</v>
      </c>
      <c r="P2" s="21" t="s">
        <v>53</v>
      </c>
      <c r="Q2" s="21" t="s">
        <v>54</v>
      </c>
      <c r="R2" s="22">
        <v>46280</v>
      </c>
      <c r="S2" s="21" t="s">
        <v>55</v>
      </c>
      <c r="T2" s="23" t="s">
        <v>56</v>
      </c>
    </row>
    <row r="3" spans="1:20" ht="150" customHeight="1" x14ac:dyDescent="0.2">
      <c r="A3" s="20" t="s">
        <v>57</v>
      </c>
      <c r="B3" s="20" t="s">
        <v>58</v>
      </c>
      <c r="C3" s="20" t="s">
        <v>59</v>
      </c>
      <c r="D3" s="20" t="s">
        <v>42</v>
      </c>
      <c r="E3" s="20" t="s">
        <v>43</v>
      </c>
      <c r="F3" s="20" t="s">
        <v>44</v>
      </c>
      <c r="G3" s="20" t="s">
        <v>60</v>
      </c>
      <c r="H3" s="20" t="s">
        <v>61</v>
      </c>
      <c r="I3" s="21" t="s">
        <v>62</v>
      </c>
      <c r="J3" s="21" t="s">
        <v>63</v>
      </c>
      <c r="K3" s="21" t="str">
        <f>IF($I3="","",IF($J3="","",IF(IFERROR(VLOOKUP($J3,Listas!$G$2:$H$28,2,0),"")=$I3,"OK","Revisar área/ítem")))</f>
        <v>OK</v>
      </c>
      <c r="L3" s="21" t="s">
        <v>64</v>
      </c>
      <c r="M3" s="21" t="s">
        <v>65</v>
      </c>
      <c r="N3" s="21" t="s">
        <v>66</v>
      </c>
      <c r="O3" s="21" t="s">
        <v>67</v>
      </c>
      <c r="P3" s="21" t="s">
        <v>68</v>
      </c>
      <c r="Q3" s="21" t="s">
        <v>54</v>
      </c>
      <c r="R3" s="22">
        <v>46280</v>
      </c>
      <c r="S3" s="21" t="s">
        <v>55</v>
      </c>
      <c r="T3" s="23" t="s">
        <v>69</v>
      </c>
    </row>
    <row r="4" spans="1:20" ht="150" customHeight="1" x14ac:dyDescent="0.2">
      <c r="A4" s="20" t="s">
        <v>70</v>
      </c>
      <c r="B4" s="20" t="s">
        <v>71</v>
      </c>
      <c r="C4" s="20" t="s">
        <v>59</v>
      </c>
      <c r="D4" s="20" t="s">
        <v>42</v>
      </c>
      <c r="E4" s="20" t="s">
        <v>43</v>
      </c>
      <c r="F4" s="20" t="s">
        <v>44</v>
      </c>
      <c r="G4" s="20" t="s">
        <v>72</v>
      </c>
      <c r="H4" s="20" t="s">
        <v>73</v>
      </c>
      <c r="I4" s="21" t="s">
        <v>47</v>
      </c>
      <c r="J4" s="21" t="s">
        <v>74</v>
      </c>
      <c r="K4" s="21" t="str">
        <f>IF($I4="","",IF($J4="","",IF(IFERROR(VLOOKUP($J4,Listas!$G$2:$H$28,2,0),"")=$I4,"OK","Revisar área/ítem")))</f>
        <v>OK</v>
      </c>
      <c r="L4" s="21" t="s">
        <v>75</v>
      </c>
      <c r="M4" s="21" t="s">
        <v>76</v>
      </c>
      <c r="N4" s="21" t="s">
        <v>77</v>
      </c>
      <c r="O4" s="21" t="s">
        <v>78</v>
      </c>
      <c r="P4" s="21" t="s">
        <v>53</v>
      </c>
      <c r="Q4" s="21" t="s">
        <v>54</v>
      </c>
      <c r="R4" s="22">
        <v>46280</v>
      </c>
      <c r="S4" s="21" t="s">
        <v>55</v>
      </c>
      <c r="T4" s="23" t="s">
        <v>79</v>
      </c>
    </row>
    <row r="5" spans="1:20" ht="150" customHeight="1" x14ac:dyDescent="0.2">
      <c r="A5" s="20" t="s">
        <v>80</v>
      </c>
      <c r="B5" s="20" t="s">
        <v>81</v>
      </c>
      <c r="C5" s="20" t="s">
        <v>59</v>
      </c>
      <c r="D5" s="20" t="s">
        <v>42</v>
      </c>
      <c r="E5" s="20" t="s">
        <v>43</v>
      </c>
      <c r="F5" s="20" t="s">
        <v>44</v>
      </c>
      <c r="G5" s="20" t="s">
        <v>82</v>
      </c>
      <c r="H5" s="20" t="s">
        <v>83</v>
      </c>
      <c r="I5" s="21" t="s">
        <v>62</v>
      </c>
      <c r="J5" s="21" t="s">
        <v>84</v>
      </c>
      <c r="K5" s="21" t="str">
        <f>IF($I5="","",IF($J5="","",IF(IFERROR(VLOOKUP($J5,Listas!$G$2:$H$28,2,0),"")=$I5,"OK","Revisar área/ítem")))</f>
        <v>OK</v>
      </c>
      <c r="L5" s="21" t="s">
        <v>85</v>
      </c>
      <c r="M5" s="21" t="s">
        <v>76</v>
      </c>
      <c r="N5" s="21" t="s">
        <v>86</v>
      </c>
      <c r="O5" s="21" t="s">
        <v>87</v>
      </c>
      <c r="P5" s="21" t="s">
        <v>53</v>
      </c>
      <c r="Q5" s="21" t="s">
        <v>54</v>
      </c>
      <c r="R5" s="22">
        <v>46280</v>
      </c>
      <c r="S5" s="21" t="s">
        <v>55</v>
      </c>
      <c r="T5" s="23" t="s">
        <v>88</v>
      </c>
    </row>
    <row r="6" spans="1:20" ht="150" customHeight="1" x14ac:dyDescent="0.2">
      <c r="A6" s="20" t="s">
        <v>89</v>
      </c>
      <c r="B6" s="20" t="s">
        <v>90</v>
      </c>
      <c r="C6" s="20" t="s">
        <v>59</v>
      </c>
      <c r="D6" s="20" t="s">
        <v>42</v>
      </c>
      <c r="E6" s="20" t="s">
        <v>43</v>
      </c>
      <c r="F6" s="20" t="s">
        <v>44</v>
      </c>
      <c r="G6" s="20" t="s">
        <v>91</v>
      </c>
      <c r="H6" s="20" t="s">
        <v>92</v>
      </c>
      <c r="I6" s="21" t="s">
        <v>47</v>
      </c>
      <c r="J6" s="21" t="s">
        <v>74</v>
      </c>
      <c r="K6" s="21" t="str">
        <f>IF($I6="","",IF($J6="","",IF(IFERROR(VLOOKUP($J6,Listas!$G$2:$H$28,2,0),"")=$I6,"OK","Revisar área/ítem")))</f>
        <v>OK</v>
      </c>
      <c r="L6" s="21" t="s">
        <v>93</v>
      </c>
      <c r="M6" s="21" t="s">
        <v>76</v>
      </c>
      <c r="N6" s="21" t="s">
        <v>94</v>
      </c>
      <c r="O6" s="21" t="s">
        <v>95</v>
      </c>
      <c r="P6" s="21" t="s">
        <v>53</v>
      </c>
      <c r="Q6" s="21" t="s">
        <v>54</v>
      </c>
      <c r="R6" s="22">
        <v>46280</v>
      </c>
      <c r="S6" s="21" t="s">
        <v>55</v>
      </c>
      <c r="T6" s="23" t="s">
        <v>96</v>
      </c>
    </row>
    <row r="7" spans="1:20" ht="150" customHeight="1" x14ac:dyDescent="0.2">
      <c r="A7" s="20" t="s">
        <v>97</v>
      </c>
      <c r="B7" s="20" t="s">
        <v>98</v>
      </c>
      <c r="C7" s="20" t="s">
        <v>59</v>
      </c>
      <c r="D7" s="20" t="s">
        <v>42</v>
      </c>
      <c r="E7" s="20" t="s">
        <v>43</v>
      </c>
      <c r="F7" s="20" t="s">
        <v>44</v>
      </c>
      <c r="G7" s="20" t="s">
        <v>99</v>
      </c>
      <c r="H7" s="20" t="s">
        <v>100</v>
      </c>
      <c r="I7" s="21" t="s">
        <v>62</v>
      </c>
      <c r="J7" s="21" t="s">
        <v>101</v>
      </c>
      <c r="K7" s="21" t="str">
        <f>IF($I7="","",IF($J7="","",IF(IFERROR(VLOOKUP($J7,Listas!$G$2:$H$28,2,0),"")=$I7,"OK","Revisar área/ítem")))</f>
        <v>OK</v>
      </c>
      <c r="L7" s="21" t="s">
        <v>102</v>
      </c>
      <c r="M7" s="21" t="s">
        <v>76</v>
      </c>
      <c r="N7" s="21" t="s">
        <v>103</v>
      </c>
      <c r="O7" s="21" t="s">
        <v>104</v>
      </c>
      <c r="P7" s="21" t="s">
        <v>68</v>
      </c>
      <c r="Q7" s="21" t="s">
        <v>54</v>
      </c>
      <c r="R7" s="22">
        <v>46280</v>
      </c>
      <c r="S7" s="21" t="s">
        <v>55</v>
      </c>
      <c r="T7" s="23" t="s">
        <v>105</v>
      </c>
    </row>
    <row r="8" spans="1:20" ht="150" customHeight="1" x14ac:dyDescent="0.2">
      <c r="A8" s="20" t="s">
        <v>106</v>
      </c>
      <c r="B8" s="20" t="s">
        <v>107</v>
      </c>
      <c r="C8" s="20" t="s">
        <v>59</v>
      </c>
      <c r="D8" s="20" t="s">
        <v>108</v>
      </c>
      <c r="E8" s="20" t="s">
        <v>43</v>
      </c>
      <c r="F8" s="20" t="s">
        <v>44</v>
      </c>
      <c r="G8" s="20" t="s">
        <v>109</v>
      </c>
      <c r="H8" s="20" t="s">
        <v>110</v>
      </c>
      <c r="I8" s="21" t="s">
        <v>62</v>
      </c>
      <c r="J8" s="21" t="s">
        <v>63</v>
      </c>
      <c r="K8" s="21" t="str">
        <f>IF($I8="","",IF($J8="","",IF(IFERROR(VLOOKUP($J8,Listas!$G$2:$H$28,2,0),"")=$I8,"OK","Revisar área/ítem")))</f>
        <v>OK</v>
      </c>
      <c r="L8" s="21" t="s">
        <v>111</v>
      </c>
      <c r="M8" s="21" t="s">
        <v>50</v>
      </c>
      <c r="N8" s="21" t="s">
        <v>112</v>
      </c>
      <c r="O8" s="21" t="s">
        <v>113</v>
      </c>
      <c r="P8" s="21" t="s">
        <v>53</v>
      </c>
      <c r="Q8" s="21" t="s">
        <v>54</v>
      </c>
      <c r="R8" s="22">
        <v>46280</v>
      </c>
      <c r="S8" s="21" t="s">
        <v>55</v>
      </c>
      <c r="T8" s="23" t="s">
        <v>114</v>
      </c>
    </row>
    <row r="9" spans="1:20" ht="150" customHeight="1" x14ac:dyDescent="0.2">
      <c r="A9" s="20" t="s">
        <v>115</v>
      </c>
      <c r="B9" s="20" t="s">
        <v>116</v>
      </c>
      <c r="C9" s="20" t="s">
        <v>59</v>
      </c>
      <c r="D9" s="20" t="s">
        <v>108</v>
      </c>
      <c r="E9" s="20" t="s">
        <v>43</v>
      </c>
      <c r="F9" s="20" t="s">
        <v>44</v>
      </c>
      <c r="G9" s="20" t="s">
        <v>117</v>
      </c>
      <c r="H9" s="20" t="s">
        <v>118</v>
      </c>
      <c r="I9" s="21" t="s">
        <v>62</v>
      </c>
      <c r="J9" s="21" t="s">
        <v>84</v>
      </c>
      <c r="K9" s="21" t="str">
        <f>IF($I9="","",IF($J9="","",IF(IFERROR(VLOOKUP($J9,Listas!$G$2:$H$28,2,0),"")=$I9,"OK","Revisar área/ítem")))</f>
        <v>OK</v>
      </c>
      <c r="L9" s="21" t="s">
        <v>119</v>
      </c>
      <c r="M9" s="21" t="s">
        <v>50</v>
      </c>
      <c r="N9" s="21" t="s">
        <v>120</v>
      </c>
      <c r="O9" s="21" t="s">
        <v>121</v>
      </c>
      <c r="P9" s="21" t="s">
        <v>53</v>
      </c>
      <c r="Q9" s="21" t="s">
        <v>54</v>
      </c>
      <c r="R9" s="22">
        <v>46280</v>
      </c>
      <c r="S9" s="21" t="s">
        <v>55</v>
      </c>
      <c r="T9" s="23" t="s">
        <v>122</v>
      </c>
    </row>
    <row r="10" spans="1:20" ht="150" customHeight="1" x14ac:dyDescent="0.2">
      <c r="A10" s="20" t="s">
        <v>123</v>
      </c>
      <c r="B10" s="20" t="s">
        <v>124</v>
      </c>
      <c r="C10" s="20" t="s">
        <v>59</v>
      </c>
      <c r="D10" s="20" t="s">
        <v>108</v>
      </c>
      <c r="E10" s="20" t="s">
        <v>43</v>
      </c>
      <c r="F10" s="20" t="s">
        <v>44</v>
      </c>
      <c r="G10" s="20" t="s">
        <v>125</v>
      </c>
      <c r="H10" s="20" t="s">
        <v>126</v>
      </c>
      <c r="I10" s="21" t="s">
        <v>62</v>
      </c>
      <c r="J10" s="21" t="s">
        <v>84</v>
      </c>
      <c r="K10" s="21" t="str">
        <f>IF($I10="","",IF($J10="","",IF(IFERROR(VLOOKUP($J10,Listas!$G$2:$H$28,2,0),"")=$I10,"OK","Revisar área/ítem")))</f>
        <v>OK</v>
      </c>
      <c r="L10" s="21" t="s">
        <v>127</v>
      </c>
      <c r="M10" s="21" t="s">
        <v>65</v>
      </c>
      <c r="N10" s="21" t="s">
        <v>128</v>
      </c>
      <c r="O10" s="21" t="s">
        <v>129</v>
      </c>
      <c r="P10" s="21" t="s">
        <v>68</v>
      </c>
      <c r="Q10" s="21" t="s">
        <v>54</v>
      </c>
      <c r="R10" s="22">
        <v>46280</v>
      </c>
      <c r="S10" s="21" t="s">
        <v>55</v>
      </c>
      <c r="T10" s="23" t="s">
        <v>130</v>
      </c>
    </row>
    <row r="11" spans="1:20" ht="150" customHeight="1" x14ac:dyDescent="0.2">
      <c r="A11" s="20" t="s">
        <v>131</v>
      </c>
      <c r="B11" s="20" t="s">
        <v>132</v>
      </c>
      <c r="C11" s="20" t="s">
        <v>59</v>
      </c>
      <c r="D11" s="20" t="s">
        <v>108</v>
      </c>
      <c r="E11" s="20" t="s">
        <v>43</v>
      </c>
      <c r="F11" s="20" t="s">
        <v>44</v>
      </c>
      <c r="G11" s="20" t="s">
        <v>133</v>
      </c>
      <c r="H11" s="20" t="s">
        <v>134</v>
      </c>
      <c r="I11" s="21" t="s">
        <v>62</v>
      </c>
      <c r="J11" s="21" t="s">
        <v>135</v>
      </c>
      <c r="K11" s="21" t="str">
        <f>IF($I11="","",IF($J11="","",IF(IFERROR(VLOOKUP($J11,Listas!$G$2:$H$28,2,0),"")=$I11,"OK","Revisar área/ítem")))</f>
        <v>OK</v>
      </c>
      <c r="L11" s="21" t="s">
        <v>136</v>
      </c>
      <c r="M11" s="21" t="s">
        <v>50</v>
      </c>
      <c r="N11" s="21" t="s">
        <v>137</v>
      </c>
      <c r="O11" s="21" t="s">
        <v>138</v>
      </c>
      <c r="P11" s="21" t="s">
        <v>53</v>
      </c>
      <c r="Q11" s="21" t="s">
        <v>54</v>
      </c>
      <c r="R11" s="22">
        <v>46280</v>
      </c>
      <c r="S11" s="21" t="s">
        <v>55</v>
      </c>
      <c r="T11" s="23" t="s">
        <v>139</v>
      </c>
    </row>
    <row r="12" spans="1:20" ht="150" customHeight="1" x14ac:dyDescent="0.2">
      <c r="A12" s="20" t="s">
        <v>140</v>
      </c>
      <c r="B12" s="20" t="s">
        <v>141</v>
      </c>
      <c r="C12" s="20" t="s">
        <v>59</v>
      </c>
      <c r="D12" s="20" t="s">
        <v>108</v>
      </c>
      <c r="E12" s="20" t="s">
        <v>43</v>
      </c>
      <c r="F12" s="20" t="s">
        <v>44</v>
      </c>
      <c r="G12" s="20" t="s">
        <v>142</v>
      </c>
      <c r="H12" s="20" t="s">
        <v>143</v>
      </c>
      <c r="I12" s="21" t="s">
        <v>62</v>
      </c>
      <c r="J12" s="21" t="s">
        <v>84</v>
      </c>
      <c r="K12" s="21" t="str">
        <f>IF($I12="","",IF($J12="","",IF(IFERROR(VLOOKUP($J12,Listas!$G$2:$H$28,2,0),"")=$I12,"OK","Revisar área/ítem")))</f>
        <v>OK</v>
      </c>
      <c r="L12" s="21" t="s">
        <v>144</v>
      </c>
      <c r="M12" s="21" t="s">
        <v>50</v>
      </c>
      <c r="N12" s="21" t="s">
        <v>145</v>
      </c>
      <c r="O12" s="21" t="s">
        <v>146</v>
      </c>
      <c r="P12" s="21" t="s">
        <v>68</v>
      </c>
      <c r="Q12" s="21" t="s">
        <v>54</v>
      </c>
      <c r="R12" s="22">
        <v>46280</v>
      </c>
      <c r="S12" s="21" t="s">
        <v>55</v>
      </c>
      <c r="T12" s="23" t="s">
        <v>147</v>
      </c>
    </row>
    <row r="13" spans="1:20" ht="150" customHeight="1" x14ac:dyDescent="0.2">
      <c r="A13" s="20" t="s">
        <v>148</v>
      </c>
      <c r="B13" s="20" t="s">
        <v>149</v>
      </c>
      <c r="C13" s="20" t="s">
        <v>59</v>
      </c>
      <c r="D13" s="20" t="s">
        <v>108</v>
      </c>
      <c r="E13" s="20" t="s">
        <v>43</v>
      </c>
      <c r="F13" s="20" t="s">
        <v>44</v>
      </c>
      <c r="G13" s="20" t="s">
        <v>150</v>
      </c>
      <c r="H13" s="20" t="s">
        <v>151</v>
      </c>
      <c r="I13" s="21" t="s">
        <v>62</v>
      </c>
      <c r="J13" s="21" t="s">
        <v>84</v>
      </c>
      <c r="K13" s="21" t="str">
        <f>IF($I13="","",IF($J13="","",IF(IFERROR(VLOOKUP($J13,Listas!$G$2:$H$28,2,0),"")=$I13,"OK","Revisar área/ítem")))</f>
        <v>OK</v>
      </c>
      <c r="L13" s="21" t="s">
        <v>85</v>
      </c>
      <c r="M13" s="21" t="s">
        <v>76</v>
      </c>
      <c r="N13" s="21" t="s">
        <v>152</v>
      </c>
      <c r="O13" s="21" t="s">
        <v>153</v>
      </c>
      <c r="P13" s="21" t="s">
        <v>68</v>
      </c>
      <c r="Q13" s="21" t="s">
        <v>54</v>
      </c>
      <c r="R13" s="22">
        <v>46280</v>
      </c>
      <c r="S13" s="21" t="s">
        <v>55</v>
      </c>
      <c r="T13" s="23" t="s">
        <v>154</v>
      </c>
    </row>
    <row r="14" spans="1:20" ht="150" customHeight="1" x14ac:dyDescent="0.2">
      <c r="A14" s="20" t="s">
        <v>155</v>
      </c>
      <c r="B14" s="20" t="s">
        <v>156</v>
      </c>
      <c r="C14" s="20" t="s">
        <v>59</v>
      </c>
      <c r="D14" s="20" t="s">
        <v>157</v>
      </c>
      <c r="E14" s="20" t="s">
        <v>43</v>
      </c>
      <c r="F14" s="20" t="s">
        <v>44</v>
      </c>
      <c r="G14" s="20" t="s">
        <v>158</v>
      </c>
      <c r="H14" s="20" t="s">
        <v>159</v>
      </c>
      <c r="I14" s="21" t="s">
        <v>47</v>
      </c>
      <c r="J14" s="21" t="s">
        <v>74</v>
      </c>
      <c r="K14" s="21" t="str">
        <f>IF($I14="","",IF($J14="","",IF(IFERROR(VLOOKUP($J14,Listas!$G$2:$H$28,2,0),"")=$I14,"OK","Revisar área/ítem")))</f>
        <v>OK</v>
      </c>
      <c r="L14" s="21" t="s">
        <v>93</v>
      </c>
      <c r="M14" s="21" t="s">
        <v>76</v>
      </c>
      <c r="N14" s="21" t="s">
        <v>160</v>
      </c>
      <c r="O14" s="21" t="s">
        <v>161</v>
      </c>
      <c r="P14" s="21" t="s">
        <v>53</v>
      </c>
      <c r="Q14" s="21" t="s">
        <v>54</v>
      </c>
      <c r="R14" s="22">
        <v>46280</v>
      </c>
      <c r="S14" s="21" t="s">
        <v>55</v>
      </c>
      <c r="T14" s="23" t="s">
        <v>162</v>
      </c>
    </row>
    <row r="15" spans="1:20" ht="150" customHeight="1" x14ac:dyDescent="0.2">
      <c r="A15" s="20" t="s">
        <v>163</v>
      </c>
      <c r="B15" s="20" t="s">
        <v>164</v>
      </c>
      <c r="C15" s="20" t="s">
        <v>165</v>
      </c>
      <c r="D15" s="20" t="s">
        <v>108</v>
      </c>
      <c r="E15" s="20" t="s">
        <v>43</v>
      </c>
      <c r="F15" s="20" t="s">
        <v>44</v>
      </c>
      <c r="G15" s="20" t="s">
        <v>166</v>
      </c>
      <c r="H15" s="20" t="s">
        <v>167</v>
      </c>
      <c r="I15" s="21" t="s">
        <v>47</v>
      </c>
      <c r="J15" s="21" t="s">
        <v>168</v>
      </c>
      <c r="K15" s="21" t="str">
        <f>IF($I15="","",IF($J15="","",IF(IFERROR(VLOOKUP($J15,Listas!$G$2:$H$28,2,0),"")=$I15,"OK","Revisar área/ítem")))</f>
        <v>OK</v>
      </c>
      <c r="L15" s="21" t="s">
        <v>169</v>
      </c>
      <c r="M15" s="21" t="s">
        <v>50</v>
      </c>
      <c r="N15" s="21" t="s">
        <v>170</v>
      </c>
      <c r="O15" s="21" t="s">
        <v>171</v>
      </c>
      <c r="P15" s="21" t="s">
        <v>53</v>
      </c>
      <c r="Q15" s="21" t="s">
        <v>54</v>
      </c>
      <c r="R15" s="22">
        <v>46280</v>
      </c>
      <c r="S15" s="21" t="s">
        <v>55</v>
      </c>
      <c r="T15" s="23" t="s">
        <v>172</v>
      </c>
    </row>
    <row r="16" spans="1:20" ht="150" customHeight="1" x14ac:dyDescent="0.2">
      <c r="A16" s="20" t="s">
        <v>173</v>
      </c>
      <c r="B16" s="20" t="s">
        <v>174</v>
      </c>
      <c r="C16" s="20" t="s">
        <v>175</v>
      </c>
      <c r="D16" s="20" t="s">
        <v>42</v>
      </c>
      <c r="E16" s="20" t="s">
        <v>176</v>
      </c>
      <c r="F16" s="20" t="s">
        <v>177</v>
      </c>
      <c r="G16" s="20" t="s">
        <v>178</v>
      </c>
      <c r="H16" s="20" t="s">
        <v>179</v>
      </c>
      <c r="I16" s="21" t="s">
        <v>62</v>
      </c>
      <c r="J16" s="21" t="s">
        <v>180</v>
      </c>
      <c r="K16" s="21" t="str">
        <f>IF($I16="","",IF($J16="","",IF(IFERROR(VLOOKUP($J16,Listas!$G$2:$H$28,2,0),"")=$I16,"OK","Revisar área/ítem")))</f>
        <v>OK</v>
      </c>
      <c r="L16" s="21" t="s">
        <v>181</v>
      </c>
      <c r="M16" s="21" t="s">
        <v>182</v>
      </c>
      <c r="N16" s="21" t="s">
        <v>183</v>
      </c>
      <c r="O16" s="21" t="s">
        <v>184</v>
      </c>
      <c r="P16" s="21" t="s">
        <v>68</v>
      </c>
      <c r="Q16" s="21" t="s">
        <v>54</v>
      </c>
      <c r="R16" s="22">
        <v>46280</v>
      </c>
      <c r="S16" s="21" t="s">
        <v>55</v>
      </c>
      <c r="T16" s="23" t="s">
        <v>185</v>
      </c>
    </row>
    <row r="17" spans="1:20" ht="150" customHeight="1" x14ac:dyDescent="0.2">
      <c r="A17" s="20" t="s">
        <v>186</v>
      </c>
      <c r="B17" s="20" t="s">
        <v>187</v>
      </c>
      <c r="C17" s="20" t="s">
        <v>175</v>
      </c>
      <c r="D17" s="20" t="s">
        <v>108</v>
      </c>
      <c r="E17" s="20" t="s">
        <v>176</v>
      </c>
      <c r="F17" s="20" t="s">
        <v>177</v>
      </c>
      <c r="G17" s="20" t="s">
        <v>188</v>
      </c>
      <c r="H17" s="20" t="s">
        <v>189</v>
      </c>
      <c r="I17" s="21" t="s">
        <v>47</v>
      </c>
      <c r="J17" s="21" t="s">
        <v>190</v>
      </c>
      <c r="K17" s="21" t="str">
        <f>IF($I17="","",IF($J17="","",IF(IFERROR(VLOOKUP($J17,Listas!$G$2:$H$28,2,0),"")=$I17,"OK","Revisar área/ítem")))</f>
        <v>OK</v>
      </c>
      <c r="L17" s="21" t="s">
        <v>191</v>
      </c>
      <c r="M17" s="21" t="s">
        <v>76</v>
      </c>
      <c r="N17" s="21" t="s">
        <v>192</v>
      </c>
      <c r="O17" s="21" t="s">
        <v>193</v>
      </c>
      <c r="P17" s="21" t="s">
        <v>53</v>
      </c>
      <c r="Q17" s="21" t="s">
        <v>54</v>
      </c>
      <c r="R17" s="22">
        <v>46280</v>
      </c>
      <c r="S17" s="21" t="s">
        <v>55</v>
      </c>
      <c r="T17" s="23" t="s">
        <v>194</v>
      </c>
    </row>
    <row r="18" spans="1:20" ht="150" customHeight="1" x14ac:dyDescent="0.2">
      <c r="A18" s="20" t="s">
        <v>195</v>
      </c>
      <c r="B18" s="20" t="s">
        <v>196</v>
      </c>
      <c r="C18" s="20" t="s">
        <v>197</v>
      </c>
      <c r="D18" s="20" t="s">
        <v>157</v>
      </c>
      <c r="E18" s="20" t="s">
        <v>176</v>
      </c>
      <c r="F18" s="20" t="s">
        <v>44</v>
      </c>
      <c r="G18" s="20" t="s">
        <v>198</v>
      </c>
      <c r="H18" s="20" t="s">
        <v>199</v>
      </c>
      <c r="I18" s="21" t="s">
        <v>62</v>
      </c>
      <c r="J18" s="21" t="s">
        <v>63</v>
      </c>
      <c r="K18" s="21" t="str">
        <f>IF($I18="","",IF($J18="","",IF(IFERROR(VLOOKUP($J18,Listas!$G$2:$H$28,2,0),"")=$I18,"OK","Revisar área/ítem")))</f>
        <v>OK</v>
      </c>
      <c r="L18" s="21" t="s">
        <v>200</v>
      </c>
      <c r="M18" s="21" t="s">
        <v>182</v>
      </c>
      <c r="N18" s="21" t="s">
        <v>201</v>
      </c>
      <c r="O18" s="21" t="s">
        <v>202</v>
      </c>
      <c r="P18" s="21" t="s">
        <v>68</v>
      </c>
      <c r="Q18" s="21" t="s">
        <v>54</v>
      </c>
      <c r="R18" s="22">
        <v>46280</v>
      </c>
      <c r="S18" s="21" t="s">
        <v>55</v>
      </c>
      <c r="T18" s="23" t="s">
        <v>203</v>
      </c>
    </row>
    <row r="19" spans="1:20" ht="150" customHeight="1" x14ac:dyDescent="0.2">
      <c r="A19" s="20" t="s">
        <v>204</v>
      </c>
      <c r="B19" s="20" t="s">
        <v>205</v>
      </c>
      <c r="C19" s="20" t="s">
        <v>175</v>
      </c>
      <c r="D19" s="20" t="s">
        <v>157</v>
      </c>
      <c r="E19" s="20" t="s">
        <v>176</v>
      </c>
      <c r="F19" s="20" t="s">
        <v>44</v>
      </c>
      <c r="G19" s="20" t="s">
        <v>206</v>
      </c>
      <c r="H19" s="20" t="s">
        <v>207</v>
      </c>
      <c r="I19" s="21" t="s">
        <v>62</v>
      </c>
      <c r="J19" s="21" t="s">
        <v>180</v>
      </c>
      <c r="K19" s="21" t="str">
        <f>IF($I19="","",IF($J19="","",IF(IFERROR(VLOOKUP($J19,Listas!$G$2:$H$28,2,0),"")=$I19,"OK","Revisar área/ítem")))</f>
        <v>OK</v>
      </c>
      <c r="L19" s="21" t="s">
        <v>208</v>
      </c>
      <c r="M19" s="21" t="s">
        <v>50</v>
      </c>
      <c r="N19" s="21" t="s">
        <v>209</v>
      </c>
      <c r="O19" s="21" t="s">
        <v>210</v>
      </c>
      <c r="P19" s="21" t="s">
        <v>53</v>
      </c>
      <c r="Q19" s="21" t="s">
        <v>54</v>
      </c>
      <c r="R19" s="22">
        <v>46280</v>
      </c>
      <c r="S19" s="21" t="s">
        <v>55</v>
      </c>
      <c r="T19" s="23" t="s">
        <v>211</v>
      </c>
    </row>
    <row r="20" spans="1:20" ht="150" customHeight="1" x14ac:dyDescent="0.2">
      <c r="A20" s="20" t="s">
        <v>212</v>
      </c>
      <c r="B20" s="20" t="s">
        <v>213</v>
      </c>
      <c r="C20" s="20" t="s">
        <v>59</v>
      </c>
      <c r="D20" s="20" t="s">
        <v>108</v>
      </c>
      <c r="E20" s="20" t="s">
        <v>176</v>
      </c>
      <c r="F20" s="20" t="s">
        <v>214</v>
      </c>
      <c r="G20" s="20" t="s">
        <v>215</v>
      </c>
      <c r="H20" s="20" t="s">
        <v>216</v>
      </c>
      <c r="I20" s="21" t="s">
        <v>62</v>
      </c>
      <c r="J20" s="21" t="s">
        <v>135</v>
      </c>
      <c r="K20" s="21" t="str">
        <f>IF($I20="","",IF($J20="","",IF(IFERROR(VLOOKUP($J20,Listas!$G$2:$H$28,2,0),"")=$I20,"OK","Revisar área/ítem")))</f>
        <v>OK</v>
      </c>
      <c r="L20" s="21" t="s">
        <v>217</v>
      </c>
      <c r="M20" s="21" t="s">
        <v>76</v>
      </c>
      <c r="N20" s="21" t="s">
        <v>218</v>
      </c>
      <c r="O20" s="21" t="s">
        <v>219</v>
      </c>
      <c r="P20" s="21" t="s">
        <v>68</v>
      </c>
      <c r="Q20" s="21" t="s">
        <v>54</v>
      </c>
      <c r="R20" s="22">
        <v>46280</v>
      </c>
      <c r="S20" s="21" t="s">
        <v>55</v>
      </c>
      <c r="T20" s="23" t="s">
        <v>220</v>
      </c>
    </row>
    <row r="21" spans="1:20" ht="150" customHeight="1" x14ac:dyDescent="0.2">
      <c r="A21" s="20" t="s">
        <v>221</v>
      </c>
      <c r="B21" s="20" t="s">
        <v>222</v>
      </c>
      <c r="C21" s="20" t="s">
        <v>223</v>
      </c>
      <c r="D21" s="20" t="s">
        <v>42</v>
      </c>
      <c r="E21" s="20" t="s">
        <v>176</v>
      </c>
      <c r="F21" s="20" t="s">
        <v>44</v>
      </c>
      <c r="G21" s="20" t="s">
        <v>224</v>
      </c>
      <c r="H21" s="20" t="s">
        <v>225</v>
      </c>
      <c r="I21" s="21" t="s">
        <v>62</v>
      </c>
      <c r="J21" s="21" t="s">
        <v>135</v>
      </c>
      <c r="K21" s="21" t="str">
        <f>IF($I21="","",IF($J21="","",IF(IFERROR(VLOOKUP($J21,Listas!$G$2:$H$28,2,0),"")=$I21,"OK","Revisar área/ítem")))</f>
        <v>OK</v>
      </c>
      <c r="L21" s="21" t="s">
        <v>226</v>
      </c>
      <c r="M21" s="21" t="s">
        <v>76</v>
      </c>
      <c r="N21" s="21" t="s">
        <v>227</v>
      </c>
      <c r="O21" s="21" t="s">
        <v>228</v>
      </c>
      <c r="P21" s="21" t="s">
        <v>68</v>
      </c>
      <c r="Q21" s="21" t="s">
        <v>54</v>
      </c>
      <c r="R21" s="22">
        <v>46280</v>
      </c>
      <c r="S21" s="21" t="s">
        <v>55</v>
      </c>
      <c r="T21" s="23" t="s">
        <v>229</v>
      </c>
    </row>
    <row r="22" spans="1:20" ht="150" customHeight="1" x14ac:dyDescent="0.2">
      <c r="A22" s="20" t="s">
        <v>230</v>
      </c>
      <c r="B22" s="20" t="s">
        <v>231</v>
      </c>
      <c r="C22" s="20" t="s">
        <v>232</v>
      </c>
      <c r="D22" s="20" t="s">
        <v>233</v>
      </c>
      <c r="E22" s="20" t="s">
        <v>176</v>
      </c>
      <c r="F22" s="20" t="s">
        <v>44</v>
      </c>
      <c r="G22" s="20" t="s">
        <v>234</v>
      </c>
      <c r="H22" s="20" t="s">
        <v>235</v>
      </c>
      <c r="I22" s="21" t="s">
        <v>62</v>
      </c>
      <c r="J22" s="21" t="s">
        <v>135</v>
      </c>
      <c r="K22" s="21" t="str">
        <f>IF($I22="","",IF($J22="","",IF(IFERROR(VLOOKUP($J22,Listas!$G$2:$H$28,2,0),"")=$I22,"OK","Revisar área/ítem")))</f>
        <v>OK</v>
      </c>
      <c r="L22" s="21" t="s">
        <v>236</v>
      </c>
      <c r="M22" s="21" t="s">
        <v>237</v>
      </c>
      <c r="N22" s="21" t="s">
        <v>238</v>
      </c>
      <c r="O22" s="21" t="s">
        <v>239</v>
      </c>
      <c r="P22" s="21" t="s">
        <v>68</v>
      </c>
      <c r="Q22" s="21" t="s">
        <v>54</v>
      </c>
      <c r="R22" s="22">
        <v>46280</v>
      </c>
      <c r="S22" s="21" t="s">
        <v>55</v>
      </c>
      <c r="T22" s="23" t="s">
        <v>240</v>
      </c>
    </row>
    <row r="23" spans="1:20" ht="150" customHeight="1" x14ac:dyDescent="0.2">
      <c r="A23" s="20" t="s">
        <v>241</v>
      </c>
      <c r="B23" s="20" t="s">
        <v>242</v>
      </c>
      <c r="C23" s="20" t="s">
        <v>243</v>
      </c>
      <c r="D23" s="20" t="s">
        <v>233</v>
      </c>
      <c r="E23" s="20" t="s">
        <v>176</v>
      </c>
      <c r="F23" s="20" t="s">
        <v>177</v>
      </c>
      <c r="G23" s="20" t="s">
        <v>178</v>
      </c>
      <c r="H23" s="20" t="s">
        <v>244</v>
      </c>
      <c r="I23" s="21" t="s">
        <v>62</v>
      </c>
      <c r="J23" s="21" t="s">
        <v>180</v>
      </c>
      <c r="K23" s="21" t="str">
        <f>IF($I23="","",IF($J23="","",IF(IFERROR(VLOOKUP($J23,Listas!$G$2:$H$28,2,0),"")=$I23,"OK","Revisar área/ítem")))</f>
        <v>OK</v>
      </c>
      <c r="L23" s="21" t="s">
        <v>245</v>
      </c>
      <c r="M23" s="21" t="s">
        <v>182</v>
      </c>
      <c r="N23" s="21" t="s">
        <v>246</v>
      </c>
      <c r="O23" s="21" t="s">
        <v>247</v>
      </c>
      <c r="P23" s="21" t="s">
        <v>68</v>
      </c>
      <c r="Q23" s="21" t="s">
        <v>54</v>
      </c>
      <c r="R23" s="22">
        <v>46280</v>
      </c>
      <c r="S23" s="21" t="s">
        <v>55</v>
      </c>
      <c r="T23" s="23" t="s">
        <v>248</v>
      </c>
    </row>
    <row r="24" spans="1:20" ht="150" customHeight="1" x14ac:dyDescent="0.2">
      <c r="A24" s="20" t="s">
        <v>249</v>
      </c>
      <c r="B24" s="20" t="s">
        <v>250</v>
      </c>
      <c r="C24" s="20" t="s">
        <v>243</v>
      </c>
      <c r="D24" s="20" t="s">
        <v>233</v>
      </c>
      <c r="E24" s="20" t="s">
        <v>176</v>
      </c>
      <c r="F24" s="20" t="s">
        <v>177</v>
      </c>
      <c r="G24" s="20" t="s">
        <v>251</v>
      </c>
      <c r="H24" s="20" t="s">
        <v>252</v>
      </c>
      <c r="I24" s="21" t="s">
        <v>62</v>
      </c>
      <c r="J24" s="21" t="s">
        <v>63</v>
      </c>
      <c r="K24" s="21" t="str">
        <f>IF($I24="","",IF($J24="","",IF(IFERROR(VLOOKUP($J24,Listas!$G$2:$H$28,2,0),"")=$I24,"OK","Revisar área/ítem")))</f>
        <v>OK</v>
      </c>
      <c r="L24" s="21" t="s">
        <v>253</v>
      </c>
      <c r="M24" s="21" t="s">
        <v>182</v>
      </c>
      <c r="N24" s="21" t="s">
        <v>254</v>
      </c>
      <c r="O24" s="21" t="s">
        <v>255</v>
      </c>
      <c r="P24" s="21" t="s">
        <v>68</v>
      </c>
      <c r="Q24" s="21" t="s">
        <v>54</v>
      </c>
      <c r="R24" s="22">
        <v>46280</v>
      </c>
      <c r="S24" s="21" t="s">
        <v>55</v>
      </c>
      <c r="T24" s="23" t="s">
        <v>256</v>
      </c>
    </row>
    <row r="25" spans="1:20" ht="150" customHeight="1" x14ac:dyDescent="0.2">
      <c r="A25" s="20" t="s">
        <v>257</v>
      </c>
      <c r="B25" s="20" t="s">
        <v>258</v>
      </c>
      <c r="C25" s="20" t="s">
        <v>243</v>
      </c>
      <c r="D25" s="20" t="s">
        <v>233</v>
      </c>
      <c r="E25" s="20" t="s">
        <v>176</v>
      </c>
      <c r="F25" s="20" t="s">
        <v>177</v>
      </c>
      <c r="G25" s="20" t="s">
        <v>259</v>
      </c>
      <c r="H25" s="20" t="s">
        <v>260</v>
      </c>
      <c r="I25" s="21" t="s">
        <v>261</v>
      </c>
      <c r="J25" s="21" t="s">
        <v>262</v>
      </c>
      <c r="K25" s="21" t="str">
        <f>IF($I25="","",IF($J25="","",IF(IFERROR(VLOOKUP($J25,Listas!$G$2:$H$28,2,0),"")=$I25,"OK","Revisar área/ítem")))</f>
        <v>OK</v>
      </c>
      <c r="L25" s="21" t="s">
        <v>263</v>
      </c>
      <c r="M25" s="21" t="s">
        <v>182</v>
      </c>
      <c r="N25" s="21" t="s">
        <v>264</v>
      </c>
      <c r="O25" s="21" t="s">
        <v>265</v>
      </c>
      <c r="P25" s="21" t="s">
        <v>53</v>
      </c>
      <c r="Q25" s="21" t="s">
        <v>54</v>
      </c>
      <c r="R25" s="22">
        <v>46280</v>
      </c>
      <c r="S25" s="21" t="s">
        <v>55</v>
      </c>
      <c r="T25" s="23" t="s">
        <v>266</v>
      </c>
    </row>
    <row r="26" spans="1:20" ht="150" customHeight="1" x14ac:dyDescent="0.2">
      <c r="A26" s="20" t="s">
        <v>267</v>
      </c>
      <c r="B26" s="20" t="s">
        <v>268</v>
      </c>
      <c r="C26" s="20" t="s">
        <v>269</v>
      </c>
      <c r="D26" s="20" t="s">
        <v>270</v>
      </c>
      <c r="E26" s="20" t="s">
        <v>176</v>
      </c>
      <c r="F26" s="20" t="s">
        <v>44</v>
      </c>
      <c r="G26" s="20" t="s">
        <v>271</v>
      </c>
      <c r="H26" s="20" t="s">
        <v>272</v>
      </c>
      <c r="I26" s="21" t="s">
        <v>62</v>
      </c>
      <c r="J26" s="21" t="s">
        <v>63</v>
      </c>
      <c r="K26" s="21" t="str">
        <f>IF($I26="","",IF($J26="","",IF(IFERROR(VLOOKUP($J26,Listas!$G$2:$H$28,2,0),"")=$I26,"OK","Revisar área/ítem")))</f>
        <v>OK</v>
      </c>
      <c r="L26" s="21" t="s">
        <v>273</v>
      </c>
      <c r="M26" s="21" t="s">
        <v>182</v>
      </c>
      <c r="N26" s="21" t="s">
        <v>274</v>
      </c>
      <c r="O26" s="21" t="s">
        <v>275</v>
      </c>
      <c r="P26" s="21" t="s">
        <v>68</v>
      </c>
      <c r="Q26" s="21" t="s">
        <v>54</v>
      </c>
      <c r="R26" s="22">
        <v>46280</v>
      </c>
      <c r="S26" s="21" t="s">
        <v>55</v>
      </c>
      <c r="T26" s="23" t="s">
        <v>276</v>
      </c>
    </row>
    <row r="27" spans="1:20" ht="150" customHeight="1" x14ac:dyDescent="0.2">
      <c r="A27" s="20" t="s">
        <v>277</v>
      </c>
      <c r="B27" s="20" t="s">
        <v>278</v>
      </c>
      <c r="C27" s="20" t="s">
        <v>269</v>
      </c>
      <c r="D27" s="20" t="s">
        <v>270</v>
      </c>
      <c r="E27" s="20" t="s">
        <v>176</v>
      </c>
      <c r="F27" s="20" t="s">
        <v>44</v>
      </c>
      <c r="G27" s="20" t="s">
        <v>279</v>
      </c>
      <c r="H27" s="20" t="s">
        <v>280</v>
      </c>
      <c r="I27" s="21" t="s">
        <v>62</v>
      </c>
      <c r="J27" s="21" t="s">
        <v>63</v>
      </c>
      <c r="K27" s="21" t="str">
        <f>IF($I27="","",IF($J27="","",IF(IFERROR(VLOOKUP($J27,Listas!$G$2:$H$28,2,0),"")=$I27,"OK","Revisar área/ítem")))</f>
        <v>OK</v>
      </c>
      <c r="L27" s="21" t="s">
        <v>273</v>
      </c>
      <c r="M27" s="21" t="s">
        <v>182</v>
      </c>
      <c r="N27" s="21" t="s">
        <v>281</v>
      </c>
      <c r="O27" s="21" t="s">
        <v>282</v>
      </c>
      <c r="P27" s="21" t="s">
        <v>68</v>
      </c>
      <c r="Q27" s="21" t="s">
        <v>54</v>
      </c>
      <c r="R27" s="22">
        <v>46280</v>
      </c>
      <c r="S27" s="21" t="s">
        <v>55</v>
      </c>
      <c r="T27" s="23" t="s">
        <v>283</v>
      </c>
    </row>
    <row r="28" spans="1:20" ht="150" customHeight="1" x14ac:dyDescent="0.2">
      <c r="A28" s="20" t="s">
        <v>284</v>
      </c>
      <c r="B28" s="20" t="s">
        <v>285</v>
      </c>
      <c r="C28" s="20" t="s">
        <v>269</v>
      </c>
      <c r="D28" s="20" t="s">
        <v>270</v>
      </c>
      <c r="E28" s="20" t="s">
        <v>176</v>
      </c>
      <c r="F28" s="20" t="s">
        <v>44</v>
      </c>
      <c r="G28" s="20" t="s">
        <v>286</v>
      </c>
      <c r="H28" s="20" t="s">
        <v>287</v>
      </c>
      <c r="I28" s="21" t="s">
        <v>62</v>
      </c>
      <c r="J28" s="21" t="s">
        <v>135</v>
      </c>
      <c r="K28" s="21" t="str">
        <f>IF($I28="","",IF($J28="","",IF(IFERROR(VLOOKUP($J28,Listas!$G$2:$H$28,2,0),"")=$I28,"OK","Revisar área/ítem")))</f>
        <v>OK</v>
      </c>
      <c r="L28" s="21" t="s">
        <v>226</v>
      </c>
      <c r="M28" s="21" t="s">
        <v>182</v>
      </c>
      <c r="N28" s="21" t="s">
        <v>288</v>
      </c>
      <c r="O28" s="21" t="s">
        <v>289</v>
      </c>
      <c r="P28" s="21" t="s">
        <v>68</v>
      </c>
      <c r="Q28" s="21" t="s">
        <v>54</v>
      </c>
      <c r="R28" s="22">
        <v>46280</v>
      </c>
      <c r="S28" s="21" t="s">
        <v>55</v>
      </c>
      <c r="T28" s="23" t="s">
        <v>290</v>
      </c>
    </row>
    <row r="29" spans="1:20" ht="150" customHeight="1" x14ac:dyDescent="0.2">
      <c r="A29" s="20" t="s">
        <v>291</v>
      </c>
      <c r="B29" s="20" t="s">
        <v>292</v>
      </c>
      <c r="C29" s="20" t="s">
        <v>293</v>
      </c>
      <c r="D29" s="20" t="s">
        <v>157</v>
      </c>
      <c r="E29" s="20" t="s">
        <v>176</v>
      </c>
      <c r="F29" s="20" t="s">
        <v>44</v>
      </c>
      <c r="G29" s="20" t="s">
        <v>294</v>
      </c>
      <c r="H29" s="20" t="s">
        <v>295</v>
      </c>
      <c r="I29" s="21" t="s">
        <v>47</v>
      </c>
      <c r="J29" s="21" t="s">
        <v>74</v>
      </c>
      <c r="K29" s="21" t="str">
        <f>IF($I29="","",IF($J29="","",IF(IFERROR(VLOOKUP($J29,Listas!$G$2:$H$28,2,0),"")=$I29,"OK","Revisar área/ítem")))</f>
        <v>OK</v>
      </c>
      <c r="L29" s="21" t="s">
        <v>93</v>
      </c>
      <c r="M29" s="21" t="s">
        <v>182</v>
      </c>
      <c r="N29" s="21" t="s">
        <v>296</v>
      </c>
      <c r="O29" s="21" t="s">
        <v>297</v>
      </c>
      <c r="P29" s="21" t="s">
        <v>53</v>
      </c>
      <c r="Q29" s="21" t="s">
        <v>54</v>
      </c>
      <c r="R29" s="22">
        <v>46280</v>
      </c>
      <c r="S29" s="21" t="s">
        <v>55</v>
      </c>
      <c r="T29" s="23" t="s">
        <v>298</v>
      </c>
    </row>
    <row r="30" spans="1:20" ht="150" customHeight="1" x14ac:dyDescent="0.2">
      <c r="A30" s="20" t="s">
        <v>299</v>
      </c>
      <c r="B30" s="20" t="s">
        <v>300</v>
      </c>
      <c r="C30" s="20" t="s">
        <v>243</v>
      </c>
      <c r="D30" s="20" t="s">
        <v>233</v>
      </c>
      <c r="E30" s="20" t="s">
        <v>176</v>
      </c>
      <c r="F30" s="20" t="s">
        <v>44</v>
      </c>
      <c r="G30" s="20" t="s">
        <v>301</v>
      </c>
      <c r="H30" s="20" t="s">
        <v>302</v>
      </c>
      <c r="I30" s="21" t="s">
        <v>47</v>
      </c>
      <c r="J30" s="21" t="s">
        <v>74</v>
      </c>
      <c r="K30" s="21" t="str">
        <f>IF($I30="","",IF($J30="","",IF(IFERROR(VLOOKUP($J30,Listas!$G$2:$H$28,2,0),"")=$I30,"OK","Revisar área/ítem")))</f>
        <v>OK</v>
      </c>
      <c r="L30" s="21" t="s">
        <v>93</v>
      </c>
      <c r="M30" s="21" t="s">
        <v>182</v>
      </c>
      <c r="N30" s="21" t="s">
        <v>303</v>
      </c>
      <c r="O30" s="21" t="s">
        <v>304</v>
      </c>
      <c r="P30" s="21" t="s">
        <v>53</v>
      </c>
      <c r="Q30" s="21" t="s">
        <v>54</v>
      </c>
      <c r="R30" s="22">
        <v>46280</v>
      </c>
      <c r="S30" s="21" t="s">
        <v>55</v>
      </c>
      <c r="T30" s="23" t="s">
        <v>305</v>
      </c>
    </row>
    <row r="31" spans="1:20" ht="150" customHeight="1" x14ac:dyDescent="0.2">
      <c r="A31" s="20" t="s">
        <v>306</v>
      </c>
      <c r="B31" s="20" t="s">
        <v>307</v>
      </c>
      <c r="C31" s="20" t="s">
        <v>308</v>
      </c>
      <c r="D31" s="20" t="s">
        <v>309</v>
      </c>
      <c r="E31" s="20" t="s">
        <v>176</v>
      </c>
      <c r="F31" s="20" t="s">
        <v>44</v>
      </c>
      <c r="G31" s="20" t="s">
        <v>310</v>
      </c>
      <c r="H31" s="20" t="s">
        <v>311</v>
      </c>
      <c r="I31" s="21" t="s">
        <v>47</v>
      </c>
      <c r="J31" s="21" t="s">
        <v>48</v>
      </c>
      <c r="K31" s="21" t="str">
        <f>IF($I31="","",IF($J31="","",IF(IFERROR(VLOOKUP($J31,Listas!$G$2:$H$28,2,0),"")=$I31,"OK","Revisar área/ítem")))</f>
        <v>OK</v>
      </c>
      <c r="L31" s="21" t="s">
        <v>312</v>
      </c>
      <c r="M31" s="21" t="s">
        <v>237</v>
      </c>
      <c r="N31" s="21" t="s">
        <v>313</v>
      </c>
      <c r="O31" s="21" t="s">
        <v>314</v>
      </c>
      <c r="P31" s="21" t="s">
        <v>53</v>
      </c>
      <c r="Q31" s="21" t="s">
        <v>54</v>
      </c>
      <c r="R31" s="22">
        <v>46280</v>
      </c>
      <c r="S31" s="21" t="s">
        <v>55</v>
      </c>
      <c r="T31" s="23" t="s">
        <v>315</v>
      </c>
    </row>
    <row r="32" spans="1:20" ht="150" customHeight="1" x14ac:dyDescent="0.2">
      <c r="A32" s="20" t="s">
        <v>316</v>
      </c>
      <c r="B32" s="20" t="s">
        <v>317</v>
      </c>
      <c r="C32" s="20" t="s">
        <v>318</v>
      </c>
      <c r="D32" s="20" t="s">
        <v>233</v>
      </c>
      <c r="E32" s="20" t="s">
        <v>176</v>
      </c>
      <c r="F32" s="20" t="s">
        <v>44</v>
      </c>
      <c r="G32" s="20" t="s">
        <v>319</v>
      </c>
      <c r="H32" s="20" t="s">
        <v>320</v>
      </c>
      <c r="I32" s="21" t="s">
        <v>47</v>
      </c>
      <c r="J32" s="21" t="s">
        <v>168</v>
      </c>
      <c r="K32" s="21" t="str">
        <f>IF($I32="","",IF($J32="","",IF(IFERROR(VLOOKUP($J32,Listas!$G$2:$H$28,2,0),"")=$I32,"OK","Revisar área/ítem")))</f>
        <v>OK</v>
      </c>
      <c r="L32" s="21" t="s">
        <v>321</v>
      </c>
      <c r="M32" s="21" t="s">
        <v>237</v>
      </c>
      <c r="N32" s="21" t="s">
        <v>322</v>
      </c>
      <c r="O32" s="21" t="s">
        <v>323</v>
      </c>
      <c r="P32" s="21" t="s">
        <v>53</v>
      </c>
      <c r="Q32" s="21" t="s">
        <v>54</v>
      </c>
      <c r="R32" s="22">
        <v>46280</v>
      </c>
      <c r="S32" s="21" t="s">
        <v>55</v>
      </c>
      <c r="T32" s="23" t="s">
        <v>324</v>
      </c>
    </row>
    <row r="33" spans="11:11" x14ac:dyDescent="0.2">
      <c r="K33" s="18" t="str">
        <f>IF($I33="","",IF($J33="","",IF(IFERROR(VLOOKUP($J33,Listas!$G$2:$H$28,2,0),"")=$I33,"OK","Revisar área/ítem")))</f>
        <v/>
      </c>
    </row>
    <row r="34" spans="11:11" x14ac:dyDescent="0.2">
      <c r="K34" s="18" t="str">
        <f>IF($I34="","",IF($J34="","",IF(IFERROR(VLOOKUP($J34,Listas!$G$2:$H$28,2,0),"")=$I34,"OK","Revisar área/ítem")))</f>
        <v/>
      </c>
    </row>
    <row r="35" spans="11:11" x14ac:dyDescent="0.2">
      <c r="K35" s="18" t="str">
        <f>IF($I35="","",IF($J35="","",IF(IFERROR(VLOOKUP($J35,Listas!$G$2:$H$28,2,0),"")=$I35,"OK","Revisar área/ítem")))</f>
        <v/>
      </c>
    </row>
    <row r="36" spans="11:11" x14ac:dyDescent="0.2">
      <c r="K36" s="18" t="str">
        <f>IF($I36="","",IF($J36="","",IF(IFERROR(VLOOKUP($J36,Listas!$G$2:$H$28,2,0),"")=$I36,"OK","Revisar área/ítem")))</f>
        <v/>
      </c>
    </row>
    <row r="37" spans="11:11" x14ac:dyDescent="0.2">
      <c r="K37" s="18" t="str">
        <f>IF($I37="","",IF($J37="","",IF(IFERROR(VLOOKUP($J37,Listas!$G$2:$H$28,2,0),"")=$I37,"OK","Revisar área/ítem")))</f>
        <v/>
      </c>
    </row>
    <row r="38" spans="11:11" x14ac:dyDescent="0.2">
      <c r="K38" s="18" t="str">
        <f>IF($I38="","",IF($J38="","",IF(IFERROR(VLOOKUP($J38,Listas!$G$2:$H$28,2,0),"")=$I38,"OK","Revisar área/ítem")))</f>
        <v/>
      </c>
    </row>
    <row r="39" spans="11:11" x14ac:dyDescent="0.2">
      <c r="K39" s="18" t="str">
        <f>IF($I39="","",IF($J39="","",IF(IFERROR(VLOOKUP($J39,Listas!$G$2:$H$28,2,0),"")=$I39,"OK","Revisar área/ítem")))</f>
        <v/>
      </c>
    </row>
    <row r="40" spans="11:11" x14ac:dyDescent="0.2">
      <c r="K40" s="18" t="str">
        <f>IF($I40="","",IF($J40="","",IF(IFERROR(VLOOKUP($J40,Listas!$G$2:$H$28,2,0),"")=$I40,"OK","Revisar área/ítem")))</f>
        <v/>
      </c>
    </row>
    <row r="41" spans="11:11" x14ac:dyDescent="0.2">
      <c r="K41" s="18" t="str">
        <f>IF($I41="","",IF($J41="","",IF(IFERROR(VLOOKUP($J41,Listas!$G$2:$H$28,2,0),"")=$I41,"OK","Revisar área/ítem")))</f>
        <v/>
      </c>
    </row>
    <row r="42" spans="11:11" x14ac:dyDescent="0.2">
      <c r="K42" s="18" t="str">
        <f>IF($I42="","",IF($J42="","",IF(IFERROR(VLOOKUP($J42,Listas!$G$2:$H$28,2,0),"")=$I42,"OK","Revisar área/ítem")))</f>
        <v/>
      </c>
    </row>
    <row r="43" spans="11:11" x14ac:dyDescent="0.2">
      <c r="K43" s="18" t="str">
        <f>IF($I43="","",IF($J43="","",IF(IFERROR(VLOOKUP($J43,Listas!$G$2:$H$28,2,0),"")=$I43,"OK","Revisar área/ítem")))</f>
        <v/>
      </c>
    </row>
    <row r="44" spans="11:11" x14ac:dyDescent="0.2">
      <c r="K44" s="18" t="str">
        <f>IF($I44="","",IF($J44="","",IF(IFERROR(VLOOKUP($J44,Listas!$G$2:$H$28,2,0),"")=$I44,"OK","Revisar área/ítem")))</f>
        <v/>
      </c>
    </row>
    <row r="45" spans="11:11" x14ac:dyDescent="0.2">
      <c r="K45" s="18" t="str">
        <f>IF($I45="","",IF($J45="","",IF(IFERROR(VLOOKUP($J45,Listas!$G$2:$H$28,2,0),"")=$I45,"OK","Revisar área/ítem")))</f>
        <v/>
      </c>
    </row>
    <row r="46" spans="11:11" x14ac:dyDescent="0.2">
      <c r="K46" s="18" t="str">
        <f>IF($I46="","",IF($J46="","",IF(IFERROR(VLOOKUP($J46,Listas!$G$2:$H$28,2,0),"")=$I46,"OK","Revisar área/ítem")))</f>
        <v/>
      </c>
    </row>
    <row r="47" spans="11:11" x14ac:dyDescent="0.2">
      <c r="K47" s="18" t="str">
        <f>IF($I47="","",IF($J47="","",IF(IFERROR(VLOOKUP($J47,Listas!$G$2:$H$28,2,0),"")=$I47,"OK","Revisar área/ítem")))</f>
        <v/>
      </c>
    </row>
    <row r="48" spans="11:11" x14ac:dyDescent="0.2">
      <c r="K48" s="18" t="str">
        <f>IF($I48="","",IF($J48="","",IF(IFERROR(VLOOKUP($J48,Listas!$G$2:$H$28,2,0),"")=$I48,"OK","Revisar área/ítem")))</f>
        <v/>
      </c>
    </row>
    <row r="49" spans="11:11" x14ac:dyDescent="0.2">
      <c r="K49" s="18" t="str">
        <f>IF($I49="","",IF($J49="","",IF(IFERROR(VLOOKUP($J49,Listas!$G$2:$H$28,2,0),"")=$I49,"OK","Revisar área/ítem")))</f>
        <v/>
      </c>
    </row>
    <row r="50" spans="11:11" x14ac:dyDescent="0.2">
      <c r="K50" s="18" t="str">
        <f>IF($I50="","",IF($J50="","",IF(IFERROR(VLOOKUP($J50,Listas!$G$2:$H$28,2,0),"")=$I50,"OK","Revisar área/ítem")))</f>
        <v/>
      </c>
    </row>
    <row r="51" spans="11:11" x14ac:dyDescent="0.2">
      <c r="K51" s="18" t="str">
        <f>IF($I51="","",IF($J51="","",IF(IFERROR(VLOOKUP($J51,Listas!$G$2:$H$28,2,0),"")=$I51,"OK","Revisar área/ítem")))</f>
        <v/>
      </c>
    </row>
    <row r="52" spans="11:11" x14ac:dyDescent="0.2">
      <c r="K52" s="18" t="str">
        <f>IF($I52="","",IF($J52="","",IF(IFERROR(VLOOKUP($J52,Listas!$G$2:$H$28,2,0),"")=$I52,"OK","Revisar área/ítem")))</f>
        <v/>
      </c>
    </row>
    <row r="53" spans="11:11" x14ac:dyDescent="0.2">
      <c r="K53" s="18" t="str">
        <f>IF($I53="","",IF($J53="","",IF(IFERROR(VLOOKUP($J53,Listas!$G$2:$H$28,2,0),"")=$I53,"OK","Revisar área/ítem")))</f>
        <v/>
      </c>
    </row>
    <row r="54" spans="11:11" x14ac:dyDescent="0.2">
      <c r="K54" s="18" t="str">
        <f>IF($I54="","",IF($J54="","",IF(IFERROR(VLOOKUP($J54,Listas!$G$2:$H$28,2,0),"")=$I54,"OK","Revisar área/ítem")))</f>
        <v/>
      </c>
    </row>
    <row r="55" spans="11:11" x14ac:dyDescent="0.2">
      <c r="K55" s="18" t="str">
        <f>IF($I55="","",IF($J55="","",IF(IFERROR(VLOOKUP($J55,Listas!$G$2:$H$28,2,0),"")=$I55,"OK","Revisar área/ítem")))</f>
        <v/>
      </c>
    </row>
    <row r="56" spans="11:11" x14ac:dyDescent="0.2">
      <c r="K56" s="18" t="str">
        <f>IF($I56="","",IF($J56="","",IF(IFERROR(VLOOKUP($J56,Listas!$G$2:$H$28,2,0),"")=$I56,"OK","Revisar área/ítem")))</f>
        <v/>
      </c>
    </row>
    <row r="57" spans="11:11" x14ac:dyDescent="0.2">
      <c r="K57" s="18" t="str">
        <f>IF($I57="","",IF($J57="","",IF(IFERROR(VLOOKUP($J57,Listas!$G$2:$H$28,2,0),"")=$I57,"OK","Revisar área/ítem")))</f>
        <v/>
      </c>
    </row>
    <row r="58" spans="11:11" x14ac:dyDescent="0.2">
      <c r="K58" s="18" t="str">
        <f>IF($I58="","",IF($J58="","",IF(IFERROR(VLOOKUP($J58,Listas!$G$2:$H$28,2,0),"")=$I58,"OK","Revisar área/ítem")))</f>
        <v/>
      </c>
    </row>
    <row r="59" spans="11:11" x14ac:dyDescent="0.2">
      <c r="K59" s="18" t="str">
        <f>IF($I59="","",IF($J59="","",IF(IFERROR(VLOOKUP($J59,Listas!$G$2:$H$28,2,0),"")=$I59,"OK","Revisar área/ítem")))</f>
        <v/>
      </c>
    </row>
    <row r="60" spans="11:11" x14ac:dyDescent="0.2">
      <c r="K60" s="18" t="str">
        <f>IF($I60="","",IF($J60="","",IF(IFERROR(VLOOKUP($J60,Listas!$G$2:$H$28,2,0),"")=$I60,"OK","Revisar área/ítem")))</f>
        <v/>
      </c>
    </row>
    <row r="61" spans="11:11" x14ac:dyDescent="0.2">
      <c r="K61" s="18" t="str">
        <f>IF($I61="","",IF($J61="","",IF(IFERROR(VLOOKUP($J61,Listas!$G$2:$H$28,2,0),"")=$I61,"OK","Revisar área/ítem")))</f>
        <v/>
      </c>
    </row>
    <row r="62" spans="11:11" x14ac:dyDescent="0.2">
      <c r="K62" s="18" t="str">
        <f>IF($I62="","",IF($J62="","",IF(IFERROR(VLOOKUP($J62,Listas!$G$2:$H$28,2,0),"")=$I62,"OK","Revisar área/ítem")))</f>
        <v/>
      </c>
    </row>
    <row r="63" spans="11:11" x14ac:dyDescent="0.2">
      <c r="K63" s="18" t="str">
        <f>IF($I63="","",IF($J63="","",IF(IFERROR(VLOOKUP($J63,Listas!$G$2:$H$28,2,0),"")=$I63,"OK","Revisar área/ítem")))</f>
        <v/>
      </c>
    </row>
    <row r="64" spans="11:11" x14ac:dyDescent="0.2">
      <c r="K64" s="18" t="str">
        <f>IF($I64="","",IF($J64="","",IF(IFERROR(VLOOKUP($J64,Listas!$G$2:$H$28,2,0),"")=$I64,"OK","Revisar área/ítem")))</f>
        <v/>
      </c>
    </row>
    <row r="65" spans="11:11" x14ac:dyDescent="0.2">
      <c r="K65" s="18" t="str">
        <f>IF($I65="","",IF($J65="","",IF(IFERROR(VLOOKUP($J65,Listas!$G$2:$H$28,2,0),"")=$I65,"OK","Revisar área/ítem")))</f>
        <v/>
      </c>
    </row>
    <row r="66" spans="11:11" x14ac:dyDescent="0.2">
      <c r="K66" s="18" t="str">
        <f>IF($I66="","",IF($J66="","",IF(IFERROR(VLOOKUP($J66,Listas!$G$2:$H$28,2,0),"")=$I66,"OK","Revisar área/ítem")))</f>
        <v/>
      </c>
    </row>
    <row r="67" spans="11:11" x14ac:dyDescent="0.2">
      <c r="K67" s="18" t="str">
        <f>IF($I67="","",IF($J67="","",IF(IFERROR(VLOOKUP($J67,Listas!$G$2:$H$28,2,0),"")=$I67,"OK","Revisar área/ítem")))</f>
        <v/>
      </c>
    </row>
    <row r="68" spans="11:11" x14ac:dyDescent="0.2">
      <c r="K68" s="18" t="str">
        <f>IF($I68="","",IF($J68="","",IF(IFERROR(VLOOKUP($J68,Listas!$G$2:$H$28,2,0),"")=$I68,"OK","Revisar área/ítem")))</f>
        <v/>
      </c>
    </row>
    <row r="69" spans="11:11" x14ac:dyDescent="0.2">
      <c r="K69" s="18" t="str">
        <f>IF($I69="","",IF($J69="","",IF(IFERROR(VLOOKUP($J69,Listas!$G$2:$H$28,2,0),"")=$I69,"OK","Revisar área/ítem")))</f>
        <v/>
      </c>
    </row>
    <row r="70" spans="11:11" x14ac:dyDescent="0.2">
      <c r="K70" s="18" t="str">
        <f>IF($I70="","",IF($J70="","",IF(IFERROR(VLOOKUP($J70,Listas!$G$2:$H$28,2,0),"")=$I70,"OK","Revisar área/ítem")))</f>
        <v/>
      </c>
    </row>
    <row r="71" spans="11:11" x14ac:dyDescent="0.2">
      <c r="K71" s="18" t="str">
        <f>IF($I71="","",IF($J71="","",IF(IFERROR(VLOOKUP($J71,Listas!$G$2:$H$28,2,0),"")=$I71,"OK","Revisar área/ítem")))</f>
        <v/>
      </c>
    </row>
    <row r="72" spans="11:11" x14ac:dyDescent="0.2">
      <c r="K72" s="18" t="str">
        <f>IF($I72="","",IF($J72="","",IF(IFERROR(VLOOKUP($J72,Listas!$G$2:$H$28,2,0),"")=$I72,"OK","Revisar área/ítem")))</f>
        <v/>
      </c>
    </row>
    <row r="73" spans="11:11" x14ac:dyDescent="0.2">
      <c r="K73" s="18" t="str">
        <f>IF($I73="","",IF($J73="","",IF(IFERROR(VLOOKUP($J73,Listas!$G$2:$H$28,2,0),"")=$I73,"OK","Revisar área/ítem")))</f>
        <v/>
      </c>
    </row>
    <row r="74" spans="11:11" x14ac:dyDescent="0.2">
      <c r="K74" s="18" t="str">
        <f>IF($I74="","",IF($J74="","",IF(IFERROR(VLOOKUP($J74,Listas!$G$2:$H$28,2,0),"")=$I74,"OK","Revisar área/ítem")))</f>
        <v/>
      </c>
    </row>
    <row r="75" spans="11:11" x14ac:dyDescent="0.2">
      <c r="K75" s="18" t="str">
        <f>IF($I75="","",IF($J75="","",IF(IFERROR(VLOOKUP($J75,Listas!$G$2:$H$28,2,0),"")=$I75,"OK","Revisar área/ítem")))</f>
        <v/>
      </c>
    </row>
    <row r="76" spans="11:11" x14ac:dyDescent="0.2">
      <c r="K76" s="18" t="str">
        <f>IF($I76="","",IF($J76="","",IF(IFERROR(VLOOKUP($J76,Listas!$G$2:$H$28,2,0),"")=$I76,"OK","Revisar área/ítem")))</f>
        <v/>
      </c>
    </row>
    <row r="77" spans="11:11" x14ac:dyDescent="0.2">
      <c r="K77" s="18" t="str">
        <f>IF($I77="","",IF($J77="","",IF(IFERROR(VLOOKUP($J77,Listas!$G$2:$H$28,2,0),"")=$I77,"OK","Revisar área/ítem")))</f>
        <v/>
      </c>
    </row>
    <row r="78" spans="11:11" x14ac:dyDescent="0.2">
      <c r="K78" s="18" t="str">
        <f>IF($I78="","",IF($J78="","",IF(IFERROR(VLOOKUP($J78,Listas!$G$2:$H$28,2,0),"")=$I78,"OK","Revisar área/ítem")))</f>
        <v/>
      </c>
    </row>
    <row r="79" spans="11:11" x14ac:dyDescent="0.2">
      <c r="K79" s="18" t="str">
        <f>IF($I79="","",IF($J79="","",IF(IFERROR(VLOOKUP($J79,Listas!$G$2:$H$28,2,0),"")=$I79,"OK","Revisar área/ítem")))</f>
        <v/>
      </c>
    </row>
    <row r="80" spans="11:11" x14ac:dyDescent="0.2">
      <c r="K80" s="18" t="str">
        <f>IF($I80="","",IF($J80="","",IF(IFERROR(VLOOKUP($J80,Listas!$G$2:$H$28,2,0),"")=$I80,"OK","Revisar área/ítem")))</f>
        <v/>
      </c>
    </row>
  </sheetData>
  <conditionalFormatting sqref="K2:K200">
    <cfRule type="expression" dxfId="1" priority="2">
      <formula>ISNUMBER(SEARCH("Revisar",K2))</formula>
    </cfRule>
  </conditionalFormatting>
  <conditionalFormatting sqref="S2:S200">
    <cfRule type="expression" dxfId="0" priority="3">
      <formula>$S2="Avalado por coordinación"</formula>
    </cfRule>
  </conditionalFormatting>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100-000000000000}">
          <x14:formula1>
            <xm:f>Listas!$F$2:$F$3</xm:f>
          </x14:formula1>
          <x14:formula2>
            <xm:f>0</xm:f>
          </x14:formula2>
          <xm:sqref>E2:E200</xm:sqref>
        </x14:dataValidation>
        <x14:dataValidation type="list" allowBlank="1" xr:uid="{00000000-0002-0000-0100-000001000000}">
          <x14:formula1>
            <xm:f>Listas!$A$2:$A$5</xm:f>
          </x14:formula1>
          <x14:formula2>
            <xm:f>0</xm:f>
          </x14:formula2>
          <xm:sqref>I2:I200</xm:sqref>
        </x14:dataValidation>
        <x14:dataValidation type="list" allowBlank="1" xr:uid="{00000000-0002-0000-0100-000002000000}">
          <x14:formula1>
            <xm:f>Listas!$G$2:$G$28</xm:f>
          </x14:formula1>
          <x14:formula2>
            <xm:f>0</xm:f>
          </x14:formula2>
          <xm:sqref>J2:J200</xm:sqref>
        </x14:dataValidation>
        <x14:dataValidation type="list" allowBlank="1" xr:uid="{00000000-0002-0000-0100-000003000000}">
          <x14:formula1>
            <xm:f>Listas!$C$2:$C$7</xm:f>
          </x14:formula1>
          <x14:formula2>
            <xm:f>0</xm:f>
          </x14:formula2>
          <xm:sqref>M2:M200</xm:sqref>
        </x14:dataValidation>
        <x14:dataValidation type="list" allowBlank="1" xr:uid="{00000000-0002-0000-0100-000004000000}">
          <x14:formula1>
            <xm:f>Listas!$D$2:$D$5</xm:f>
          </x14:formula1>
          <x14:formula2>
            <xm:f>0</xm:f>
          </x14:formula2>
          <xm:sqref>P2:P200</xm:sqref>
        </x14:dataValidation>
        <x14:dataValidation type="list" allowBlank="1" xr:uid="{00000000-0002-0000-0100-000005000000}">
          <x14:formula1>
            <xm:f>Listas!$E$2:$E$4</xm:f>
          </x14:formula1>
          <x14:formula2>
            <xm:f>0</xm:f>
          </x14:formula2>
          <xm:sqref>S2:S200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F18"/>
  <sheetViews>
    <sheetView showGridLines="0" zoomScaleNormal="100" workbookViewId="0"/>
  </sheetViews>
  <sheetFormatPr baseColWidth="10" defaultColWidth="8.6640625" defaultRowHeight="15" x14ac:dyDescent="0.2"/>
  <cols>
    <col min="1" max="1" width="2" customWidth="1"/>
    <col min="2" max="2" width="34" customWidth="1"/>
    <col min="3" max="3" width="12" customWidth="1"/>
    <col min="4" max="4" width="4" customWidth="1"/>
    <col min="5" max="5" width="34" customWidth="1"/>
    <col min="6" max="6" width="12" customWidth="1"/>
  </cols>
  <sheetData>
    <row r="2" spans="2:6" ht="17" x14ac:dyDescent="0.2">
      <c r="B2" s="8" t="s">
        <v>325</v>
      </c>
    </row>
    <row r="3" spans="2:6" x14ac:dyDescent="0.2">
      <c r="B3" s="9" t="s">
        <v>326</v>
      </c>
    </row>
    <row r="5" spans="2:6" x14ac:dyDescent="0.2">
      <c r="B5" s="1" t="s">
        <v>327</v>
      </c>
      <c r="E5" s="1" t="s">
        <v>328</v>
      </c>
    </row>
    <row r="6" spans="2:6" x14ac:dyDescent="0.2">
      <c r="B6" s="10" t="s">
        <v>329</v>
      </c>
      <c r="C6" s="11">
        <f>COUNTA(Fichas!$B$2:$B$200)</f>
        <v>31</v>
      </c>
      <c r="E6" s="7" t="s">
        <v>261</v>
      </c>
      <c r="F6" s="11">
        <f>COUNTIF(Fichas!$I:$I,"Gestión Directiva")</f>
        <v>1</v>
      </c>
    </row>
    <row r="7" spans="2:6" x14ac:dyDescent="0.2">
      <c r="B7" s="10" t="s">
        <v>330</v>
      </c>
      <c r="C7" s="11">
        <f>COUNTA(Fichas!$N$2:$N$200)</f>
        <v>31</v>
      </c>
      <c r="E7" s="7" t="s">
        <v>62</v>
      </c>
      <c r="F7" s="11">
        <f>COUNTIF(Fichas!$I:$I,"Gestión Académica")</f>
        <v>20</v>
      </c>
    </row>
    <row r="8" spans="2:6" x14ac:dyDescent="0.2">
      <c r="B8" s="10" t="s">
        <v>331</v>
      </c>
      <c r="C8" s="11">
        <f>COUNTIF(Fichas!$S:$S,"Avalado por coordinación")</f>
        <v>0</v>
      </c>
      <c r="E8" s="7" t="s">
        <v>47</v>
      </c>
      <c r="F8" s="11">
        <f>COUNTIF(Fichas!$I:$I,"Gestión de la Comunidad")</f>
        <v>10</v>
      </c>
    </row>
    <row r="9" spans="2:6" x14ac:dyDescent="0.2">
      <c r="B9" s="10" t="s">
        <v>332</v>
      </c>
      <c r="C9" s="11">
        <f>COUNTIF(Fichas!$K:$K,"Revisar*")</f>
        <v>0</v>
      </c>
      <c r="E9" s="7" t="s">
        <v>333</v>
      </c>
      <c r="F9" s="11">
        <f>COUNTIF(Fichas!$I:$I,"Gestión Administrativa y Financiera")</f>
        <v>0</v>
      </c>
    </row>
    <row r="10" spans="2:6" x14ac:dyDescent="0.2">
      <c r="E10" s="12" t="s">
        <v>334</v>
      </c>
      <c r="F10" s="13">
        <f>COUNTA(Fichas!$B$2:$B$200)-SUMPRODUCT(COUNTIF(Fichas!$I:$I,Listas!$A$2:$A$5))</f>
        <v>0</v>
      </c>
    </row>
    <row r="11" spans="2:6" x14ac:dyDescent="0.2">
      <c r="B11" s="1" t="s">
        <v>335</v>
      </c>
    </row>
    <row r="12" spans="2:6" x14ac:dyDescent="0.2">
      <c r="B12" s="10" t="s">
        <v>43</v>
      </c>
      <c r="C12" s="11">
        <f>COUNTIF(Fichas!$E:$E,"Obligatorio")</f>
        <v>14</v>
      </c>
    </row>
    <row r="13" spans="2:6" x14ac:dyDescent="0.2">
      <c r="B13" s="10" t="s">
        <v>176</v>
      </c>
      <c r="C13" s="11">
        <f>COUNTIF(Fichas!$E:$E,"Recomendado")</f>
        <v>17</v>
      </c>
    </row>
    <row r="15" spans="2:6" x14ac:dyDescent="0.2">
      <c r="B15" s="1" t="s">
        <v>336</v>
      </c>
    </row>
    <row r="16" spans="2:6" x14ac:dyDescent="0.2">
      <c r="B16" s="10" t="s">
        <v>55</v>
      </c>
      <c r="C16" s="11">
        <f>COUNTIF(Fichas!$S:$S,"Borrador")</f>
        <v>31</v>
      </c>
    </row>
    <row r="17" spans="2:3" x14ac:dyDescent="0.2">
      <c r="B17" s="10" t="s">
        <v>337</v>
      </c>
      <c r="C17" s="11">
        <f>COUNTIF(Fichas!$S:$S,"Revisado por el grupo")</f>
        <v>0</v>
      </c>
    </row>
    <row r="18" spans="2:3" x14ac:dyDescent="0.2">
      <c r="B18" s="10" t="s">
        <v>338</v>
      </c>
      <c r="C18" s="11">
        <f>COUNTIF(Fichas!$S:$S,"Avalado por coordinación")</f>
        <v>0</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8"/>
  <sheetViews>
    <sheetView showGridLines="0" zoomScaleNormal="100" workbookViewId="0"/>
  </sheetViews>
  <sheetFormatPr baseColWidth="10" defaultColWidth="8.6640625" defaultRowHeight="15" x14ac:dyDescent="0.2"/>
  <cols>
    <col min="1" max="1" width="34" customWidth="1"/>
    <col min="3" max="3" width="30" customWidth="1"/>
    <col min="4" max="4" width="20" customWidth="1"/>
    <col min="5" max="5" width="24" customWidth="1"/>
    <col min="6" max="6" width="16" customWidth="1"/>
    <col min="7" max="7" width="52" customWidth="1"/>
    <col min="8" max="8" width="34" customWidth="1"/>
  </cols>
  <sheetData>
    <row r="1" spans="1:8" x14ac:dyDescent="0.2">
      <c r="A1" s="14" t="s">
        <v>339</v>
      </c>
      <c r="C1" s="14" t="s">
        <v>31</v>
      </c>
      <c r="D1" s="14" t="s">
        <v>340</v>
      </c>
      <c r="E1" s="14" t="s">
        <v>37</v>
      </c>
      <c r="F1" s="14" t="s">
        <v>23</v>
      </c>
      <c r="G1" s="14" t="s">
        <v>341</v>
      </c>
      <c r="H1" s="14" t="s">
        <v>342</v>
      </c>
    </row>
    <row r="2" spans="1:8" x14ac:dyDescent="0.2">
      <c r="A2" t="s">
        <v>261</v>
      </c>
      <c r="C2" t="s">
        <v>76</v>
      </c>
      <c r="D2" t="s">
        <v>343</v>
      </c>
      <c r="E2" t="s">
        <v>55</v>
      </c>
      <c r="F2" t="s">
        <v>43</v>
      </c>
      <c r="G2" t="s">
        <v>344</v>
      </c>
      <c r="H2" t="s">
        <v>261</v>
      </c>
    </row>
    <row r="3" spans="1:8" x14ac:dyDescent="0.2">
      <c r="A3" t="s">
        <v>62</v>
      </c>
      <c r="C3" t="s">
        <v>50</v>
      </c>
      <c r="D3" t="s">
        <v>68</v>
      </c>
      <c r="E3" t="s">
        <v>337</v>
      </c>
      <c r="F3" t="s">
        <v>176</v>
      </c>
      <c r="G3" t="s">
        <v>262</v>
      </c>
      <c r="H3" t="s">
        <v>261</v>
      </c>
    </row>
    <row r="4" spans="1:8" x14ac:dyDescent="0.2">
      <c r="A4" t="s">
        <v>47</v>
      </c>
      <c r="C4" t="s">
        <v>182</v>
      </c>
      <c r="D4" t="s">
        <v>53</v>
      </c>
      <c r="E4" t="s">
        <v>338</v>
      </c>
      <c r="G4" t="s">
        <v>345</v>
      </c>
      <c r="H4" t="s">
        <v>261</v>
      </c>
    </row>
    <row r="5" spans="1:8" x14ac:dyDescent="0.2">
      <c r="A5" t="s">
        <v>333</v>
      </c>
      <c r="C5" t="s">
        <v>237</v>
      </c>
      <c r="D5" t="s">
        <v>346</v>
      </c>
      <c r="G5" t="s">
        <v>347</v>
      </c>
      <c r="H5" t="s">
        <v>261</v>
      </c>
    </row>
    <row r="6" spans="1:8" x14ac:dyDescent="0.2">
      <c r="C6" t="s">
        <v>348</v>
      </c>
      <c r="G6" t="s">
        <v>349</v>
      </c>
      <c r="H6" t="s">
        <v>261</v>
      </c>
    </row>
    <row r="7" spans="1:8" x14ac:dyDescent="0.2">
      <c r="C7" t="s">
        <v>65</v>
      </c>
      <c r="G7" t="s">
        <v>350</v>
      </c>
      <c r="H7" t="s">
        <v>261</v>
      </c>
    </row>
    <row r="8" spans="1:8" x14ac:dyDescent="0.2">
      <c r="G8" t="s">
        <v>351</v>
      </c>
      <c r="H8" t="s">
        <v>261</v>
      </c>
    </row>
    <row r="9" spans="1:8" x14ac:dyDescent="0.2">
      <c r="G9" t="s">
        <v>180</v>
      </c>
      <c r="H9" t="s">
        <v>62</v>
      </c>
    </row>
    <row r="10" spans="1:8" x14ac:dyDescent="0.2">
      <c r="G10" t="s">
        <v>63</v>
      </c>
      <c r="H10" t="s">
        <v>62</v>
      </c>
    </row>
    <row r="11" spans="1:8" x14ac:dyDescent="0.2">
      <c r="G11" t="s">
        <v>135</v>
      </c>
      <c r="H11" t="s">
        <v>62</v>
      </c>
    </row>
    <row r="12" spans="1:8" x14ac:dyDescent="0.2">
      <c r="G12" t="s">
        <v>84</v>
      </c>
      <c r="H12" t="s">
        <v>62</v>
      </c>
    </row>
    <row r="13" spans="1:8" x14ac:dyDescent="0.2">
      <c r="G13" t="s">
        <v>101</v>
      </c>
      <c r="H13" t="s">
        <v>62</v>
      </c>
    </row>
    <row r="14" spans="1:8" x14ac:dyDescent="0.2">
      <c r="G14" t="s">
        <v>352</v>
      </c>
      <c r="H14" t="s">
        <v>47</v>
      </c>
    </row>
    <row r="15" spans="1:8" x14ac:dyDescent="0.2">
      <c r="G15" t="s">
        <v>353</v>
      </c>
      <c r="H15" t="s">
        <v>47</v>
      </c>
    </row>
    <row r="16" spans="1:8" x14ac:dyDescent="0.2">
      <c r="G16" t="s">
        <v>74</v>
      </c>
      <c r="H16" t="s">
        <v>47</v>
      </c>
    </row>
    <row r="17" spans="7:8" x14ac:dyDescent="0.2">
      <c r="G17" t="s">
        <v>354</v>
      </c>
      <c r="H17" t="s">
        <v>47</v>
      </c>
    </row>
    <row r="18" spans="7:8" x14ac:dyDescent="0.2">
      <c r="G18" t="s">
        <v>355</v>
      </c>
      <c r="H18" t="s">
        <v>47</v>
      </c>
    </row>
    <row r="19" spans="7:8" x14ac:dyDescent="0.2">
      <c r="G19" t="s">
        <v>48</v>
      </c>
      <c r="H19" t="s">
        <v>47</v>
      </c>
    </row>
    <row r="20" spans="7:8" x14ac:dyDescent="0.2">
      <c r="G20" t="s">
        <v>190</v>
      </c>
      <c r="H20" t="s">
        <v>47</v>
      </c>
    </row>
    <row r="21" spans="7:8" x14ac:dyDescent="0.2">
      <c r="G21" t="s">
        <v>356</v>
      </c>
      <c r="H21" t="s">
        <v>47</v>
      </c>
    </row>
    <row r="22" spans="7:8" x14ac:dyDescent="0.2">
      <c r="G22" t="s">
        <v>168</v>
      </c>
      <c r="H22" t="s">
        <v>47</v>
      </c>
    </row>
    <row r="23" spans="7:8" x14ac:dyDescent="0.2">
      <c r="G23" t="s">
        <v>357</v>
      </c>
      <c r="H23" t="s">
        <v>333</v>
      </c>
    </row>
    <row r="24" spans="7:8" x14ac:dyDescent="0.2">
      <c r="G24" t="s">
        <v>358</v>
      </c>
      <c r="H24" t="s">
        <v>333</v>
      </c>
    </row>
    <row r="25" spans="7:8" x14ac:dyDescent="0.2">
      <c r="G25" t="s">
        <v>359</v>
      </c>
      <c r="H25" t="s">
        <v>333</v>
      </c>
    </row>
    <row r="26" spans="7:8" x14ac:dyDescent="0.2">
      <c r="G26" t="s">
        <v>360</v>
      </c>
      <c r="H26" t="s">
        <v>333</v>
      </c>
    </row>
    <row r="27" spans="7:8" x14ac:dyDescent="0.2">
      <c r="G27" t="s">
        <v>361</v>
      </c>
      <c r="H27" t="s">
        <v>333</v>
      </c>
    </row>
    <row r="28" spans="7:8" x14ac:dyDescent="0.2">
      <c r="G28" t="s">
        <v>362</v>
      </c>
      <c r="H28" t="s">
        <v>333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Instructivo</vt:lpstr>
      <vt:lpstr>Fichas</vt:lpstr>
      <vt:lpstr>Resumen</vt:lpstr>
      <vt:lpstr>Listas</vt:lpstr>
      <vt:lpstr>Fichas!Área_de_impresión</vt:lpstr>
      <vt:lpstr>Instructivo!Área_de_impresión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Libro de consolidación de fichas — Incorporación de referentes al PEI</dc:title>
  <dc:subject/>
  <dc:creator>EICIT IA — asistencia técnica</dc:creator>
  <dc:description>ENSMA · Circular 0064 de 2026 · Precargado desde el semáforo 1.3.2</dc:description>
  <cp:lastModifiedBy>MIREYA CASTILLO</cp:lastModifiedBy>
  <cp:revision>0</cp:revision>
  <dcterms:created xsi:type="dcterms:W3CDTF">2026-09-07T13:39:56Z</dcterms:created>
  <dcterms:modified xsi:type="dcterms:W3CDTF">2026-09-21T03:21:51Z</dcterms:modified>
  <dc:language>en-US</dc:language>
</cp:coreProperties>
</file>