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vo" sheetId="1" state="visible" r:id="rId1"/>
    <sheet xmlns:r="http://schemas.openxmlformats.org/officeDocument/2006/relationships" name="Ficha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Listas" sheetId="4" state="hidden" r:id="rId4"/>
  </sheets>
  <definedNames>
    <definedName name="_xlnm.Print_Area" localSheetId="0">'Instructivo'!$A$1:$B$40</definedName>
    <definedName name="_xlnm.Print_Area" localSheetId="1">'Fichas'!$A$1:$S$80</definedName>
    <definedName name="_xlnm.Print_Area" localSheetId="2">'Resumen'!$A$1:$F$22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color rgb="001F4E79"/>
      <sz val="15"/>
    </font>
    <font>
      <name val="Calibri"/>
      <color rgb="00222222"/>
      <sz val="10"/>
    </font>
    <font>
      <name val="Calibri"/>
      <i val="1"/>
      <color rgb="00808080"/>
      <sz val="9"/>
    </font>
    <font>
      <name val="Calibri"/>
      <b val="1"/>
      <color rgb="00222222"/>
      <sz val="11"/>
    </font>
    <font>
      <name val="Calibri"/>
      <b val="1"/>
      <color rgb="00FFFFFF"/>
      <sz val="11"/>
    </font>
    <font>
      <name val="Calibri"/>
      <b val="1"/>
      <color rgb="003A2E00"/>
      <sz val="11"/>
    </font>
    <font>
      <name val="Calibri"/>
      <b val="1"/>
      <color rgb="00222222"/>
      <sz val="9"/>
    </font>
    <font>
      <name val="Calibri"/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F9000"/>
      </patternFill>
    </fill>
    <fill>
      <patternFill patternType="solid">
        <fgColor rgb="00D9D9D9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0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1">
      <c r="B1" s="1" t="inlineStr">
        <is>
          <t>EICIT · Acompañamiento a la actualización del PEI — ENSMA</t>
        </is>
      </c>
    </row>
    <row r="2" ht="22" customHeight="1">
      <c r="B2" s="2" t="inlineStr">
        <is>
          <t>Libro de consolidación de fichas — Incorporación de los referentes de la Circular 0064 al PEI</t>
        </is>
      </c>
    </row>
    <row r="4">
      <c r="B4" s="3" t="inlineStr">
        <is>
          <t>Propósito</t>
        </is>
      </c>
    </row>
    <row r="5" ht="32" customHeight="1">
      <c r="B5" s="4" t="inlineStr">
        <is>
          <t>Estandarizar el diligenciamiento de todos los grupos y consolidar sus aportes en una sola tabla lista para el ajuste del PEI. Cada fila de la hoja «Fichas» es una ficha (un referente × un ítem del PEI).</t>
        </is>
      </c>
    </row>
    <row r="7">
      <c r="B7" s="3" t="inlineStr">
        <is>
          <t>Cómo se usa</t>
        </is>
      </c>
    </row>
    <row r="8" ht="30" customHeight="1">
      <c r="B8" s="4" t="inlineStr">
        <is>
          <t>1.  Las columnas azules vienen precargadas por EICIT desde el semáforo (referente, clasificación, componente sugerido, implicación). No se modifican.</t>
        </is>
      </c>
    </row>
    <row r="9" ht="30" customHeight="1">
      <c r="B9" s="4" t="inlineStr">
        <is>
          <t>2.  Las columnas doradas las diligencia el grupo, usando las listas desplegables. No se escribe fuera de la lista.</t>
        </is>
      </c>
    </row>
    <row r="10" ht="30" customHeight="1">
      <c r="B10" s="4" t="inlineStr">
        <is>
          <t>3.  «Correspondencia» avisa si el ítem elegido no pertenece al área elegida.</t>
        </is>
      </c>
    </row>
    <row r="11" ht="30" customHeight="1">
      <c r="B11" s="4" t="inlineStr">
        <is>
          <t>4.  Si un referente afecta a más de un ítem del PEI, duplique la fila y diligencie una ficha por ítem (regla de atomicidad).</t>
        </is>
      </c>
    </row>
    <row r="12" ht="30" customHeight="1">
      <c r="B12" s="4" t="inlineStr">
        <is>
          <t>5.  «Redacción propuesta» contiene texto listo para insertar en el PEI, no comentarios (esos van en «Justificación»).</t>
        </is>
      </c>
    </row>
    <row r="13" ht="30" customHeight="1">
      <c r="B13" s="4" t="inlineStr">
        <is>
          <t>6.  La hoja «Resumen» cuenta el avance automáticamente por área, clasificación y estado.</t>
        </is>
      </c>
    </row>
    <row r="15">
      <c r="B15" s="3" t="inlineStr">
        <is>
          <t>Reglas clave</t>
        </is>
      </c>
    </row>
    <row r="16" ht="18" customHeight="1">
      <c r="B16" s="4" t="inlineStr">
        <is>
          <t>•  Atomicidad: una ficha = un referente × un ítem.</t>
        </is>
      </c>
    </row>
    <row r="17" ht="18" customHeight="1">
      <c r="B17" s="4" t="inlineStr">
        <is>
          <t>•  Clasificación cerrada: no se reabre ni se agregan referentes nuevos aquí.</t>
        </is>
      </c>
    </row>
    <row r="18" ht="18" customHeight="1">
      <c r="B18" s="4" t="inlineStr">
        <is>
          <t>•  Vocabulario controlado: solo valores de las listas.</t>
        </is>
      </c>
    </row>
    <row r="19" ht="18" customHeight="1">
      <c r="B19" s="4" t="inlineStr">
        <is>
          <t>•  Voz única: una redacción por ficha; las variantes van en «Justificación».</t>
        </is>
      </c>
    </row>
    <row r="21">
      <c r="B21" s="3" t="inlineStr">
        <is>
          <t>Nota</t>
        </is>
      </c>
    </row>
    <row r="22" ht="30" customHeight="1">
      <c r="B22" s="5" t="inlineStr">
        <is>
          <t>No se incluyen los 2 referentes clasificados «No aplica» en el semáforo (Circular 25 y Ley 2507). Encuadre: EICIT propone y estandariza; la ENSMA diligencia, delibera, decide y adopta.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80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7" customWidth="1" min="4" max="4"/>
    <col width="13" customWidth="1" min="5" max="5"/>
    <col width="11" customWidth="1" min="6" max="6"/>
    <col width="30" customWidth="1" min="7" max="7"/>
    <col width="40" customWidth="1" min="8" max="8"/>
    <col width="22" customWidth="1" min="9" max="9"/>
    <col width="30" customWidth="1" min="10" max="10"/>
    <col width="15" customWidth="1" min="11" max="11"/>
    <col width="26" customWidth="1" min="12" max="12"/>
    <col width="24" customWidth="1" min="13" max="13"/>
    <col width="40" customWidth="1" min="14" max="14"/>
    <col width="30" customWidth="1" min="15" max="15"/>
    <col width="20" customWidth="1" min="16" max="16"/>
    <col width="20" customWidth="1" min="17" max="17"/>
    <col width="12" customWidth="1" min="18" max="18"/>
    <col width="22" customWidth="1" min="19" max="19"/>
  </cols>
  <sheetData>
    <row r="1" ht="42" customHeight="1">
      <c r="A1" s="6" t="inlineStr">
        <is>
          <t>ID</t>
        </is>
      </c>
      <c r="B1" s="6" t="inlineStr">
        <is>
          <t>Referente</t>
        </is>
      </c>
      <c r="C1" s="6" t="inlineStr">
        <is>
          <t>Tipo</t>
        </is>
      </c>
      <c r="D1" s="6" t="inlineStr">
        <is>
          <t>Año</t>
        </is>
      </c>
      <c r="E1" s="6" t="inlineStr">
        <is>
          <t>Clasificación</t>
        </is>
      </c>
      <c r="F1" s="6" t="inlineStr">
        <is>
          <t>Aplica</t>
        </is>
      </c>
      <c r="G1" s="6" t="inlineStr">
        <is>
          <t>Componente sugerido (semáforo)</t>
        </is>
      </c>
      <c r="H1" s="6" t="inlineStr">
        <is>
          <t>Implicación inicial (semáforo)</t>
        </is>
      </c>
      <c r="I1" s="7" t="inlineStr">
        <is>
          <t>Área de gestión</t>
        </is>
      </c>
      <c r="J1" s="7" t="inlineStr">
        <is>
          <t>Ítem del PEI</t>
        </is>
      </c>
      <c r="K1" s="8" t="inlineStr">
        <is>
          <t>Correspondencia</t>
        </is>
      </c>
      <c r="L1" s="7" t="inlineStr">
        <is>
          <t>Ubicación en el PEI vigente</t>
        </is>
      </c>
      <c r="M1" s="7" t="inlineStr">
        <is>
          <t>Tipo de incorporación</t>
        </is>
      </c>
      <c r="N1" s="7" t="inlineStr">
        <is>
          <t>Redacción propuesta (texto para insertar)</t>
        </is>
      </c>
      <c r="O1" s="7" t="inlineStr">
        <is>
          <t>Justificación breve</t>
        </is>
      </c>
      <c r="P1" s="7" t="inlineStr">
        <is>
          <t>Instancia de decisión</t>
        </is>
      </c>
      <c r="Q1" s="7" t="inlineStr">
        <is>
          <t>Grupo responsable</t>
        </is>
      </c>
      <c r="R1" s="7" t="inlineStr">
        <is>
          <t>Fecha</t>
        </is>
      </c>
      <c r="S1" s="7" t="inlineStr">
        <is>
          <t>Estado</t>
        </is>
      </c>
    </row>
    <row r="2" ht="54" customHeight="1">
      <c r="A2" s="9" t="inlineStr">
        <is>
          <t>REF-01</t>
        </is>
      </c>
      <c r="B2" s="9" t="inlineStr">
        <is>
          <t>Decreto 459</t>
        </is>
      </c>
      <c r="C2" s="9" t="inlineStr">
        <is>
          <t>Decreto</t>
        </is>
      </c>
      <c r="D2" s="9" t="inlineStr">
        <is>
          <t>2024</t>
        </is>
      </c>
      <c r="E2" s="9" t="inlineStr">
        <is>
          <t>Obligatorio</t>
        </is>
      </c>
      <c r="F2" s="9" t="inlineStr">
        <is>
          <t>Sí</t>
        </is>
      </c>
      <c r="G2" s="9" t="inlineStr">
        <is>
          <t>Directiva · Gobierno Escolar · Comunidad</t>
        </is>
      </c>
      <c r="H2" s="9" t="inlineStr">
        <is>
          <t>Formalizar participación de familias; enlazar Gobierno Escolar y Escuela de Padres.</t>
        </is>
      </c>
      <c r="I2" s="10" t="n"/>
      <c r="J2" s="10" t="n"/>
      <c r="K2" s="11">
        <f>IF($I2="","",IF($J2="","",IF(IFERROR(VLOOKUP($J2,Listas!$G$2:$H$28,2,0),"")=$I2,"OK","Revisar área/ítem")))</f>
        <v/>
      </c>
      <c r="L2" s="10" t="n"/>
      <c r="M2" s="10" t="n"/>
      <c r="N2" s="10" t="n"/>
      <c r="O2" s="10" t="n"/>
      <c r="P2" s="10" t="n"/>
      <c r="Q2" s="10" t="n"/>
      <c r="R2" s="10" t="n"/>
      <c r="S2" s="10" t="n"/>
    </row>
    <row r="3" ht="54" customHeight="1">
      <c r="A3" s="9" t="inlineStr">
        <is>
          <t>REF-02</t>
        </is>
      </c>
      <c r="B3" s="9" t="inlineStr">
        <is>
          <t>Ley 2383</t>
        </is>
      </c>
      <c r="C3" s="9" t="inlineStr">
        <is>
          <t>Ley</t>
        </is>
      </c>
      <c r="D3" s="9" t="inlineStr">
        <is>
          <t>2024</t>
        </is>
      </c>
      <c r="E3" s="9" t="inlineStr">
        <is>
          <t>Obligatorio</t>
        </is>
      </c>
      <c r="F3" s="9" t="inlineStr">
        <is>
          <t>Sí</t>
        </is>
      </c>
      <c r="G3" s="9" t="inlineStr">
        <is>
          <t>Académica · Modelo pedagógico</t>
        </is>
      </c>
      <c r="H3" s="9" t="inlineStr">
        <is>
          <t>Anclar componente socioemocional transversal (ver Ley 2491).</t>
        </is>
      </c>
      <c r="I3" s="10" t="n"/>
      <c r="J3" s="10" t="n"/>
      <c r="K3" s="11">
        <f>IF($I3="","",IF($J3="","",IF(IFERROR(VLOOKUP($J3,Listas!$G$2:$H$28,2,0),"")=$I3,"OK","Revisar área/ítem")))</f>
        <v/>
      </c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54" customHeight="1">
      <c r="A4" s="9" t="inlineStr">
        <is>
          <t>REF-03</t>
        </is>
      </c>
      <c r="B4" s="9" t="inlineStr">
        <is>
          <t>Ley 2394</t>
        </is>
      </c>
      <c r="C4" s="9" t="inlineStr">
        <is>
          <t>Ley</t>
        </is>
      </c>
      <c r="D4" s="9" t="inlineStr">
        <is>
          <t>2024</t>
        </is>
      </c>
      <c r="E4" s="9" t="inlineStr">
        <is>
          <t>Obligatorio</t>
        </is>
      </c>
      <c r="F4" s="9" t="inlineStr">
        <is>
          <t>Sí</t>
        </is>
      </c>
      <c r="G4" s="9" t="inlineStr">
        <is>
          <t>Comunidad · Convivencia · SIEE</t>
        </is>
      </c>
      <c r="H4" s="9" t="inlineStr">
        <is>
          <t>Ajustar Manual de Convivencia y SIEE (permanencia, no discriminación).</t>
        </is>
      </c>
      <c r="I4" s="10" t="n"/>
      <c r="J4" s="10" t="n"/>
      <c r="K4" s="11">
        <f>IF($I4="","",IF($J4="","",IF(IFERROR(VLOOKUP($J4,Listas!$G$2:$H$28,2,0),"")=$I4,"OK","Revisar área/ítem")))</f>
        <v/>
      </c>
      <c r="L4" s="10" t="n"/>
      <c r="M4" s="10" t="n"/>
      <c r="N4" s="10" t="n"/>
      <c r="O4" s="10" t="n"/>
      <c r="P4" s="10" t="n"/>
      <c r="Q4" s="10" t="n"/>
      <c r="R4" s="10" t="n"/>
      <c r="S4" s="10" t="n"/>
    </row>
    <row r="5" ht="54" customHeight="1">
      <c r="A5" s="9" t="inlineStr">
        <is>
          <t>REF-04</t>
        </is>
      </c>
      <c r="B5" s="9" t="inlineStr">
        <is>
          <t>Ley 2427</t>
        </is>
      </c>
      <c r="C5" s="9" t="inlineStr">
        <is>
          <t>Ley</t>
        </is>
      </c>
      <c r="D5" s="9" t="inlineStr">
        <is>
          <t>2024</t>
        </is>
      </c>
      <c r="E5" s="9" t="inlineStr">
        <is>
          <t>Obligatorio</t>
        </is>
      </c>
      <c r="F5" s="9" t="inlineStr">
        <is>
          <t>Sí</t>
        </is>
      </c>
      <c r="G5" s="9" t="inlineStr">
        <is>
          <t>Académica · PRAE · Comunidad</t>
        </is>
      </c>
      <c r="H5" s="9" t="inlineStr">
        <is>
          <t>Fortalecer PRAE e integrar GRD (enlaza Resolución 006519).</t>
        </is>
      </c>
      <c r="I5" s="10" t="n"/>
      <c r="J5" s="10" t="n"/>
      <c r="K5" s="11">
        <f>IF($I5="","",IF($J5="","",IF(IFERROR(VLOOKUP($J5,Listas!$G$2:$H$28,2,0),"")=$I5,"OK","Revisar área/ítem")))</f>
        <v/>
      </c>
      <c r="L5" s="10" t="n"/>
      <c r="M5" s="10" t="n"/>
      <c r="N5" s="10" t="n"/>
      <c r="O5" s="10" t="n"/>
      <c r="P5" s="10" t="n"/>
      <c r="Q5" s="10" t="n"/>
      <c r="R5" s="10" t="n"/>
      <c r="S5" s="10" t="n"/>
    </row>
    <row r="6" ht="54" customHeight="1">
      <c r="A6" s="9" t="inlineStr">
        <is>
          <t>REF-05</t>
        </is>
      </c>
      <c r="B6" s="9" t="inlineStr">
        <is>
          <t>Ley 2414</t>
        </is>
      </c>
      <c r="C6" s="9" t="inlineStr">
        <is>
          <t>Ley</t>
        </is>
      </c>
      <c r="D6" s="9" t="inlineStr">
        <is>
          <t>2024</t>
        </is>
      </c>
      <c r="E6" s="9" t="inlineStr">
        <is>
          <t>Obligatorio</t>
        </is>
      </c>
      <c r="F6" s="9" t="inlineStr">
        <is>
          <t>Sí</t>
        </is>
      </c>
      <c r="G6" s="9" t="inlineStr">
        <is>
          <t>Comunidad · Convivencia</t>
        </is>
      </c>
      <c r="H6" s="9" t="inlineStr">
        <is>
          <t>Integrar al componente socioemocional y al Manual de Convivencia.</t>
        </is>
      </c>
      <c r="I6" s="10" t="n"/>
      <c r="J6" s="10" t="n"/>
      <c r="K6" s="11">
        <f>IF($I6="","",IF($J6="","",IF(IFERROR(VLOOKUP($J6,Listas!$G$2:$H$28,2,0),"")=$I6,"OK","Revisar área/ítem")))</f>
        <v/>
      </c>
      <c r="L6" s="10" t="n"/>
      <c r="M6" s="10" t="n"/>
      <c r="N6" s="10" t="n"/>
      <c r="O6" s="10" t="n"/>
      <c r="P6" s="10" t="n"/>
      <c r="Q6" s="10" t="n"/>
      <c r="R6" s="10" t="n"/>
      <c r="S6" s="10" t="n"/>
    </row>
    <row r="7" ht="54" customHeight="1">
      <c r="A7" s="9" t="inlineStr">
        <is>
          <t>REF-06</t>
        </is>
      </c>
      <c r="B7" s="9" t="inlineStr">
        <is>
          <t>Ley 2420</t>
        </is>
      </c>
      <c r="C7" s="9" t="inlineStr">
        <is>
          <t>Ley</t>
        </is>
      </c>
      <c r="D7" s="9" t="inlineStr">
        <is>
          <t>2024</t>
        </is>
      </c>
      <c r="E7" s="9" t="inlineStr">
        <is>
          <t>Obligatorio</t>
        </is>
      </c>
      <c r="F7" s="9" t="inlineStr">
        <is>
          <t>Sí</t>
        </is>
      </c>
      <c r="G7" s="9" t="inlineStr">
        <is>
          <t>Académica · SIEE</t>
        </is>
      </c>
      <c r="H7" s="9" t="inlineStr">
        <is>
          <t>Prever nivelación en SIEE y planes de mejoramiento.</t>
        </is>
      </c>
      <c r="I7" s="10" t="n"/>
      <c r="J7" s="10" t="n"/>
      <c r="K7" s="11">
        <f>IF($I7="","",IF($J7="","",IF(IFERROR(VLOOKUP($J7,Listas!$G$2:$H$28,2,0),"")=$I7,"OK","Revisar área/ítem")))</f>
        <v/>
      </c>
      <c r="L7" s="10" t="n"/>
      <c r="M7" s="10" t="n"/>
      <c r="N7" s="10" t="n"/>
      <c r="O7" s="10" t="n"/>
      <c r="P7" s="10" t="n"/>
      <c r="Q7" s="10" t="n"/>
      <c r="R7" s="10" t="n"/>
      <c r="S7" s="10" t="n"/>
    </row>
    <row r="8" ht="54" customHeight="1">
      <c r="A8" s="9" t="inlineStr">
        <is>
          <t>REF-07</t>
        </is>
      </c>
      <c r="B8" s="9" t="inlineStr">
        <is>
          <t>Ley 2491 ★</t>
        </is>
      </c>
      <c r="C8" s="9" t="inlineStr">
        <is>
          <t>Ley</t>
        </is>
      </c>
      <c r="D8" s="9" t="inlineStr">
        <is>
          <t>2025</t>
        </is>
      </c>
      <c r="E8" s="9" t="inlineStr">
        <is>
          <t>Obligatorio</t>
        </is>
      </c>
      <c r="F8" s="9" t="inlineStr">
        <is>
          <t>Sí</t>
        </is>
      </c>
      <c r="G8" s="9" t="inlineStr">
        <is>
          <t>Horizonte · Modelo pedagógico · Plan de estudios</t>
        </is>
      </c>
      <c r="H8" s="9" t="inlineStr">
        <is>
          <t>Crear el componente socioemocional del PEI que integra 2383, 2414, 2503, 2460, 2564.</t>
        </is>
      </c>
      <c r="I8" s="10" t="n"/>
      <c r="J8" s="10" t="n"/>
      <c r="K8" s="11">
        <f>IF($I8="","",IF($J8="","",IF(IFERROR(VLOOKUP($J8,Listas!$G$2:$H$28,2,0),"")=$I8,"OK","Revisar área/ítem")))</f>
        <v/>
      </c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54" customHeight="1">
      <c r="A9" s="9" t="inlineStr">
        <is>
          <t>REF-08</t>
        </is>
      </c>
      <c r="B9" s="9" t="inlineStr">
        <is>
          <t>Ley 2503</t>
        </is>
      </c>
      <c r="C9" s="9" t="inlineStr">
        <is>
          <t>Ley</t>
        </is>
      </c>
      <c r="D9" s="9" t="inlineStr">
        <is>
          <t>2025</t>
        </is>
      </c>
      <c r="E9" s="9" t="inlineStr">
        <is>
          <t>Obligatorio</t>
        </is>
      </c>
      <c r="F9" s="9" t="inlineStr">
        <is>
          <t>Sí</t>
        </is>
      </c>
      <c r="G9" s="9" t="inlineStr">
        <is>
          <t>Académica · Plan de estudios</t>
        </is>
      </c>
      <c r="H9" s="9" t="inlineStr">
        <is>
          <t>Incorporar la cátedra al plan de estudios o transversalizarla.</t>
        </is>
      </c>
      <c r="I9" s="10" t="n"/>
      <c r="J9" s="10" t="n"/>
      <c r="K9" s="11">
        <f>IF($I9="","",IF($J9="","",IF(IFERROR(VLOOKUP($J9,Listas!$G$2:$H$28,2,0),"")=$I9,"OK","Revisar área/ítem")))</f>
        <v/>
      </c>
      <c r="L9" s="10" t="n"/>
      <c r="M9" s="10" t="n"/>
      <c r="N9" s="10" t="n"/>
      <c r="O9" s="10" t="n"/>
      <c r="P9" s="10" t="n"/>
      <c r="Q9" s="10" t="n"/>
      <c r="R9" s="10" t="n"/>
      <c r="S9" s="10" t="n"/>
    </row>
    <row r="10" ht="54" customHeight="1">
      <c r="A10" s="9" t="inlineStr">
        <is>
          <t>REF-09</t>
        </is>
      </c>
      <c r="B10" s="9" t="inlineStr">
        <is>
          <t>Ley 2460</t>
        </is>
      </c>
      <c r="C10" s="9" t="inlineStr">
        <is>
          <t>Ley</t>
        </is>
      </c>
      <c r="D10" s="9" t="inlineStr">
        <is>
          <t>2025</t>
        </is>
      </c>
      <c r="E10" s="9" t="inlineStr">
        <is>
          <t>Obligatorio</t>
        </is>
      </c>
      <c r="F10" s="9" t="inlineStr">
        <is>
          <t>Sí</t>
        </is>
      </c>
      <c r="G10" s="9" t="inlineStr">
        <is>
          <t>Comunidad · Orientación</t>
        </is>
      </c>
      <c r="H10" s="9" t="inlineStr">
        <is>
          <t>Integrar salud mental al componente socioemocional y a orientación.</t>
        </is>
      </c>
      <c r="I10" s="10" t="n"/>
      <c r="J10" s="10" t="n"/>
      <c r="K10" s="11">
        <f>IF($I10="","",IF($J10="","",IF(IFERROR(VLOOKUP($J10,Listas!$G$2:$H$28,2,0),"")=$I10,"OK","Revisar área/ítem")))</f>
        <v/>
      </c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 ht="54" customHeight="1">
      <c r="A11" s="9" t="inlineStr">
        <is>
          <t>REF-10</t>
        </is>
      </c>
      <c r="B11" s="9" t="inlineStr">
        <is>
          <t>Ley 2489</t>
        </is>
      </c>
      <c r="C11" s="9" t="inlineStr">
        <is>
          <t>Ley</t>
        </is>
      </c>
      <c r="D11" s="9" t="inlineStr">
        <is>
          <t>2025</t>
        </is>
      </c>
      <c r="E11" s="9" t="inlineStr">
        <is>
          <t>Obligatorio</t>
        </is>
      </c>
      <c r="F11" s="9" t="inlineStr">
        <is>
          <t>Sí</t>
        </is>
      </c>
      <c r="G11" s="9" t="inlineStr">
        <is>
          <t>Académica · Convivencia · Eje TIC</t>
        </is>
      </c>
      <c r="H11" s="9" t="inlineStr">
        <is>
          <t>Ciudadanía digital en currículo y convivencia; enlaza EJE TIC.</t>
        </is>
      </c>
      <c r="I11" s="10" t="n"/>
      <c r="J11" s="10" t="n"/>
      <c r="K11" s="11">
        <f>IF($I11="","",IF($J11="","",IF(IFERROR(VLOOKUP($J11,Listas!$G$2:$H$28,2,0),"")=$I11,"OK","Revisar área/ítem")))</f>
        <v/>
      </c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 ht="54" customHeight="1">
      <c r="A12" s="9" t="inlineStr">
        <is>
          <t>REF-11</t>
        </is>
      </c>
      <c r="B12" s="9" t="inlineStr">
        <is>
          <t>Ley 2511</t>
        </is>
      </c>
      <c r="C12" s="9" t="inlineStr">
        <is>
          <t>Ley</t>
        </is>
      </c>
      <c r="D12" s="9" t="inlineStr">
        <is>
          <t>2025</t>
        </is>
      </c>
      <c r="E12" s="9" t="inlineStr">
        <is>
          <t>Obligatorio</t>
        </is>
      </c>
      <c r="F12" s="9" t="inlineStr">
        <is>
          <t>Sí</t>
        </is>
      </c>
      <c r="G12" s="9" t="inlineStr">
        <is>
          <t>Académica · Proyectos transversales</t>
        </is>
      </c>
      <c r="H12" s="9" t="inlineStr">
        <is>
          <t>Transversalizar educación para la salud y la vida.</t>
        </is>
      </c>
      <c r="I12" s="10" t="n"/>
      <c r="J12" s="10" t="n"/>
      <c r="K12" s="11">
        <f>IF($I12="","",IF($J12="","",IF(IFERROR(VLOOKUP($J12,Listas!$G$2:$H$28,2,0),"")=$I12,"OK","Revisar área/ítem")))</f>
        <v/>
      </c>
      <c r="L12" s="10" t="n"/>
      <c r="M12" s="10" t="n"/>
      <c r="N12" s="10" t="n"/>
      <c r="O12" s="10" t="n"/>
      <c r="P12" s="10" t="n"/>
      <c r="Q12" s="10" t="n"/>
      <c r="R12" s="10" t="n"/>
      <c r="S12" s="10" t="n"/>
    </row>
    <row r="13" ht="54" customHeight="1">
      <c r="A13" s="9" t="inlineStr">
        <is>
          <t>REF-12</t>
        </is>
      </c>
      <c r="B13" s="9" t="inlineStr">
        <is>
          <t>Ley 2563</t>
        </is>
      </c>
      <c r="C13" s="9" t="inlineStr">
        <is>
          <t>Ley</t>
        </is>
      </c>
      <c r="D13" s="9" t="inlineStr">
        <is>
          <t>2025</t>
        </is>
      </c>
      <c r="E13" s="9" t="inlineStr">
        <is>
          <t>Obligatorio</t>
        </is>
      </c>
      <c r="F13" s="9" t="inlineStr">
        <is>
          <t>Sí</t>
        </is>
      </c>
      <c r="G13" s="9" t="inlineStr">
        <is>
          <t>Académica · PRAE</t>
        </is>
      </c>
      <c r="H13" s="9" t="inlineStr">
        <is>
          <t>Actualizar el PRAE (bienestar animal, biodiversidad).</t>
        </is>
      </c>
      <c r="I13" s="10" t="n"/>
      <c r="J13" s="10" t="n"/>
      <c r="K13" s="11">
        <f>IF($I13="","",IF($J13="","",IF(IFERROR(VLOOKUP($J13,Listas!$G$2:$H$28,2,0),"")=$I13,"OK","Revisar área/ítem")))</f>
        <v/>
      </c>
      <c r="L13" s="10" t="n"/>
      <c r="M13" s="10" t="n"/>
      <c r="N13" s="10" t="n"/>
      <c r="O13" s="10" t="n"/>
      <c r="P13" s="10" t="n"/>
      <c r="Q13" s="10" t="n"/>
      <c r="R13" s="10" t="n"/>
      <c r="S13" s="10" t="n"/>
    </row>
    <row r="14" ht="54" customHeight="1">
      <c r="A14" s="9" t="inlineStr">
        <is>
          <t>REF-13</t>
        </is>
      </c>
      <c r="B14" s="9" t="inlineStr">
        <is>
          <t>Ley 2564</t>
        </is>
      </c>
      <c r="C14" s="9" t="inlineStr">
        <is>
          <t>Ley</t>
        </is>
      </c>
      <c r="D14" s="9" t="inlineStr">
        <is>
          <t>2026</t>
        </is>
      </c>
      <c r="E14" s="9" t="inlineStr">
        <is>
          <t>Obligatorio</t>
        </is>
      </c>
      <c r="F14" s="9" t="inlineStr">
        <is>
          <t>Sí</t>
        </is>
      </c>
      <c r="G14" s="9" t="inlineStr">
        <is>
          <t>Comunidad · Convivencia · Eje TIC</t>
        </is>
      </c>
      <c r="H14" s="9" t="inlineStr">
        <is>
          <t>Integrar al socioemocional y a ciudadanía digital (con 2460, 2489).</t>
        </is>
      </c>
      <c r="I14" s="10" t="n"/>
      <c r="J14" s="10" t="n"/>
      <c r="K14" s="11">
        <f>IF($I14="","",IF($J14="","",IF(IFERROR(VLOOKUP($J14,Listas!$G$2:$H$28,2,0),"")=$I14,"OK","Revisar área/ítem")))</f>
        <v/>
      </c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 ht="54" customHeight="1">
      <c r="A15" s="9" t="inlineStr">
        <is>
          <t>REF-14</t>
        </is>
      </c>
      <c r="B15" s="9" t="inlineStr">
        <is>
          <t>Resolución 006519</t>
        </is>
      </c>
      <c r="C15" s="9" t="inlineStr">
        <is>
          <t>Resolución</t>
        </is>
      </c>
      <c r="D15" s="9" t="inlineStr">
        <is>
          <t>2025</t>
        </is>
      </c>
      <c r="E15" s="9" t="inlineStr">
        <is>
          <t>Obligatorio</t>
        </is>
      </c>
      <c r="F15" s="9" t="inlineStr">
        <is>
          <t>Sí</t>
        </is>
      </c>
      <c r="G15" s="9" t="inlineStr">
        <is>
          <t>Directiva · PEGR · Comunidad</t>
        </is>
      </c>
      <c r="H15" s="9" t="inlineStr">
        <is>
          <t>Elaborar/actualizar el PEGR (enlaza Ley 2427 y grupo 6).</t>
        </is>
      </c>
      <c r="I15" s="10" t="n"/>
      <c r="J15" s="10" t="n"/>
      <c r="K15" s="11">
        <f>IF($I15="","",IF($J15="","",IF(IFERROR(VLOOKUP($J15,Listas!$G$2:$H$28,2,0),"")=$I15,"OK","Revisar área/ítem")))</f>
        <v/>
      </c>
      <c r="L15" s="10" t="n"/>
      <c r="M15" s="10" t="n"/>
      <c r="N15" s="10" t="n"/>
      <c r="O15" s="10" t="n"/>
      <c r="P15" s="10" t="n"/>
      <c r="Q15" s="10" t="n"/>
      <c r="R15" s="10" t="n"/>
      <c r="S15" s="10" t="n"/>
    </row>
    <row r="16" ht="54" customHeight="1">
      <c r="A16" s="9" t="inlineStr">
        <is>
          <t>REF-15</t>
        </is>
      </c>
      <c r="B16" s="9" t="inlineStr">
        <is>
          <t>Circular 14</t>
        </is>
      </c>
      <c r="C16" s="9" t="inlineStr">
        <is>
          <t>Circular</t>
        </is>
      </c>
      <c r="D16" s="9" t="inlineStr">
        <is>
          <t>2024</t>
        </is>
      </c>
      <c r="E16" s="9" t="inlineStr">
        <is>
          <t>Recomendado</t>
        </is>
      </c>
      <c r="F16" s="9" t="inlineStr">
        <is>
          <t>Sí (preesc.)</t>
        </is>
      </c>
      <c r="G16" s="9" t="inlineStr">
        <is>
          <t>Académica · Preescolar</t>
        </is>
      </c>
      <c r="H16" s="9" t="inlineStr">
        <is>
          <t>Ajustar preescolar a educación inicial.</t>
        </is>
      </c>
      <c r="I16" s="10" t="n"/>
      <c r="J16" s="10" t="n"/>
      <c r="K16" s="11">
        <f>IF($I16="","",IF($J16="","",IF(IFERROR(VLOOKUP($J16,Listas!$G$2:$H$28,2,0),"")=$I16,"OK","Revisar área/ítem")))</f>
        <v/>
      </c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 ht="54" customHeight="1">
      <c r="A17" s="9" t="inlineStr">
        <is>
          <t>REF-16</t>
        </is>
      </c>
      <c r="B17" s="9" t="inlineStr">
        <is>
          <t>Circular 31</t>
        </is>
      </c>
      <c r="C17" s="9" t="inlineStr">
        <is>
          <t>Circular</t>
        </is>
      </c>
      <c r="D17" s="9" t="inlineStr">
        <is>
          <t>2025</t>
        </is>
      </c>
      <c r="E17" s="9" t="inlineStr">
        <is>
          <t>Recomendado</t>
        </is>
      </c>
      <c r="F17" s="9" t="inlineStr">
        <is>
          <t>Sí (preesc.)</t>
        </is>
      </c>
      <c r="G17" s="9" t="inlineStr">
        <is>
          <t>Directiva · Preescolar</t>
        </is>
      </c>
      <c r="H17" s="9" t="inlineStr">
        <is>
          <t>Revisar admisión y permanencia en preescolar.</t>
        </is>
      </c>
      <c r="I17" s="10" t="n"/>
      <c r="J17" s="10" t="n"/>
      <c r="K17" s="11">
        <f>IF($I17="","",IF($J17="","",IF(IFERROR(VLOOKUP($J17,Listas!$G$2:$H$28,2,0),"")=$I17,"OK","Revisar área/ítem")))</f>
        <v/>
      </c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 ht="54" customHeight="1">
      <c r="A18" s="9" t="inlineStr">
        <is>
          <t>REF-17</t>
        </is>
      </c>
      <c r="B18" s="9" t="inlineStr">
        <is>
          <t>Directiva 01</t>
        </is>
      </c>
      <c r="C18" s="9" t="inlineStr">
        <is>
          <t>Directiva</t>
        </is>
      </c>
      <c r="D18" s="9" t="inlineStr">
        <is>
          <t>2026</t>
        </is>
      </c>
      <c r="E18" s="9" t="inlineStr">
        <is>
          <t>Recomendado</t>
        </is>
      </c>
      <c r="F18" s="9" t="inlineStr">
        <is>
          <t>Sí</t>
        </is>
      </c>
      <c r="G18" s="9" t="inlineStr">
        <is>
          <t>Académica · Eje TIC</t>
        </is>
      </c>
      <c r="H18" s="9" t="inlineStr">
        <is>
          <t>Guía de uso seguro de TIC/IA; insumo del Diplomado y del eje.</t>
        </is>
      </c>
      <c r="I18" s="10" t="n"/>
      <c r="J18" s="10" t="n"/>
      <c r="K18" s="11">
        <f>IF($I18="","",IF($J18="","",IF(IFERROR(VLOOKUP($J18,Listas!$G$2:$H$28,2,0),"")=$I18,"OK","Revisar área/ítem")))</f>
        <v/>
      </c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 ht="54" customHeight="1">
      <c r="A19" s="9" t="inlineStr">
        <is>
          <t>REF-18</t>
        </is>
      </c>
      <c r="B19" s="9" t="inlineStr">
        <is>
          <t>Circular 24</t>
        </is>
      </c>
      <c r="C19" s="9" t="inlineStr">
        <is>
          <t>Circular</t>
        </is>
      </c>
      <c r="D19" s="9" t="inlineStr">
        <is>
          <t>2026</t>
        </is>
      </c>
      <c r="E19" s="9" t="inlineStr">
        <is>
          <t>Recomendado</t>
        </is>
      </c>
      <c r="F19" s="9" t="inlineStr">
        <is>
          <t>Sí</t>
        </is>
      </c>
      <c r="G19" s="9" t="inlineStr">
        <is>
          <t>Comunidad · Inclusión · SIEE</t>
        </is>
      </c>
      <c r="H19" s="9" t="inlineStr">
        <is>
          <t>Ajustar ruta de inclusión, PIAR y aulas de apoyo en el SIEE.</t>
        </is>
      </c>
      <c r="I19" s="10" t="n"/>
      <c r="J19" s="10" t="n"/>
      <c r="K19" s="11">
        <f>IF($I19="","",IF($J19="","",IF(IFERROR(VLOOKUP($J19,Listas!$G$2:$H$28,2,0),"")=$I19,"OK","Revisar área/ítem")))</f>
        <v/>
      </c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 ht="54" customHeight="1">
      <c r="A20" s="9" t="inlineStr">
        <is>
          <t>REF-19</t>
        </is>
      </c>
      <c r="B20" s="9" t="inlineStr">
        <is>
          <t>Ley 2555</t>
        </is>
      </c>
      <c r="C20" s="9" t="inlineStr">
        <is>
          <t>Ley</t>
        </is>
      </c>
      <c r="D20" s="9" t="inlineStr">
        <is>
          <t>2025</t>
        </is>
      </c>
      <c r="E20" s="9" t="inlineStr">
        <is>
          <t>Recomendado</t>
        </is>
      </c>
      <c r="F20" s="9" t="inlineStr">
        <is>
          <t>Parcial</t>
        </is>
      </c>
      <c r="G20" s="9" t="inlineStr">
        <is>
          <t>(Opcional) Plan de estudios</t>
        </is>
      </c>
      <c r="H20" s="9" t="inlineStr">
        <is>
          <t>Opcional: fortalecer artes y transdisciplinariedad.</t>
        </is>
      </c>
      <c r="I20" s="10" t="n"/>
      <c r="J20" s="10" t="n"/>
      <c r="K20" s="11">
        <f>IF($I20="","",IF($J20="","",IF(IFERROR(VLOOKUP($J20,Listas!$G$2:$H$28,2,0),"")=$I20,"OK","Revisar área/ítem")))</f>
        <v/>
      </c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54" customHeight="1">
      <c r="A21" s="9" t="inlineStr">
        <is>
          <t>REF-20</t>
        </is>
      </c>
      <c r="B21" s="9" t="inlineStr">
        <is>
          <t>Enseñanza de la Historia — marco</t>
        </is>
      </c>
      <c r="C21" s="9" t="inlineStr">
        <is>
          <t>Directiva 003 + Doc. técnico</t>
        </is>
      </c>
      <c r="D21" s="9" t="inlineStr">
        <is>
          <t>2024</t>
        </is>
      </c>
      <c r="E21" s="9" t="inlineStr">
        <is>
          <t>Recomendado</t>
        </is>
      </c>
      <c r="F21" s="9" t="inlineStr">
        <is>
          <t>Sí</t>
        </is>
      </c>
      <c r="G21" s="9" t="inlineStr">
        <is>
          <t>Académica · Plan de estudios · Sociales</t>
        </is>
      </c>
      <c r="H21" s="9" t="inlineStr">
        <is>
          <t>Incorporar el enfoque de historia al plan de estudios de sociales.</t>
        </is>
      </c>
      <c r="I21" s="10" t="n"/>
      <c r="J21" s="10" t="n"/>
      <c r="K21" s="11">
        <f>IF($I21="","",IF($J21="","",IF(IFERROR(VLOOKUP($J21,Listas!$G$2:$H$28,2,0),"")=$I21,"OK","Revisar área/ítem")))</f>
        <v/>
      </c>
      <c r="L21" s="10" t="n"/>
      <c r="M21" s="10" t="n"/>
      <c r="N21" s="10" t="n"/>
      <c r="O21" s="10" t="n"/>
      <c r="P21" s="10" t="n"/>
      <c r="Q21" s="10" t="n"/>
      <c r="R21" s="10" t="n"/>
      <c r="S21" s="10" t="n"/>
    </row>
    <row r="22" ht="54" customHeight="1">
      <c r="A22" s="9" t="inlineStr">
        <is>
          <t>REF-21</t>
        </is>
      </c>
      <c r="B22" s="9" t="inlineStr">
        <is>
          <t>Colección Bicentenario «Historia Hoy»</t>
        </is>
      </c>
      <c r="C22" s="9" t="inlineStr">
        <is>
          <t>Guías y materiales</t>
        </is>
      </c>
      <c r="D22" s="9" t="inlineStr">
        <is>
          <t>s. f.</t>
        </is>
      </c>
      <c r="E22" s="9" t="inlineStr">
        <is>
          <t>Recomendado</t>
        </is>
      </c>
      <c r="F22" s="9" t="inlineStr">
        <is>
          <t>Sí</t>
        </is>
      </c>
      <c r="G22" s="9" t="inlineStr">
        <is>
          <t>Académica · Aula · Sociales</t>
        </is>
      </c>
      <c r="H22" s="9" t="inlineStr">
        <is>
          <t>Insumo para diseño de aula en ciencias sociales.</t>
        </is>
      </c>
      <c r="I22" s="10" t="n"/>
      <c r="J22" s="10" t="n"/>
      <c r="K22" s="11">
        <f>IF($I22="","",IF($J22="","",IF(IFERROR(VLOOKUP($J22,Listas!$G$2:$H$28,2,0),"")=$I22,"OK","Revisar área/ítem")))</f>
        <v/>
      </c>
      <c r="L22" s="10" t="n"/>
      <c r="M22" s="10" t="n"/>
      <c r="N22" s="10" t="n"/>
      <c r="O22" s="10" t="n"/>
      <c r="P22" s="10" t="n"/>
      <c r="Q22" s="10" t="n"/>
      <c r="R22" s="10" t="n"/>
      <c r="S22" s="10" t="n"/>
    </row>
    <row r="23" ht="54" customHeight="1">
      <c r="A23" s="9" t="inlineStr">
        <is>
          <t>REF-22</t>
        </is>
      </c>
      <c r="B23" s="9" t="inlineStr">
        <is>
          <t>Ampliación y armonización curricular</t>
        </is>
      </c>
      <c r="C23" s="9" t="inlineStr">
        <is>
          <t>Orientación</t>
        </is>
      </c>
      <c r="D23" s="9" t="inlineStr">
        <is>
          <t>s. f.</t>
        </is>
      </c>
      <c r="E23" s="9" t="inlineStr">
        <is>
          <t>Recomendado</t>
        </is>
      </c>
      <c r="F23" s="9" t="inlineStr">
        <is>
          <t>Sí (preesc.)</t>
        </is>
      </c>
      <c r="G23" s="9" t="inlineStr">
        <is>
          <t>Académica · Preescolar</t>
        </is>
      </c>
      <c r="H23" s="9" t="inlineStr">
        <is>
          <t>Armonizar la transición preescolar→primaria.</t>
        </is>
      </c>
      <c r="I23" s="10" t="n"/>
      <c r="J23" s="10" t="n"/>
      <c r="K23" s="11">
        <f>IF($I23="","",IF($J23="","",IF(IFERROR(VLOOKUP($J23,Listas!$G$2:$H$28,2,0),"")=$I23,"OK","Revisar área/ítem")))</f>
        <v/>
      </c>
      <c r="L23" s="10" t="n"/>
      <c r="M23" s="10" t="n"/>
      <c r="N23" s="10" t="n"/>
      <c r="O23" s="10" t="n"/>
      <c r="P23" s="10" t="n"/>
      <c r="Q23" s="10" t="n"/>
      <c r="R23" s="10" t="n"/>
      <c r="S23" s="10" t="n"/>
    </row>
    <row r="24" ht="54" customHeight="1">
      <c r="A24" s="9" t="inlineStr">
        <is>
          <t>REF-23</t>
        </is>
      </c>
      <c r="B24" s="9" t="inlineStr">
        <is>
          <t>Desarrollo socioemocional y salud mental (educación inicial)</t>
        </is>
      </c>
      <c r="C24" s="9" t="inlineStr">
        <is>
          <t>Orientación</t>
        </is>
      </c>
      <c r="D24" s="9" t="inlineStr">
        <is>
          <t>s. f.</t>
        </is>
      </c>
      <c r="E24" s="9" t="inlineStr">
        <is>
          <t>Recomendado</t>
        </is>
      </c>
      <c r="F24" s="9" t="inlineStr">
        <is>
          <t>Sí (preesc.)</t>
        </is>
      </c>
      <c r="G24" s="9" t="inlineStr">
        <is>
          <t>Académica · Preescolar · Socioemocional</t>
        </is>
      </c>
      <c r="H24" s="9" t="inlineStr">
        <is>
          <t>Base del componente socioemocional en preescolar.</t>
        </is>
      </c>
      <c r="I24" s="10" t="n"/>
      <c r="J24" s="10" t="n"/>
      <c r="K24" s="11">
        <f>IF($I24="","",IF($J24="","",IF(IFERROR(VLOOKUP($J24,Listas!$G$2:$H$28,2,0),"")=$I24,"OK","Revisar área/ítem")))</f>
        <v/>
      </c>
      <c r="L24" s="10" t="n"/>
      <c r="M24" s="10" t="n"/>
      <c r="N24" s="10" t="n"/>
      <c r="O24" s="10" t="n"/>
      <c r="P24" s="10" t="n"/>
      <c r="Q24" s="10" t="n"/>
      <c r="R24" s="10" t="n"/>
      <c r="S24" s="10" t="n"/>
    </row>
    <row r="25" ht="54" customHeight="1">
      <c r="A25" s="9" t="inlineStr">
        <is>
          <t>REF-24</t>
        </is>
      </c>
      <c r="B25" s="9" t="inlineStr">
        <is>
          <t>Condiciones de calidad de la educación inicial</t>
        </is>
      </c>
      <c r="C25" s="9" t="inlineStr">
        <is>
          <t>Orientación</t>
        </is>
      </c>
      <c r="D25" s="9" t="inlineStr">
        <is>
          <t>s. f.</t>
        </is>
      </c>
      <c r="E25" s="9" t="inlineStr">
        <is>
          <t>Recomendado</t>
        </is>
      </c>
      <c r="F25" s="9" t="inlineStr">
        <is>
          <t>Sí (preesc.)</t>
        </is>
      </c>
      <c r="G25" s="9" t="inlineStr">
        <is>
          <t>Calidad · Preescolar</t>
        </is>
      </c>
      <c r="H25" s="9" t="inlineStr">
        <is>
          <t>Autoevaluar preescolar vs. condiciones de calidad (enlaza transverso de calidad).</t>
        </is>
      </c>
      <c r="I25" s="10" t="n"/>
      <c r="J25" s="10" t="n"/>
      <c r="K25" s="11">
        <f>IF($I25="","",IF($J25="","",IF(IFERROR(VLOOKUP($J25,Listas!$G$2:$H$28,2,0),"")=$I25,"OK","Revisar área/ítem")))</f>
        <v/>
      </c>
      <c r="L25" s="10" t="n"/>
      <c r="M25" s="10" t="n"/>
      <c r="N25" s="10" t="n"/>
      <c r="O25" s="10" t="n"/>
      <c r="P25" s="10" t="n"/>
      <c r="Q25" s="10" t="n"/>
      <c r="R25" s="10" t="n"/>
      <c r="S25" s="10" t="n"/>
    </row>
    <row r="26" ht="54" customHeight="1">
      <c r="A26" s="9" t="inlineStr">
        <is>
          <t>REF-25</t>
        </is>
      </c>
      <c r="B26" s="9" t="inlineStr">
        <is>
          <t>Lineamientos de Formación Integral («Un viaje curricular»)</t>
        </is>
      </c>
      <c r="C26" s="9" t="inlineStr">
        <is>
          <t>Lineamiento curricular</t>
        </is>
      </c>
      <c r="D26" s="9" t="inlineStr">
        <is>
          <t>2024–25</t>
        </is>
      </c>
      <c r="E26" s="9" t="inlineStr">
        <is>
          <t>Recomendado</t>
        </is>
      </c>
      <c r="F26" s="9" t="inlineStr">
        <is>
          <t>Sí</t>
        </is>
      </c>
      <c r="G26" s="9" t="inlineStr">
        <is>
          <t>Horizonte · Modelo pedagógico · Mallas</t>
        </is>
      </c>
      <c r="H26" s="9" t="inlineStr">
        <is>
          <t>Orienta el rediseño del modelo pedagógico y las mallas (Fase 3–4).</t>
        </is>
      </c>
      <c r="I26" s="10" t="n"/>
      <c r="J26" s="10" t="n"/>
      <c r="K26" s="11">
        <f>IF($I26="","",IF($J26="","",IF(IFERROR(VLOOKUP($J26,Listas!$G$2:$H$28,2,0),"")=$I26,"OK","Revisar área/ítem")))</f>
        <v/>
      </c>
      <c r="L26" s="10" t="n"/>
      <c r="M26" s="10" t="n"/>
      <c r="N26" s="10" t="n"/>
      <c r="O26" s="10" t="n"/>
      <c r="P26" s="10" t="n"/>
      <c r="Q26" s="10" t="n"/>
      <c r="R26" s="10" t="n"/>
      <c r="S26" s="10" t="n"/>
    </row>
    <row r="27" ht="54" customHeight="1">
      <c r="A27" s="9" t="inlineStr">
        <is>
          <t>REF-26</t>
        </is>
      </c>
      <c r="B27" s="9" t="inlineStr">
        <is>
          <t>Lineamientos de Formación Ciudadana y Desarrollo Socioemocional</t>
        </is>
      </c>
      <c r="C27" s="9" t="inlineStr">
        <is>
          <t>Lineamiento curricular</t>
        </is>
      </c>
      <c r="D27" s="9" t="inlineStr">
        <is>
          <t>2024–25</t>
        </is>
      </c>
      <c r="E27" s="9" t="inlineStr">
        <is>
          <t>Recomendado</t>
        </is>
      </c>
      <c r="F27" s="9" t="inlineStr">
        <is>
          <t>Sí</t>
        </is>
      </c>
      <c r="G27" s="9" t="inlineStr">
        <is>
          <t>Modelo pedagógico · Socioemocional</t>
        </is>
      </c>
      <c r="H27" s="9" t="inlineStr">
        <is>
          <t>Insumo directo del componente socioemocional del PEI.</t>
        </is>
      </c>
      <c r="I27" s="10" t="n"/>
      <c r="J27" s="10" t="n"/>
      <c r="K27" s="11">
        <f>IF($I27="","",IF($J27="","",IF(IFERROR(VLOOKUP($J27,Listas!$G$2:$H$28,2,0),"")=$I27,"OK","Revisar área/ítem")))</f>
        <v/>
      </c>
      <c r="L27" s="10" t="n"/>
      <c r="M27" s="10" t="n"/>
      <c r="N27" s="10" t="n"/>
      <c r="O27" s="10" t="n"/>
      <c r="P27" s="10" t="n"/>
      <c r="Q27" s="10" t="n"/>
      <c r="R27" s="10" t="n"/>
      <c r="S27" s="10" t="n"/>
    </row>
    <row r="28" ht="54" customHeight="1">
      <c r="A28" s="9" t="inlineStr">
        <is>
          <t>REF-27</t>
        </is>
      </c>
      <c r="B28" s="9" t="inlineStr">
        <is>
          <t>Lineamientos de Ciencias Sociales (actualización)</t>
        </is>
      </c>
      <c r="C28" s="9" t="inlineStr">
        <is>
          <t>Lineamiento curricular</t>
        </is>
      </c>
      <c r="D28" s="9" t="inlineStr">
        <is>
          <t>2024–25</t>
        </is>
      </c>
      <c r="E28" s="9" t="inlineStr">
        <is>
          <t>Recomendado</t>
        </is>
      </c>
      <c r="F28" s="9" t="inlineStr">
        <is>
          <t>Sí</t>
        </is>
      </c>
      <c r="G28" s="9" t="inlineStr">
        <is>
          <t>Plan de estudios · Sociales</t>
        </is>
      </c>
      <c r="H28" s="9" t="inlineStr">
        <is>
          <t>Insumo para la malla de ciencias sociales.</t>
        </is>
      </c>
      <c r="I28" s="10" t="n"/>
      <c r="J28" s="10" t="n"/>
      <c r="K28" s="11">
        <f>IF($I28="","",IF($J28="","",IF(IFERROR(VLOOKUP($J28,Listas!$G$2:$H$28,2,0),"")=$I28,"OK","Revisar área/ítem")))</f>
        <v/>
      </c>
      <c r="L28" s="10" t="n"/>
      <c r="M28" s="10" t="n"/>
      <c r="N28" s="10" t="n"/>
      <c r="O28" s="10" t="n"/>
      <c r="P28" s="10" t="n"/>
      <c r="Q28" s="10" t="n"/>
      <c r="R28" s="10" t="n"/>
      <c r="S28" s="10" t="n"/>
    </row>
    <row r="29" ht="54" customHeight="1">
      <c r="A29" s="9" t="inlineStr">
        <is>
          <t>REF-28</t>
        </is>
      </c>
      <c r="B29" s="9" t="inlineStr">
        <is>
          <t>Orientaciones técnicas ESA con TIC</t>
        </is>
      </c>
      <c r="C29" s="9" t="inlineStr">
        <is>
          <t>Orientación técnica</t>
        </is>
      </c>
      <c r="D29" s="9" t="inlineStr">
        <is>
          <t>2026</t>
        </is>
      </c>
      <c r="E29" s="9" t="inlineStr">
        <is>
          <t>Recomendado</t>
        </is>
      </c>
      <c r="F29" s="9" t="inlineStr">
        <is>
          <t>Sí</t>
        </is>
      </c>
      <c r="G29" s="9" t="inlineStr">
        <is>
          <t>Convivencia · Eje TIC</t>
        </is>
      </c>
      <c r="H29" s="9" t="inlineStr">
        <is>
          <t>Ciudadanía digital y entornos seguros en el Manual de Convivencia.</t>
        </is>
      </c>
      <c r="I29" s="10" t="n"/>
      <c r="J29" s="10" t="n"/>
      <c r="K29" s="11">
        <f>IF($I29="","",IF($J29="","",IF(IFERROR(VLOOKUP($J29,Listas!$G$2:$H$28,2,0),"")=$I29,"OK","Revisar área/ítem")))</f>
        <v/>
      </c>
      <c r="L29" s="10" t="n"/>
      <c r="M29" s="10" t="n"/>
      <c r="N29" s="10" t="n"/>
      <c r="O29" s="10" t="n"/>
      <c r="P29" s="10" t="n"/>
      <c r="Q29" s="10" t="n"/>
      <c r="R29" s="10" t="n"/>
      <c r="S29" s="10" t="n"/>
    </row>
    <row r="30" ht="54" customHeight="1">
      <c r="A30" s="9" t="inlineStr">
        <is>
          <t>REF-29</t>
        </is>
      </c>
      <c r="B30" s="9" t="inlineStr">
        <is>
          <t>Abordaje pedagógico de situaciones de riesgo (PEQ)</t>
        </is>
      </c>
      <c r="C30" s="9" t="inlineStr">
        <is>
          <t>Orientación</t>
        </is>
      </c>
      <c r="D30" s="9" t="inlineStr">
        <is>
          <t>s. f.</t>
        </is>
      </c>
      <c r="E30" s="9" t="inlineStr">
        <is>
          <t>Recomendado</t>
        </is>
      </c>
      <c r="F30" s="9" t="inlineStr">
        <is>
          <t>Sí</t>
        </is>
      </c>
      <c r="G30" s="9" t="inlineStr">
        <is>
          <t>Convivencia</t>
        </is>
      </c>
      <c r="H30" s="9" t="inlineStr">
        <is>
          <t>Ruta de prevención en el Manual de Convivencia.</t>
        </is>
      </c>
      <c r="I30" s="10" t="n"/>
      <c r="J30" s="10" t="n"/>
      <c r="K30" s="11">
        <f>IF($I30="","",IF($J30="","",IF(IFERROR(VLOOKUP($J30,Listas!$G$2:$H$28,2,0),"")=$I30,"OK","Revisar área/ítem")))</f>
        <v/>
      </c>
      <c r="L30" s="10" t="n"/>
      <c r="M30" s="10" t="n"/>
      <c r="N30" s="10" t="n"/>
      <c r="O30" s="10" t="n"/>
      <c r="P30" s="10" t="n"/>
      <c r="Q30" s="10" t="n"/>
      <c r="R30" s="10" t="n"/>
      <c r="S30" s="10" t="n"/>
    </row>
    <row r="31" ht="54" customHeight="1">
      <c r="A31" s="9" t="inlineStr">
        <is>
          <t>REF-30</t>
        </is>
      </c>
      <c r="B31" s="9" t="inlineStr">
        <is>
          <t>Alianza Familia-Escuela (colección)</t>
        </is>
      </c>
      <c r="C31" s="9" t="inlineStr">
        <is>
          <t>Colección orientadora</t>
        </is>
      </c>
      <c r="D31" s="9" t="inlineStr">
        <is>
          <t>varios</t>
        </is>
      </c>
      <c r="E31" s="9" t="inlineStr">
        <is>
          <t>Recomendado</t>
        </is>
      </c>
      <c r="F31" s="9" t="inlineStr">
        <is>
          <t>Sí</t>
        </is>
      </c>
      <c r="G31" s="9" t="inlineStr">
        <is>
          <t>Comunidad · Familias · Convivencia</t>
        </is>
      </c>
      <c r="H31" s="9" t="inlineStr">
        <is>
          <t>Insumo para Escuela de Padres, caracterización de familias y participación (Gobierno Escolar).</t>
        </is>
      </c>
      <c r="I31" s="10" t="n"/>
      <c r="J31" s="10" t="n"/>
      <c r="K31" s="11">
        <f>IF($I31="","",IF($J31="","",IF(IFERROR(VLOOKUP($J31,Listas!$G$2:$H$28,2,0),"")=$I31,"OK","Revisar área/ítem")))</f>
        <v/>
      </c>
      <c r="L31" s="10" t="n"/>
      <c r="M31" s="10" t="n"/>
      <c r="N31" s="10" t="n"/>
      <c r="O31" s="10" t="n"/>
      <c r="P31" s="10" t="n"/>
      <c r="Q31" s="10" t="n"/>
      <c r="R31" s="10" t="n"/>
      <c r="S31" s="10" t="n"/>
    </row>
    <row r="32" ht="54" customHeight="1">
      <c r="A32" s="9" t="inlineStr">
        <is>
          <t>REF-31</t>
        </is>
      </c>
      <c r="B32" s="9" t="inlineStr">
        <is>
          <t>Guía del Plan Escolar de Gestión del Riesgo (PEGR)</t>
        </is>
      </c>
      <c r="C32" s="9" t="inlineStr">
        <is>
          <t>Guía</t>
        </is>
      </c>
      <c r="D32" s="9" t="inlineStr">
        <is>
          <t>s. f.</t>
        </is>
      </c>
      <c r="E32" s="9" t="inlineStr">
        <is>
          <t>Recomendado</t>
        </is>
      </c>
      <c r="F32" s="9" t="inlineStr">
        <is>
          <t>Sí</t>
        </is>
      </c>
      <c r="G32" s="9" t="inlineStr">
        <is>
          <t>Directiva · PEGR</t>
        </is>
      </c>
      <c r="H32" s="9" t="inlineStr">
        <is>
          <t>Elaborar/actualizar el PEGR institucional.</t>
        </is>
      </c>
      <c r="I32" s="10" t="n"/>
      <c r="J32" s="10" t="n"/>
      <c r="K32" s="11">
        <f>IF($I32="","",IF($J32="","",IF(IFERROR(VLOOKUP($J32,Listas!$G$2:$H$28,2,0),"")=$I32,"OK","Revisar área/ítem")))</f>
        <v/>
      </c>
      <c r="L32" s="10" t="n"/>
      <c r="M32" s="10" t="n"/>
      <c r="N32" s="10" t="n"/>
      <c r="O32" s="10" t="n"/>
      <c r="P32" s="10" t="n"/>
      <c r="Q32" s="10" t="n"/>
      <c r="R32" s="10" t="n"/>
      <c r="S32" s="10" t="n"/>
    </row>
    <row r="33">
      <c r="K33" s="11">
        <f>IF($I33="","",IF($J33="","",IF(IFERROR(VLOOKUP($J33,Listas!$G$2:$H$28,2,0),"")=$I33,"OK","Revisar área/ítem")))</f>
        <v/>
      </c>
    </row>
    <row r="34">
      <c r="K34" s="11">
        <f>IF($I34="","",IF($J34="","",IF(IFERROR(VLOOKUP($J34,Listas!$G$2:$H$28,2,0),"")=$I34,"OK","Revisar área/ítem")))</f>
        <v/>
      </c>
    </row>
    <row r="35">
      <c r="K35" s="11">
        <f>IF($I35="","",IF($J35="","",IF(IFERROR(VLOOKUP($J35,Listas!$G$2:$H$28,2,0),"")=$I35,"OK","Revisar área/ítem")))</f>
        <v/>
      </c>
    </row>
    <row r="36">
      <c r="K36" s="11">
        <f>IF($I36="","",IF($J36="","",IF(IFERROR(VLOOKUP($J36,Listas!$G$2:$H$28,2,0),"")=$I36,"OK","Revisar área/ítem")))</f>
        <v/>
      </c>
    </row>
    <row r="37">
      <c r="K37" s="11">
        <f>IF($I37="","",IF($J37="","",IF(IFERROR(VLOOKUP($J37,Listas!$G$2:$H$28,2,0),"")=$I37,"OK","Revisar área/ítem")))</f>
        <v/>
      </c>
    </row>
    <row r="38">
      <c r="K38" s="11">
        <f>IF($I38="","",IF($J38="","",IF(IFERROR(VLOOKUP($J38,Listas!$G$2:$H$28,2,0),"")=$I38,"OK","Revisar área/ítem")))</f>
        <v/>
      </c>
    </row>
    <row r="39">
      <c r="K39" s="11">
        <f>IF($I39="","",IF($J39="","",IF(IFERROR(VLOOKUP($J39,Listas!$G$2:$H$28,2,0),"")=$I39,"OK","Revisar área/ítem")))</f>
        <v/>
      </c>
    </row>
    <row r="40">
      <c r="K40" s="11">
        <f>IF($I40="","",IF($J40="","",IF(IFERROR(VLOOKUP($J40,Listas!$G$2:$H$28,2,0),"")=$I40,"OK","Revisar área/ítem")))</f>
        <v/>
      </c>
    </row>
    <row r="41">
      <c r="K41" s="11">
        <f>IF($I41="","",IF($J41="","",IF(IFERROR(VLOOKUP($J41,Listas!$G$2:$H$28,2,0),"")=$I41,"OK","Revisar área/ítem")))</f>
        <v/>
      </c>
    </row>
    <row r="42">
      <c r="K42" s="11">
        <f>IF($I42="","",IF($J42="","",IF(IFERROR(VLOOKUP($J42,Listas!$G$2:$H$28,2,0),"")=$I42,"OK","Revisar área/ítem")))</f>
        <v/>
      </c>
    </row>
    <row r="43">
      <c r="K43" s="11">
        <f>IF($I43="","",IF($J43="","",IF(IFERROR(VLOOKUP($J43,Listas!$G$2:$H$28,2,0),"")=$I43,"OK","Revisar área/ítem")))</f>
        <v/>
      </c>
    </row>
    <row r="44">
      <c r="K44" s="11">
        <f>IF($I44="","",IF($J44="","",IF(IFERROR(VLOOKUP($J44,Listas!$G$2:$H$28,2,0),"")=$I44,"OK","Revisar área/ítem")))</f>
        <v/>
      </c>
    </row>
    <row r="45">
      <c r="K45" s="11">
        <f>IF($I45="","",IF($J45="","",IF(IFERROR(VLOOKUP($J45,Listas!$G$2:$H$28,2,0),"")=$I45,"OK","Revisar área/ítem")))</f>
        <v/>
      </c>
    </row>
    <row r="46">
      <c r="K46" s="11">
        <f>IF($I46="","",IF($J46="","",IF(IFERROR(VLOOKUP($J46,Listas!$G$2:$H$28,2,0),"")=$I46,"OK","Revisar área/ítem")))</f>
        <v/>
      </c>
    </row>
    <row r="47">
      <c r="K47" s="11">
        <f>IF($I47="","",IF($J47="","",IF(IFERROR(VLOOKUP($J47,Listas!$G$2:$H$28,2,0),"")=$I47,"OK","Revisar área/ítem")))</f>
        <v/>
      </c>
    </row>
    <row r="48">
      <c r="K48" s="11">
        <f>IF($I48="","",IF($J48="","",IF(IFERROR(VLOOKUP($J48,Listas!$G$2:$H$28,2,0),"")=$I48,"OK","Revisar área/ítem")))</f>
        <v/>
      </c>
    </row>
    <row r="49">
      <c r="K49" s="11">
        <f>IF($I49="","",IF($J49="","",IF(IFERROR(VLOOKUP($J49,Listas!$G$2:$H$28,2,0),"")=$I49,"OK","Revisar área/ítem")))</f>
        <v/>
      </c>
    </row>
    <row r="50">
      <c r="K50" s="11">
        <f>IF($I50="","",IF($J50="","",IF(IFERROR(VLOOKUP($J50,Listas!$G$2:$H$28,2,0),"")=$I50,"OK","Revisar área/ítem")))</f>
        <v/>
      </c>
    </row>
    <row r="51">
      <c r="K51" s="11">
        <f>IF($I51="","",IF($J51="","",IF(IFERROR(VLOOKUP($J51,Listas!$G$2:$H$28,2,0),"")=$I51,"OK","Revisar área/ítem")))</f>
        <v/>
      </c>
    </row>
    <row r="52">
      <c r="K52" s="11">
        <f>IF($I52="","",IF($J52="","",IF(IFERROR(VLOOKUP($J52,Listas!$G$2:$H$28,2,0),"")=$I52,"OK","Revisar área/ítem")))</f>
        <v/>
      </c>
    </row>
    <row r="53">
      <c r="K53" s="11">
        <f>IF($I53="","",IF($J53="","",IF(IFERROR(VLOOKUP($J53,Listas!$G$2:$H$28,2,0),"")=$I53,"OK","Revisar área/ítem")))</f>
        <v/>
      </c>
    </row>
    <row r="54">
      <c r="K54" s="11">
        <f>IF($I54="","",IF($J54="","",IF(IFERROR(VLOOKUP($J54,Listas!$G$2:$H$28,2,0),"")=$I54,"OK","Revisar área/ítem")))</f>
        <v/>
      </c>
    </row>
    <row r="55">
      <c r="K55" s="11">
        <f>IF($I55="","",IF($J55="","",IF(IFERROR(VLOOKUP($J55,Listas!$G$2:$H$28,2,0),"")=$I55,"OK","Revisar área/ítem")))</f>
        <v/>
      </c>
    </row>
    <row r="56">
      <c r="K56" s="11">
        <f>IF($I56="","",IF($J56="","",IF(IFERROR(VLOOKUP($J56,Listas!$G$2:$H$28,2,0),"")=$I56,"OK","Revisar área/ítem")))</f>
        <v/>
      </c>
    </row>
    <row r="57">
      <c r="K57" s="11">
        <f>IF($I57="","",IF($J57="","",IF(IFERROR(VLOOKUP($J57,Listas!$G$2:$H$28,2,0),"")=$I57,"OK","Revisar área/ítem")))</f>
        <v/>
      </c>
    </row>
    <row r="58">
      <c r="K58" s="11">
        <f>IF($I58="","",IF($J58="","",IF(IFERROR(VLOOKUP($J58,Listas!$G$2:$H$28,2,0),"")=$I58,"OK","Revisar área/ítem")))</f>
        <v/>
      </c>
    </row>
    <row r="59">
      <c r="K59" s="11">
        <f>IF($I59="","",IF($J59="","",IF(IFERROR(VLOOKUP($J59,Listas!$G$2:$H$28,2,0),"")=$I59,"OK","Revisar área/ítem")))</f>
        <v/>
      </c>
    </row>
    <row r="60">
      <c r="K60" s="11">
        <f>IF($I60="","",IF($J60="","",IF(IFERROR(VLOOKUP($J60,Listas!$G$2:$H$28,2,0),"")=$I60,"OK","Revisar área/ítem")))</f>
        <v/>
      </c>
    </row>
    <row r="61">
      <c r="K61" s="11">
        <f>IF($I61="","",IF($J61="","",IF(IFERROR(VLOOKUP($J61,Listas!$G$2:$H$28,2,0),"")=$I61,"OK","Revisar área/ítem")))</f>
        <v/>
      </c>
    </row>
    <row r="62">
      <c r="K62" s="11">
        <f>IF($I62="","",IF($J62="","",IF(IFERROR(VLOOKUP($J62,Listas!$G$2:$H$28,2,0),"")=$I62,"OK","Revisar área/ítem")))</f>
        <v/>
      </c>
    </row>
    <row r="63">
      <c r="K63" s="11">
        <f>IF($I63="","",IF($J63="","",IF(IFERROR(VLOOKUP($J63,Listas!$G$2:$H$28,2,0),"")=$I63,"OK","Revisar área/ítem")))</f>
        <v/>
      </c>
    </row>
    <row r="64">
      <c r="K64" s="11">
        <f>IF($I64="","",IF($J64="","",IF(IFERROR(VLOOKUP($J64,Listas!$G$2:$H$28,2,0),"")=$I64,"OK","Revisar área/ítem")))</f>
        <v/>
      </c>
    </row>
    <row r="65">
      <c r="K65" s="11">
        <f>IF($I65="","",IF($J65="","",IF(IFERROR(VLOOKUP($J65,Listas!$G$2:$H$28,2,0),"")=$I65,"OK","Revisar área/ítem")))</f>
        <v/>
      </c>
    </row>
    <row r="66">
      <c r="K66" s="11">
        <f>IF($I66="","",IF($J66="","",IF(IFERROR(VLOOKUP($J66,Listas!$G$2:$H$28,2,0),"")=$I66,"OK","Revisar área/ítem")))</f>
        <v/>
      </c>
    </row>
    <row r="67">
      <c r="K67" s="11">
        <f>IF($I67="","",IF($J67="","",IF(IFERROR(VLOOKUP($J67,Listas!$G$2:$H$28,2,0),"")=$I67,"OK","Revisar área/ítem")))</f>
        <v/>
      </c>
    </row>
    <row r="68">
      <c r="K68" s="11">
        <f>IF($I68="","",IF($J68="","",IF(IFERROR(VLOOKUP($J68,Listas!$G$2:$H$28,2,0),"")=$I68,"OK","Revisar área/ítem")))</f>
        <v/>
      </c>
    </row>
    <row r="69">
      <c r="K69" s="11">
        <f>IF($I69="","",IF($J69="","",IF(IFERROR(VLOOKUP($J69,Listas!$G$2:$H$28,2,0),"")=$I69,"OK","Revisar área/ítem")))</f>
        <v/>
      </c>
    </row>
    <row r="70">
      <c r="K70" s="11">
        <f>IF($I70="","",IF($J70="","",IF(IFERROR(VLOOKUP($J70,Listas!$G$2:$H$28,2,0),"")=$I70,"OK","Revisar área/ítem")))</f>
        <v/>
      </c>
    </row>
    <row r="71">
      <c r="K71" s="11">
        <f>IF($I71="","",IF($J71="","",IF(IFERROR(VLOOKUP($J71,Listas!$G$2:$H$28,2,0),"")=$I71,"OK","Revisar área/ítem")))</f>
        <v/>
      </c>
    </row>
    <row r="72">
      <c r="K72" s="11">
        <f>IF($I72="","",IF($J72="","",IF(IFERROR(VLOOKUP($J72,Listas!$G$2:$H$28,2,0),"")=$I72,"OK","Revisar área/ítem")))</f>
        <v/>
      </c>
    </row>
    <row r="73">
      <c r="K73" s="11">
        <f>IF($I73="","",IF($J73="","",IF(IFERROR(VLOOKUP($J73,Listas!$G$2:$H$28,2,0),"")=$I73,"OK","Revisar área/ítem")))</f>
        <v/>
      </c>
    </row>
    <row r="74">
      <c r="K74" s="11">
        <f>IF($I74="","",IF($J74="","",IF(IFERROR(VLOOKUP($J74,Listas!$G$2:$H$28,2,0),"")=$I74,"OK","Revisar área/ítem")))</f>
        <v/>
      </c>
    </row>
    <row r="75">
      <c r="K75" s="11">
        <f>IF($I75="","",IF($J75="","",IF(IFERROR(VLOOKUP($J75,Listas!$G$2:$H$28,2,0),"")=$I75,"OK","Revisar área/ítem")))</f>
        <v/>
      </c>
    </row>
    <row r="76">
      <c r="K76" s="11">
        <f>IF($I76="","",IF($J76="","",IF(IFERROR(VLOOKUP($J76,Listas!$G$2:$H$28,2,0),"")=$I76,"OK","Revisar área/ítem")))</f>
        <v/>
      </c>
    </row>
    <row r="77">
      <c r="K77" s="11">
        <f>IF($I77="","",IF($J77="","",IF(IFERROR(VLOOKUP($J77,Listas!$G$2:$H$28,2,0),"")=$I77,"OK","Revisar área/ítem")))</f>
        <v/>
      </c>
    </row>
    <row r="78">
      <c r="K78" s="11">
        <f>IF($I78="","",IF($J78="","",IF(IFERROR(VLOOKUP($J78,Listas!$G$2:$H$28,2,0),"")=$I78,"OK","Revisar área/ítem")))</f>
        <v/>
      </c>
    </row>
    <row r="79">
      <c r="K79" s="11">
        <f>IF($I79="","",IF($J79="","",IF(IFERROR(VLOOKUP($J79,Listas!$G$2:$H$28,2,0),"")=$I79,"OK","Revisar área/ítem")))</f>
        <v/>
      </c>
    </row>
    <row r="80">
      <c r="K80" s="11">
        <f>IF($I80="","",IF($J80="","",IF(IFERROR(VLOOKUP($J80,Listas!$G$2:$H$28,2,0),"")=$I80,"OK","Revisar área/ítem")))</f>
        <v/>
      </c>
    </row>
  </sheetData>
  <conditionalFormatting sqref="K2:K200">
    <cfRule type="expression" priority="1" dxfId="0">
      <formula>ISNUMBER(SEARCH("Revisar",K2))</formula>
    </cfRule>
  </conditionalFormatting>
  <conditionalFormatting sqref="S2:S200">
    <cfRule type="expression" priority="2" dxfId="1">
      <formula>$S2="Avalado por coordinación"</formula>
    </cfRule>
  </conditionalFormatting>
  <dataValidations count="6">
    <dataValidation sqref="E2:E200" showDropDown="0" showInputMessage="0" showErrorMessage="0" allowBlank="1" type="list">
      <formula1>Listas!$F$2:$F$3</formula1>
    </dataValidation>
    <dataValidation sqref="I2:I200" showDropDown="0" showInputMessage="0" showErrorMessage="0" allowBlank="1" type="list">
      <formula1>Listas!$A$2:$A$5</formula1>
    </dataValidation>
    <dataValidation sqref="J2:J200" showDropDown="0" showInputMessage="0" showErrorMessage="0" allowBlank="1" type="list">
      <formula1>Listas!$G$2:$G$28</formula1>
    </dataValidation>
    <dataValidation sqref="M2:M200" showDropDown="0" showInputMessage="0" showErrorMessage="0" allowBlank="1" type="list">
      <formula1>Listas!$C$2:$C$7</formula1>
    </dataValidation>
    <dataValidation sqref="P2:P200" showDropDown="0" showInputMessage="0" showErrorMessage="0" allowBlank="1" type="list">
      <formula1>Listas!$D$2:$D$5</formula1>
    </dataValidation>
    <dataValidation sqref="S2:S200" showDropDown="0" showInputMessage="0" showErrorMessage="0" allowBlank="1" type="list">
      <formula1>Listas!$E$2:$E$4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4" customWidth="1" min="4" max="4"/>
    <col width="34" customWidth="1" min="5" max="5"/>
    <col width="12" customWidth="1" min="6" max="6"/>
  </cols>
  <sheetData>
    <row r="2">
      <c r="B2" s="12" t="inlineStr">
        <is>
          <t>Tablero de consolidación</t>
        </is>
      </c>
    </row>
    <row r="3">
      <c r="B3" s="13" t="inlineStr">
        <is>
          <t>Se actualiza solo al diligenciar la hoja «Fichas».</t>
        </is>
      </c>
    </row>
    <row r="5">
      <c r="B5" s="1" t="inlineStr">
        <is>
          <t>Totales</t>
        </is>
      </c>
      <c r="E5" s="1" t="inlineStr">
        <is>
          <t>Por área de gestión</t>
        </is>
      </c>
    </row>
    <row r="6">
      <c r="B6" s="14" t="inlineStr">
        <is>
          <t>Fichas registradas</t>
        </is>
      </c>
      <c r="C6" s="15">
        <f>COUNTA(Fichas!$B$2:Fichas!$B$200)</f>
        <v/>
      </c>
      <c r="E6" s="9" t="inlineStr">
        <is>
          <t>Gestión Directiva</t>
        </is>
      </c>
      <c r="F6" s="15">
        <f>COUNTIF(Fichas!$I:$I,"Gestión Directiva")</f>
        <v/>
      </c>
    </row>
    <row r="7">
      <c r="B7" s="14" t="inlineStr">
        <is>
          <t>Con redacción propuesta</t>
        </is>
      </c>
      <c r="C7" s="15">
        <f>COUNTA(Fichas!$N$2:Fichas!$N$200)</f>
        <v/>
      </c>
      <c r="E7" s="9" t="inlineStr">
        <is>
          <t>Gestión Académica</t>
        </is>
      </c>
      <c r="F7" s="15">
        <f>COUNTIF(Fichas!$I:$I,"Gestión Académica")</f>
        <v/>
      </c>
    </row>
    <row r="8">
      <c r="B8" s="14" t="inlineStr">
        <is>
          <t>Avaladas por coordinación</t>
        </is>
      </c>
      <c r="C8" s="15">
        <f>COUNTIF(Fichas!$S:$S,"Avalado por coordinación")</f>
        <v/>
      </c>
      <c r="E8" s="9" t="inlineStr">
        <is>
          <t>Gestión de la Comunidad</t>
        </is>
      </c>
      <c r="F8" s="15">
        <f>COUNTIF(Fichas!$I:$I,"Gestión de la Comunidad")</f>
        <v/>
      </c>
    </row>
    <row r="9">
      <c r="B9" s="14" t="inlineStr">
        <is>
          <t>Correspondencias a revisar</t>
        </is>
      </c>
      <c r="C9" s="15">
        <f>COUNTIF(Fichas!$K:$K,"Revisar*")</f>
        <v/>
      </c>
      <c r="E9" s="9" t="inlineStr">
        <is>
          <t>Gestión Administrativa y Financiera</t>
        </is>
      </c>
      <c r="F9" s="15">
        <f>COUNTIF(Fichas!$I:$I,"Gestión Administrativa y Financiera")</f>
        <v/>
      </c>
    </row>
    <row r="10">
      <c r="E10" s="16" t="inlineStr">
        <is>
          <t>Sin asignar área</t>
        </is>
      </c>
      <c r="F10" s="17">
        <f>COUNTA(Fichas!$B$2:Fichas!$B$200)-SUMPRODUCT(COUNTIF(Fichas!$I:$I,Listas!$A$2:$A$5))</f>
        <v/>
      </c>
    </row>
    <row r="11">
      <c r="B11" s="1" t="inlineStr">
        <is>
          <t>Por clasificación</t>
        </is>
      </c>
    </row>
    <row r="12">
      <c r="B12" s="14" t="inlineStr">
        <is>
          <t>Obligatorio</t>
        </is>
      </c>
      <c r="C12" s="15">
        <f>COUNTIF(Fichas!$E:$E,"Obligatorio")</f>
        <v/>
      </c>
    </row>
    <row r="13">
      <c r="B13" s="14" t="inlineStr">
        <is>
          <t>Recomendado</t>
        </is>
      </c>
      <c r="C13" s="15">
        <f>COUNTIF(Fichas!$E:$E,"Recomendado")</f>
        <v/>
      </c>
    </row>
    <row r="15">
      <c r="B15" s="1" t="inlineStr">
        <is>
          <t>Por estado</t>
        </is>
      </c>
    </row>
    <row r="16">
      <c r="B16" s="14" t="inlineStr">
        <is>
          <t>Borrador</t>
        </is>
      </c>
      <c r="C16" s="15">
        <f>COUNTIF(Fichas!$S:$S,"Borrador")</f>
        <v/>
      </c>
    </row>
    <row r="17">
      <c r="B17" s="14" t="inlineStr">
        <is>
          <t>Revisado por el grupo</t>
        </is>
      </c>
      <c r="C17" s="15">
        <f>COUNTIF(Fichas!$S:$S,"Revisado por el grupo")</f>
        <v/>
      </c>
    </row>
    <row r="18">
      <c r="B18" s="14" t="inlineStr">
        <is>
          <t>Avalado por coordinación</t>
        </is>
      </c>
      <c r="C18" s="15">
        <f>COUNTIF(Fichas!$S:$S,"Avalado por coordinación")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3" max="3"/>
    <col width="20" customWidth="1" min="4" max="4"/>
    <col width="24" customWidth="1" min="5" max="5"/>
    <col width="16" customWidth="1" min="6" max="6"/>
    <col width="52" customWidth="1" min="7" max="7"/>
    <col width="34" customWidth="1" min="8" max="8"/>
  </cols>
  <sheetData>
    <row r="1">
      <c r="A1" s="18" t="inlineStr">
        <is>
          <t>Áreas</t>
        </is>
      </c>
      <c r="C1" s="18" t="inlineStr">
        <is>
          <t>Tipo de incorporación</t>
        </is>
      </c>
      <c r="D1" s="18" t="inlineStr">
        <is>
          <t>Instancia</t>
        </is>
      </c>
      <c r="E1" s="18" t="inlineStr">
        <is>
          <t>Estado</t>
        </is>
      </c>
      <c r="F1" s="18" t="inlineStr">
        <is>
          <t>Clasificación</t>
        </is>
      </c>
      <c r="G1" s="18" t="inlineStr">
        <is>
          <t>Ítem</t>
        </is>
      </c>
      <c r="H1" s="18" t="inlineStr">
        <is>
          <t>Área (mapa)</t>
        </is>
      </c>
    </row>
    <row r="2">
      <c r="A2" t="inlineStr">
        <is>
          <t>Gestión Directiva</t>
        </is>
      </c>
      <c r="C2" t="inlineStr">
        <is>
          <t>Ajustar texto existente</t>
        </is>
      </c>
      <c r="D2" t="inlineStr">
        <is>
          <t>No requiere</t>
        </is>
      </c>
      <c r="E2" t="inlineStr">
        <is>
          <t>Borrador</t>
        </is>
      </c>
      <c r="F2" t="inlineStr">
        <is>
          <t>Obligatorio</t>
        </is>
      </c>
      <c r="G2" t="inlineStr">
        <is>
          <t>Identidad institucional</t>
        </is>
      </c>
      <c r="H2" t="inlineStr">
        <is>
          <t>Gestión Directiva</t>
        </is>
      </c>
    </row>
    <row r="3">
      <c r="A3" t="inlineStr">
        <is>
          <t>Gestión Académica</t>
        </is>
      </c>
      <c r="C3" t="inlineStr">
        <is>
          <t>Crear apartado nuevo</t>
        </is>
      </c>
      <c r="D3" t="inlineStr">
        <is>
          <t>Consejo Académico</t>
        </is>
      </c>
      <c r="E3" t="inlineStr">
        <is>
          <t>Revisado por el grupo</t>
        </is>
      </c>
      <c r="F3" t="inlineStr">
        <is>
          <t>Recomendado</t>
        </is>
      </c>
      <c r="G3" t="inlineStr">
        <is>
          <t>Caracterización institucional</t>
        </is>
      </c>
      <c r="H3" t="inlineStr">
        <is>
          <t>Gestión Directiva</t>
        </is>
      </c>
    </row>
    <row r="4">
      <c r="A4" t="inlineStr">
        <is>
          <t>Gestión de la Comunidad</t>
        </is>
      </c>
      <c r="C4" t="inlineStr">
        <is>
          <t>Incorporar referencia normativa</t>
        </is>
      </c>
      <c r="D4" t="inlineStr">
        <is>
          <t>Consejo Directivo</t>
        </is>
      </c>
      <c r="E4" t="inlineStr">
        <is>
          <t>Avalado por coordinación</t>
        </is>
      </c>
      <c r="G4" t="inlineStr">
        <is>
          <t>Filosofía o fundamentos del PEI</t>
        </is>
      </c>
      <c r="H4" t="inlineStr">
        <is>
          <t>Gestión Directiva</t>
        </is>
      </c>
    </row>
    <row r="5">
      <c r="A5" t="inlineStr">
        <is>
          <t>Gestión Administrativa y Financiera</t>
        </is>
      </c>
      <c r="C5" t="inlineStr">
        <is>
          <t>Enlazar documento anexo</t>
        </is>
      </c>
      <c r="D5" t="inlineStr">
        <is>
          <t>Rectoría</t>
        </is>
      </c>
      <c r="G5" t="inlineStr">
        <is>
          <t>Horizonte institucional</t>
        </is>
      </c>
      <c r="H5" t="inlineStr">
        <is>
          <t>Gestión Directiva</t>
        </is>
      </c>
    </row>
    <row r="6">
      <c r="C6" t="inlineStr">
        <is>
          <t>Sin cambios (ya contemplado)</t>
        </is>
      </c>
      <c r="G6" t="inlineStr">
        <is>
          <t>Políticas institucionales</t>
        </is>
      </c>
      <c r="H6" t="inlineStr">
        <is>
          <t>Gestión Directiva</t>
        </is>
      </c>
    </row>
    <row r="7">
      <c r="C7" t="inlineStr">
        <is>
          <t>Remitir a otro ítem</t>
        </is>
      </c>
      <c r="G7" t="inlineStr">
        <is>
          <t>Objetivos del PEI</t>
        </is>
      </c>
      <c r="H7" t="inlineStr">
        <is>
          <t>Gestión Directiva</t>
        </is>
      </c>
    </row>
    <row r="8">
      <c r="G8" t="inlineStr">
        <is>
          <t>Metas del PEI</t>
        </is>
      </c>
      <c r="H8" t="inlineStr">
        <is>
          <t>Gestión Directiva</t>
        </is>
      </c>
    </row>
    <row r="9">
      <c r="G9" t="inlineStr">
        <is>
          <t>Lineamientos de la propuesta pedagógica y curricular</t>
        </is>
      </c>
      <c r="H9" t="inlineStr">
        <is>
          <t>Gestión Académica</t>
        </is>
      </c>
    </row>
    <row r="10">
      <c r="G10" t="inlineStr">
        <is>
          <t>Modelo y/o enfoque pedagógico</t>
        </is>
      </c>
      <c r="H10" t="inlineStr">
        <is>
          <t>Gestión Académica</t>
        </is>
      </c>
    </row>
    <row r="11">
      <c r="G11" t="inlineStr">
        <is>
          <t>Planes de estudios</t>
        </is>
      </c>
      <c r="H11" t="inlineStr">
        <is>
          <t>Gestión Académica</t>
        </is>
      </c>
    </row>
    <row r="12">
      <c r="G12" t="inlineStr">
        <is>
          <t>Proyectos pedagógicos transversales y cátedras</t>
        </is>
      </c>
      <c r="H12" t="inlineStr">
        <is>
          <t>Gestión Académica</t>
        </is>
      </c>
    </row>
    <row r="13">
      <c r="G13" t="inlineStr">
        <is>
          <t>Sistema Institucional de Evaluación de Estudiantes (SIEE)</t>
        </is>
      </c>
      <c r="H13" t="inlineStr">
        <is>
          <t>Gestión Académica</t>
        </is>
      </c>
    </row>
    <row r="14">
      <c r="G14" t="inlineStr">
        <is>
          <t>Gobierno escolar</t>
        </is>
      </c>
      <c r="H14" t="inlineStr">
        <is>
          <t>Gestión de la Comunidad</t>
        </is>
      </c>
    </row>
    <row r="15">
      <c r="G15" t="inlineStr">
        <is>
          <t>Instancias de participación</t>
        </is>
      </c>
      <c r="H15" t="inlineStr">
        <is>
          <t>Gestión de la Comunidad</t>
        </is>
      </c>
    </row>
    <row r="16">
      <c r="G16" t="inlineStr">
        <is>
          <t>Manual de convivencia</t>
        </is>
      </c>
      <c r="H16" t="inlineStr">
        <is>
          <t>Gestión de la Comunidad</t>
        </is>
      </c>
    </row>
    <row r="17">
      <c r="G17" t="inlineStr">
        <is>
          <t>Procesos de articulación (convenios, programas, alianzas)</t>
        </is>
      </c>
      <c r="H17" t="inlineStr">
        <is>
          <t>Gestión de la Comunidad</t>
        </is>
      </c>
    </row>
    <row r="18">
      <c r="G18" t="inlineStr">
        <is>
          <t>Servicio social estudiantil (SSEO)</t>
        </is>
      </c>
      <c r="H18" t="inlineStr">
        <is>
          <t>Gestión de la Comunidad</t>
        </is>
      </c>
    </row>
    <row r="19">
      <c r="G19" t="inlineStr">
        <is>
          <t>Alianza familia-escuela</t>
        </is>
      </c>
      <c r="H19" t="inlineStr">
        <is>
          <t>Gestión de la Comunidad</t>
        </is>
      </c>
    </row>
    <row r="20">
      <c r="G20" t="inlineStr">
        <is>
          <t>Acogida a estudiantes nuevos</t>
        </is>
      </c>
      <c r="H20" t="inlineStr">
        <is>
          <t>Gestión de la Comunidad</t>
        </is>
      </c>
    </row>
    <row r="21">
      <c r="G21" t="inlineStr">
        <is>
          <t>Seguimiento a egresados</t>
        </is>
      </c>
      <c r="H21" t="inlineStr">
        <is>
          <t>Gestión de la Comunidad</t>
        </is>
      </c>
    </row>
    <row r="22">
      <c r="G22" t="inlineStr">
        <is>
          <t>Plan escolar de gestión del riesgo</t>
        </is>
      </c>
      <c r="H22" t="inlineStr">
        <is>
          <t>Gestión de la Comunidad</t>
        </is>
      </c>
    </row>
    <row r="23">
      <c r="G23" t="inlineStr">
        <is>
          <t>Diseño organizacional</t>
        </is>
      </c>
      <c r="H23" t="inlineStr">
        <is>
          <t>Gestión Administrativa y Financiera</t>
        </is>
      </c>
    </row>
    <row r="24">
      <c r="G24" t="inlineStr">
        <is>
          <t>Proceso de matrícula</t>
        </is>
      </c>
      <c r="H24" t="inlineStr">
        <is>
          <t>Gestión Administrativa y Financiera</t>
        </is>
      </c>
    </row>
    <row r="25">
      <c r="G25" t="inlineStr">
        <is>
          <t>Validación de grados</t>
        </is>
      </c>
      <c r="H25" t="inlineStr">
        <is>
          <t>Gestión Administrativa y Financiera</t>
        </is>
      </c>
    </row>
    <row r="26">
      <c r="G26" t="inlineStr">
        <is>
          <t>Actualización y capacitación</t>
        </is>
      </c>
      <c r="H26" t="inlineStr">
        <is>
          <t>Gestión Administrativa y Financiera</t>
        </is>
      </c>
    </row>
    <row r="27">
      <c r="G27" t="inlineStr">
        <is>
          <t>Recursos físicos, tecnológicos, humanos y financieros</t>
        </is>
      </c>
      <c r="H27" t="inlineStr">
        <is>
          <t>Gestión Administrativa y Financiera</t>
        </is>
      </c>
    </row>
    <row r="28">
      <c r="G28" t="inlineStr">
        <is>
          <t>Servicios adicionales y complementarios</t>
        </is>
      </c>
      <c r="H28" t="inlineStr">
        <is>
          <t>Gestión Administrativa y Financiera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EICIT IA — asistencia técnica</dc:creator>
  <dc:title xmlns:dc="http://purl.org/dc/elements/1.1/">Libro de consolidación de fichas — Incorporación de referentes al PEI</dc:title>
  <dc:description xmlns:dc="http://purl.org/dc/elements/1.1/">ENSMA · Circular 0064 de 2026 · Precargado desde el semáforo 1.3.2</dc:description>
  <dcterms:created xmlns:dcterms="http://purl.org/dc/terms/" xmlns:xsi="http://www.w3.org/2001/XMLSchema-instance" xsi:type="dcterms:W3CDTF">2026-09-07T13:39:56Z</dcterms:created>
  <dcterms:modified xmlns:dcterms="http://purl.org/dc/terms/" xmlns:xsi="http://www.w3.org/2001/XMLSchema-instance" xsi:type="dcterms:W3CDTF">2026-09-07T13:39:56Z</dcterms:modified>
  <cp:lastModifiedBy>EICIT IA — asistencia técnica</cp:lastModifiedBy>
</cp:coreProperties>
</file>