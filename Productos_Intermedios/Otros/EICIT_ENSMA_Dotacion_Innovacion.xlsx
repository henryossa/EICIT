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henryossa/Documents/EICIT-2026/008.Ma_Auxiliadora/000. Proceso/"/>
    </mc:Choice>
  </mc:AlternateContent>
  <xr:revisionPtr revIDLastSave="0" documentId="13_ncr:1_{0E5E9EE1-9BD9-0D4F-81AF-7399F3CA5173}" xr6:coauthVersionLast="47" xr6:coauthVersionMax="47" xr10:uidLastSave="{00000000-0000-0000-0000-000000000000}"/>
  <bookViews>
    <workbookView xWindow="0" yWindow="600" windowWidth="28280" windowHeight="17400" tabRatio="500" activeTab="2" xr2:uid="{00000000-000D-0000-FFFF-FFFF00000000}"/>
  </bookViews>
  <sheets>
    <sheet name="Guía" sheetId="1" r:id="rId1"/>
    <sheet name="EICIT_TecnicoLaboral" sheetId="3" r:id="rId2"/>
    <sheet name="ENSMA_Innovación" sheetId="2" r:id="rId3"/>
    <sheet name="Resume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5" i="4" l="1"/>
  <c r="C14" i="4"/>
  <c r="C13" i="4"/>
  <c r="D7" i="4"/>
  <c r="C7" i="4"/>
  <c r="D6" i="4"/>
  <c r="C6" i="4"/>
  <c r="K16" i="3"/>
  <c r="K15" i="3"/>
  <c r="K14" i="3"/>
  <c r="K13" i="3"/>
  <c r="K12" i="3"/>
  <c r="K11" i="3"/>
  <c r="K9" i="3"/>
  <c r="K8" i="3"/>
  <c r="K7" i="3"/>
  <c r="K6" i="3"/>
  <c r="K5" i="3"/>
  <c r="J22" i="2"/>
  <c r="J21" i="2"/>
  <c r="J20" i="2"/>
  <c r="J18" i="2"/>
  <c r="J17" i="2"/>
  <c r="J16" i="2"/>
  <c r="J14" i="2"/>
  <c r="J13" i="2"/>
  <c r="J12" i="2"/>
  <c r="J10" i="2"/>
  <c r="J9" i="2"/>
  <c r="J24" i="2" s="1"/>
  <c r="J7" i="2"/>
  <c r="J6" i="2"/>
  <c r="J5" i="2"/>
  <c r="D8" i="4" l="1"/>
  <c r="K18" i="3"/>
  <c r="E7" i="4"/>
  <c r="E6" i="4"/>
  <c r="E8" i="4" l="1"/>
</calcChain>
</file>

<file path=xl/sharedStrings.xml><?xml version="1.0" encoding="utf-8"?>
<sst xmlns="http://schemas.openxmlformats.org/spreadsheetml/2006/main" count="232" uniqueCount="148">
  <si>
    <t>Propuesta de dotación — Infraestructura de innovación y tecnología</t>
  </si>
  <si>
    <t>EICIT · Acompañamiento a la ENSMA · Documento de trabajo · Autor: EICIT IA</t>
  </si>
  <si>
    <t>Este libro reúne DOS componentes distintos, en hojas separadas:</t>
  </si>
  <si>
    <t xml:space="preserve">   • ENSMA_Innovación: dotación para soportar la propuesta de innovación en todos los grados de la ENSMA.</t>
  </si>
  <si>
    <t xml:space="preserve">   • EICIT_TecnicoLaboral: elementos de laboratorio y práctica para el programa Técnico Laboral de EICIT, en las salas que la ENSMA pondrá a disposición.</t>
  </si>
  <si>
    <t>Cómo usarlo:</t>
  </si>
  <si>
    <t xml:space="preserve">   1. La columna «Costo unit. estimado» está en amarillo: diligénciela con cotizaciones locales. El subtotal se calcula solo.</t>
  </si>
  <si>
    <t xml:space="preserve">   3. La hoja «Resumen» totaliza por componente, por prioridad y por fase: el total de «Indispensable» es el presupuesto mínimo viable.</t>
  </si>
  <si>
    <t>Criterio de economía aplicado:</t>
  </si>
  <si>
    <t xml:space="preserve">   • La ENSMA ya tiene base sólida (67 PC en 2 salas, fibra óptica, TV/videobeam en aulas). No se propone comprar PC genéricos: se aprovecha lo existente.</t>
  </si>
  <si>
    <t xml:space="preserve">   • El software de programación y analítica es, en su mayoría, libre y gratuito (costo 0): Scratch, Python, Jupyter, entre otros.</t>
  </si>
  <si>
    <t xml:space="preserve">   • En preescolar y primaria, gran parte del pensamiento computacional es «desenchufado» (muy bajo costo).</t>
  </si>
  <si>
    <t xml:space="preserve">   • El programa Técnico Laboral privilegia recursos de bajo costo y DUA; la dotación se limita a lo indispensable de las prácticas.</t>
  </si>
  <si>
    <t>Encuadre: es una propuesta técnica de EICIT. Las cantidades y especificaciones se confirman contra la malla (Fase 4); la decisión y adquisición son de la ENSMA.</t>
  </si>
  <si>
    <t>Leyenda de prioridad:</t>
  </si>
  <si>
    <t>Celda amarilla = diligenciar (costo).</t>
  </si>
  <si>
    <t>Indispensable</t>
  </si>
  <si>
    <t>Recomendado</t>
  </si>
  <si>
    <t>Opcional</t>
  </si>
  <si>
    <t>Base existente (inventario): 2 salas con 67 PC · fibra óptica · TV y videobeam en aulas · sin software educativo ni equipamiento de innovación.</t>
  </si>
  <si>
    <t>Ciclo / Ambiente</t>
  </si>
  <si>
    <t>Ítem o kit</t>
  </si>
  <si>
    <t>Uso pedagógico / capacidad que soporta</t>
  </si>
  <si>
    <t>¿Ya lo tiene la ENSMA?</t>
  </si>
  <si>
    <t>Cant. sugerida</t>
  </si>
  <si>
    <t>Unidad</t>
  </si>
  <si>
    <t>Prioridad</t>
  </si>
  <si>
    <t>Fase</t>
  </si>
  <si>
    <t>Costo unit. estimado (COP)</t>
  </si>
  <si>
    <t>Subtotal (COP)</t>
  </si>
  <si>
    <t>Observación</t>
  </si>
  <si>
    <t>Transversal · condición habilitante (aprovecha lo existente)</t>
  </si>
  <si>
    <t>Transversal</t>
  </si>
  <si>
    <t>Software educativo y de programación (Scratch, Python, Jupyter, ofimática libre)</t>
  </si>
  <si>
    <t>Instala capacidades de programación y datos en los 67 PC ya existentes</t>
  </si>
  <si>
    <t>No (equipos sin software educativo)</t>
  </si>
  <si>
    <t>licencia (equipo)</t>
  </si>
  <si>
    <t>Puntos de red / cobertura WiFi a aulas de innovación</t>
  </si>
  <si>
    <t>Lleva la conectividad (ya hay fibra) a los espacios de práctica</t>
  </si>
  <si>
    <t>Parcial (hay fibra, verificar cobertura)</t>
  </si>
  <si>
    <t>punto/AP</t>
  </si>
  <si>
    <t>Almacenamiento y respaldo (NAS o disco de red)</t>
  </si>
  <si>
    <t>Guarda proyectos, datasets y evidencias de forma segura</t>
  </si>
  <si>
    <t>No</t>
  </si>
  <si>
    <t>unidad</t>
  </si>
  <si>
    <t>Preescolar · pensamiento computacional desenchufado</t>
  </si>
  <si>
    <t>Preescolar</t>
  </si>
  <si>
    <t>Robots de suelo programables (tipo Bee-Bot/Blue-Bot) + tapetes</t>
  </si>
  <si>
    <t>Secuencias, direcciones y lógica sin pantalla; juego y exploración</t>
  </si>
  <si>
    <t>kit</t>
  </si>
  <si>
    <t>Material manipulativo de patrones, secuencias y clasificación</t>
  </si>
  <si>
    <t>Germen de la noción de dato: contar, ordenar, agrupar</t>
  </si>
  <si>
    <t>set</t>
  </si>
  <si>
    <t>Primaria · programación por bloques, datos y ciudadanía digital</t>
  </si>
  <si>
    <t>Primaria</t>
  </si>
  <si>
    <t>Scratch / programación por bloques (en PC existentes)</t>
  </si>
  <si>
    <t>Pensamiento algorítmico inicial; creación digital</t>
  </si>
  <si>
    <t>No (falta software)</t>
  </si>
  <si>
    <t>—</t>
  </si>
  <si>
    <t>Kits de robótica educativa por bloques (tipo mBot/WeDo/Makey Makey)</t>
  </si>
  <si>
    <t>Programación tangible y proyectos STEAM</t>
  </si>
  <si>
    <t>Set de introducción a datos (tarjetas, materiales de gráficos)</t>
  </si>
  <si>
    <t>Leer e interpretar datos; primeras preguntas</t>
  </si>
  <si>
    <t>Secundaria · de bloques a texto, IA como objeto de estudio, datos con propósito</t>
  </si>
  <si>
    <t>Secundaria</t>
  </si>
  <si>
    <t>Microcontroladores + sensores (tipo micro:bit/Arduino), set de aula</t>
  </si>
  <si>
    <t>Programación textual inicial, datos con sensores, proyectos</t>
  </si>
  <si>
    <t>Python / Jupyter (en PC existentes)</t>
  </si>
  <si>
    <t>Transición a programación textual y análisis de datos</t>
  </si>
  <si>
    <t>Kit de robótica intermedia (proyectos)</t>
  </si>
  <si>
    <t>Integración de sensores, actuadores y programación</t>
  </si>
  <si>
    <t>Media técnica · Programación para Analítica de Datos</t>
  </si>
  <si>
    <t>Media técnica</t>
  </si>
  <si>
    <t>Actualización de una sala para analítica (RAM/SSD) o subconjunto de equipos</t>
  </si>
  <si>
    <t>Procesamiento para análisis de datos y entornos de práctica</t>
  </si>
  <si>
    <t>Parcial (hay PC básicos)</t>
  </si>
  <si>
    <t>equipo</t>
  </si>
  <si>
    <t>Software de analítica (Python, Pandas, Jupyter, R, BI libre)</t>
  </si>
  <si>
    <t>Herramientas profesionales de análisis de datos</t>
  </si>
  <si>
    <t>Conectividad reforzada en la sala de la media técnica</t>
  </si>
  <si>
    <t>Trabajo con datos en la nube y colaboración</t>
  </si>
  <si>
    <t>Parcial</t>
  </si>
  <si>
    <t>1</t>
  </si>
  <si>
    <t>sala</t>
  </si>
  <si>
    <t>EICIT ya dispone de sala con 26 PC + tablero digital interactivo (cubre el laboratorio de informática/sandbox, la mediación tecnológica y la IA generativa). Las salas de la ENSMA se habilitan como Laboratorio de mediación y bio-regulación y Aula de simulación de inclusión (DUA), que es lo que hoy no se tiene.</t>
  </si>
  <si>
    <t>Ambiente / escenario</t>
  </si>
  <si>
    <t>Asignatura(s) que soporta</t>
  </si>
  <si>
    <t>Ítem</t>
  </si>
  <si>
    <t>Uso / competencia</t>
  </si>
  <si>
    <t>¿EICIT ya lo tiene?</t>
  </si>
  <si>
    <t>Laboratorio de mediación y bio-regulación</t>
  </si>
  <si>
    <t>Bio-regulación</t>
  </si>
  <si>
    <t>Agente de primer contacto y nutrición; Primeros auxilios avanzados</t>
  </si>
  <si>
    <t>Maniquíes de RCP (adulto, niño y bebé)</t>
  </si>
  <si>
    <t>Práctica de primer contacto, primeros auxilios y cuidado</t>
  </si>
  <si>
    <t>Agente de primer contacto; Primeros auxilios</t>
  </si>
  <si>
    <t>Botiquín dotado + camilla e inmovilizadores básicos</t>
  </si>
  <si>
    <t>Simulación de atención y traslado seguro</t>
  </si>
  <si>
    <t>Regulación emocional y sensorial del entorno</t>
  </si>
  <si>
    <t>Kit de recursos sensoriales y de regulación (texturas, peso, luces, auriculares supresores)</t>
  </si>
  <si>
    <t>Estrategias de regulación sensorial en población atendida</t>
  </si>
  <si>
    <t>Regulación emocional y sensorial</t>
  </si>
  <si>
    <t>Mobiliario ergonómico adaptable (mesas ajustables, colchonetas, cojines)</t>
  </si>
  <si>
    <t>Ambientes seguros y accesibles</t>
  </si>
  <si>
    <t>conjunto</t>
  </si>
  <si>
    <t>Fundamentos de neuroeducación; Práctica</t>
  </si>
  <si>
    <t>Simulador de cuidado para el ciclo vital (bebé/persona mayor)</t>
  </si>
  <si>
    <t>Práctica de cuidado calificado</t>
  </si>
  <si>
    <t>Aula de simulación de inclusión y mediación (DUA)</t>
  </si>
  <si>
    <t>Simulación DUA</t>
  </si>
  <si>
    <t>Competencias comunicativas y recursos didácticos; Práctica I</t>
  </si>
  <si>
    <t>Kit de Comunicación Aumentativa y Alternativa (CAA): tableros, pictogramas/PECS</t>
  </si>
  <si>
    <t>Mediación comunicativa inclusiva de bajo costo</t>
  </si>
  <si>
    <t>Laboratorio STEAM y gestión pedagógica con IAG; Práctica</t>
  </si>
  <si>
    <t>Tecnología de accesibilidad/adaptada (mouse y teclado adaptados, pulsadores/switches)</t>
  </si>
  <si>
    <t>Ajustes razonables y acceso al computador</t>
  </si>
  <si>
    <t>Estrategias de aprendizaje; recursos didácticos</t>
  </si>
  <si>
    <t>Material didáctico DUA y manipulativo multisensorial (bajo costo)</t>
  </si>
  <si>
    <t>Diseño Universal para el Aprendizaje aplicado</t>
  </si>
  <si>
    <t>Laboratorio STEAM y gestión con IAG</t>
  </si>
  <si>
    <t>Tablets con apps de accesibilidad y CAA</t>
  </si>
  <si>
    <t>Mediación tecnológica portátil</t>
  </si>
  <si>
    <t>Laboratorio STEAM; Fundamentos informáticos 4RI</t>
  </si>
  <si>
    <t>Herramientas de IA generativa (versiones educativas de LLMs)</t>
  </si>
  <si>
    <t>Prompting asistencial, recursos didácticos, informes PIAR</t>
  </si>
  <si>
    <t>EICIT ya (sala de PC)</t>
  </si>
  <si>
    <t>acceso</t>
  </si>
  <si>
    <t>Mobiliario flexible y almacenamiento de materiales</t>
  </si>
  <si>
    <t>Organización del ambiente de práctica</t>
  </si>
  <si>
    <t>Resumen presupuestal</t>
  </si>
  <si>
    <t>Los totales se completan al diligenciar los costos unitarios. El total «Indispensable» es el presupuesto mínimo viable.</t>
  </si>
  <si>
    <t>Componente</t>
  </si>
  <si>
    <t>Ítems</t>
  </si>
  <si>
    <t>Total Indispensable (COP)</t>
  </si>
  <si>
    <t>Total general (COP)</t>
  </si>
  <si>
    <t>ENSMA — Innovación</t>
  </si>
  <si>
    <t>EICIT — Técnico Laboral</t>
  </si>
  <si>
    <t>TOTAL</t>
  </si>
  <si>
    <t>ENSMA — por fase de compra</t>
  </si>
  <si>
    <t>Fase 1</t>
  </si>
  <si>
    <t>Fase 2</t>
  </si>
  <si>
    <t>Fase 3</t>
  </si>
  <si>
    <t>OBSERVACIÓN</t>
  </si>
  <si>
    <t>EICIT tiene 1 camilla y un botiquín</t>
  </si>
  <si>
    <t xml:space="preserve">   2. Us´ «Prioridad» y «Fase» para comprar por etapas según el presupuesto. Empezaríamos por lo Indispensable de la Fase 1.</t>
  </si>
  <si>
    <t xml:space="preserve">   4. Las cantidades son sugeridas y económicas; habría que ajustarla más adelante a los grupos reales que se conformen</t>
  </si>
  <si>
    <t>Componente 1· Técnico Laboral en Asistencia de Enseñanza Especial y Mediación Tecnológica (EICIT) — salas cedidas por la ENSMA</t>
  </si>
  <si>
    <t>Componente 2 · Dotación de innovación y tecnología para la ENSMA (todos los grados)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</si>
</sst>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5"/>
      <color rgb="FF1F4E79"/>
      <name val="Calibri"/>
      <family val="2"/>
    </font>
    <font>
      <sz val="10"/>
      <color rgb="FF595959"/>
      <name val="Calibri"/>
      <family val="2"/>
    </font>
    <font>
      <b/>
      <sz val="10.5"/>
      <color rgb="FF1F4E79"/>
      <name val="Calibri"/>
      <family val="2"/>
    </font>
    <font>
      <sz val="10.5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7A5C00"/>
      <name val="Calibri"/>
      <family val="2"/>
    </font>
    <font>
      <sz val="10"/>
      <color rgb="FF000000"/>
      <name val="Calibri"/>
      <family val="2"/>
    </font>
    <font>
      <b/>
      <sz val="13"/>
      <color rgb="FF1F4E79"/>
      <name val="Calibri"/>
      <family val="2"/>
    </font>
    <font>
      <sz val="9.5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color rgb="FF1F4E79"/>
      <name val="Calibri"/>
      <family val="2"/>
    </font>
    <font>
      <b/>
      <sz val="12.5"/>
      <color rgb="FF1F4E79"/>
      <name val="Calibri"/>
      <family val="2"/>
    </font>
    <font>
      <b/>
      <sz val="11"/>
      <color rgb="FF2E75B6"/>
      <name val="Calibri"/>
      <family val="2"/>
    </font>
    <font>
      <b/>
      <sz val="10.5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FF6D5"/>
      </patternFill>
    </fill>
    <fill>
      <patternFill patternType="solid">
        <fgColor rgb="FFDDEBF7"/>
        <bgColor rgb="FFD5E8F0"/>
      </patternFill>
    </fill>
    <fill>
      <patternFill patternType="solid">
        <fgColor rgb="FFE7E6E6"/>
        <bgColor rgb="FFDDEBF7"/>
      </patternFill>
    </fill>
    <fill>
      <patternFill patternType="solid">
        <fgColor rgb="FF1F4E79"/>
        <bgColor rgb="FF003366"/>
      </patternFill>
    </fill>
    <fill>
      <patternFill patternType="solid">
        <fgColor rgb="FFD5E8F0"/>
        <bgColor rgb="FFDDEBF7"/>
      </patternFill>
    </fill>
    <fill>
      <patternFill patternType="solid">
        <fgColor rgb="FFFFF6D5"/>
        <bgColor rgb="FFFFF2CC"/>
      </patternFill>
    </fill>
    <fill>
      <patternFill patternType="solid">
        <fgColor rgb="FF2E75B6"/>
        <bgColor rgb="FF0066CC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2" fillId="0" borderId="0" xfId="0" applyFont="1"/>
    <xf numFmtId="0" fontId="0" fillId="0" borderId="0" xfId="0"/>
    <xf numFmtId="0" fontId="11" fillId="6" borderId="1" xfId="0" applyFont="1" applyFill="1" applyBorder="1" applyAlignment="1">
      <alignment horizontal="left" vertical="center" wrapText="1"/>
    </xf>
    <xf numFmtId="0" fontId="9" fillId="0" borderId="0" xfId="0" applyFont="1"/>
    <xf numFmtId="0" fontId="8" fillId="0" borderId="0" xfId="0" applyFont="1"/>
    <xf numFmtId="0" fontId="7" fillId="4" borderId="1" xfId="0" applyFont="1" applyFill="1" applyBorder="1"/>
    <xf numFmtId="0" fontId="7" fillId="3" borderId="1" xfId="0" applyFont="1" applyFill="1" applyBorder="1"/>
    <xf numFmtId="0" fontId="7" fillId="2" borderId="1" xfId="0" applyFont="1" applyFill="1" applyBorder="1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10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3" fontId="7" fillId="7" borderId="1" xfId="0" applyNumberFormat="1" applyFont="1" applyFill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3" fontId="11" fillId="2" borderId="1" xfId="0" applyNumberFormat="1" applyFont="1" applyFill="1" applyBorder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/>
    <xf numFmtId="0" fontId="0" fillId="0" borderId="1" xfId="0" applyBorder="1"/>
    <xf numFmtId="0" fontId="13" fillId="0" borderId="0" xfId="0" applyFont="1"/>
    <xf numFmtId="0" fontId="14" fillId="8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3" fontId="4" fillId="0" borderId="1" xfId="0" applyNumberFormat="1" applyFont="1" applyBorder="1"/>
    <xf numFmtId="0" fontId="7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6">
    <dxf>
      <fill>
        <patternFill>
          <bgColor rgb="FFE7E6E6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E7E6E6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C00"/>
      <rgbColor rgb="FF800080"/>
      <rgbColor rgb="FF008080"/>
      <rgbColor rgb="FFC0C0C0"/>
      <rgbColor rgb="FF808080"/>
      <rgbColor rgb="FF9999FF"/>
      <rgbColor rgb="FF993366"/>
      <rgbColor rgb="FFFFF6D5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5E8F0"/>
      <rgbColor rgb="FFE7E6E6"/>
      <rgbColor rgb="FFFFF2CC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5"/>
  <sheetViews>
    <sheetView showGridLines="0" zoomScaleNormal="100" workbookViewId="0">
      <selection activeCell="A13" sqref="A13:I13"/>
    </sheetView>
  </sheetViews>
  <sheetFormatPr baseColWidth="10" defaultColWidth="8.6640625" defaultRowHeight="15" x14ac:dyDescent="0.2"/>
  <cols>
    <col min="1" max="1" width="20" customWidth="1"/>
    <col min="2" max="9" width="12" customWidth="1"/>
  </cols>
  <sheetData>
    <row r="1" spans="1:9" ht="20" x14ac:dyDescent="0.25">
      <c r="A1" s="11" t="s">
        <v>0</v>
      </c>
    </row>
    <row r="2" spans="1:9" x14ac:dyDescent="0.2">
      <c r="A2" s="12" t="s">
        <v>1</v>
      </c>
    </row>
    <row r="4" spans="1:9" ht="15" customHeight="1" x14ac:dyDescent="0.2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pans="1:9" ht="15" customHeight="1" x14ac:dyDescent="0.2">
      <c r="A5" s="9" t="s">
        <v>3</v>
      </c>
      <c r="B5" s="9"/>
      <c r="C5" s="9"/>
      <c r="D5" s="9"/>
      <c r="E5" s="9"/>
      <c r="F5" s="9"/>
      <c r="G5" s="9"/>
      <c r="H5" s="9"/>
      <c r="I5" s="9"/>
    </row>
    <row r="6" spans="1:9" ht="26.75" customHeight="1" x14ac:dyDescent="0.2">
      <c r="A6" s="9" t="s">
        <v>4</v>
      </c>
      <c r="B6" s="9"/>
      <c r="C6" s="9"/>
      <c r="D6" s="9"/>
      <c r="E6" s="9"/>
      <c r="F6" s="9"/>
      <c r="G6" s="9"/>
      <c r="H6" s="9"/>
      <c r="I6" s="9"/>
    </row>
    <row r="7" spans="1:9" x14ac:dyDescent="0.2">
      <c r="A7" s="9"/>
      <c r="B7" s="9"/>
      <c r="C7" s="9"/>
      <c r="D7" s="9"/>
      <c r="E7" s="9"/>
      <c r="F7" s="9"/>
      <c r="G7" s="9"/>
      <c r="H7" s="9"/>
      <c r="I7" s="9"/>
    </row>
    <row r="8" spans="1:9" ht="15" customHeight="1" x14ac:dyDescent="0.2">
      <c r="A8" s="10" t="s">
        <v>5</v>
      </c>
      <c r="B8" s="10"/>
      <c r="C8" s="10"/>
      <c r="D8" s="10"/>
      <c r="E8" s="10"/>
      <c r="F8" s="10"/>
      <c r="G8" s="10"/>
      <c r="H8" s="10"/>
      <c r="I8" s="10"/>
    </row>
    <row r="9" spans="1:9" ht="15" customHeight="1" x14ac:dyDescent="0.2">
      <c r="A9" s="9" t="s">
        <v>6</v>
      </c>
      <c r="B9" s="9"/>
      <c r="C9" s="9"/>
      <c r="D9" s="9"/>
      <c r="E9" s="9"/>
      <c r="F9" s="9"/>
      <c r="G9" s="9"/>
      <c r="H9" s="9"/>
      <c r="I9" s="9"/>
    </row>
    <row r="10" spans="1:9" ht="15" customHeight="1" x14ac:dyDescent="0.2">
      <c r="A10" s="9" t="s">
        <v>144</v>
      </c>
      <c r="B10" s="9"/>
      <c r="C10" s="9"/>
      <c r="D10" s="9"/>
      <c r="E10" s="9"/>
      <c r="F10" s="9"/>
      <c r="G10" s="9"/>
      <c r="H10" s="9"/>
      <c r="I10" s="9"/>
    </row>
    <row r="11" spans="1:9" ht="15" customHeight="1" x14ac:dyDescent="0.2">
      <c r="A11" s="9" t="s">
        <v>7</v>
      </c>
      <c r="B11" s="9"/>
      <c r="C11" s="9"/>
      <c r="D11" s="9"/>
      <c r="E11" s="9"/>
      <c r="F11" s="9"/>
      <c r="G11" s="9"/>
      <c r="H11" s="9"/>
      <c r="I11" s="9"/>
    </row>
    <row r="12" spans="1:9" ht="15" customHeight="1" x14ac:dyDescent="0.2">
      <c r="A12" s="9" t="s">
        <v>145</v>
      </c>
      <c r="B12" s="9"/>
      <c r="C12" s="9"/>
      <c r="D12" s="9"/>
      <c r="E12" s="9"/>
      <c r="F12" s="9"/>
      <c r="G12" s="9"/>
      <c r="H12" s="9"/>
      <c r="I12" s="9"/>
    </row>
    <row r="13" spans="1:9" x14ac:dyDescent="0.2">
      <c r="A13" s="9"/>
      <c r="B13" s="9"/>
      <c r="C13" s="9"/>
      <c r="D13" s="9"/>
      <c r="E13" s="9"/>
      <c r="F13" s="9"/>
      <c r="G13" s="9"/>
      <c r="H13" s="9"/>
      <c r="I13" s="9"/>
    </row>
    <row r="14" spans="1:9" ht="15" customHeight="1" x14ac:dyDescent="0.2">
      <c r="A14" s="10" t="s">
        <v>8</v>
      </c>
      <c r="B14" s="10"/>
      <c r="C14" s="10"/>
      <c r="D14" s="10"/>
      <c r="E14" s="10"/>
      <c r="F14" s="10"/>
      <c r="G14" s="10"/>
      <c r="H14" s="10"/>
      <c r="I14" s="10"/>
    </row>
    <row r="15" spans="1:9" x14ac:dyDescent="0.2">
      <c r="A15" s="9" t="s">
        <v>9</v>
      </c>
      <c r="B15" s="9"/>
      <c r="C15" s="9"/>
      <c r="D15" s="9"/>
      <c r="E15" s="9"/>
      <c r="F15" s="9"/>
      <c r="G15" s="9"/>
      <c r="H15" s="9"/>
      <c r="I15" s="9"/>
    </row>
    <row r="16" spans="1:9" ht="15" customHeight="1" x14ac:dyDescent="0.2">
      <c r="A16" s="9" t="s">
        <v>10</v>
      </c>
      <c r="B16" s="9"/>
      <c r="C16" s="9"/>
      <c r="D16" s="9"/>
      <c r="E16" s="9"/>
      <c r="F16" s="9"/>
      <c r="G16" s="9"/>
      <c r="H16" s="9"/>
      <c r="I16" s="9"/>
    </row>
    <row r="17" spans="1:9" ht="15" customHeight="1" x14ac:dyDescent="0.2">
      <c r="A17" s="9" t="s">
        <v>11</v>
      </c>
      <c r="B17" s="9"/>
      <c r="C17" s="9"/>
      <c r="D17" s="9"/>
      <c r="E17" s="9"/>
      <c r="F17" s="9"/>
      <c r="G17" s="9"/>
      <c r="H17" s="9"/>
      <c r="I17" s="9"/>
    </row>
    <row r="18" spans="1:9" ht="15" customHeight="1" x14ac:dyDescent="0.2">
      <c r="A18" s="9" t="s">
        <v>12</v>
      </c>
      <c r="B18" s="9"/>
      <c r="C18" s="9"/>
      <c r="D18" s="9"/>
      <c r="E18" s="9"/>
      <c r="F18" s="9"/>
      <c r="G18" s="9"/>
      <c r="H18" s="9"/>
      <c r="I18" s="9"/>
    </row>
    <row r="19" spans="1:9" x14ac:dyDescent="0.2">
      <c r="A19" s="9"/>
      <c r="B19" s="9"/>
      <c r="C19" s="9"/>
      <c r="D19" s="9"/>
      <c r="E19" s="9"/>
      <c r="F19" s="9"/>
      <c r="G19" s="9"/>
      <c r="H19" s="9"/>
      <c r="I19" s="9"/>
    </row>
    <row r="20" spans="1:9" ht="26.75" customHeight="1" x14ac:dyDescent="0.2">
      <c r="A20" s="9" t="s">
        <v>13</v>
      </c>
      <c r="B20" s="9"/>
      <c r="C20" s="9"/>
      <c r="D20" s="9"/>
      <c r="E20" s="9"/>
      <c r="F20" s="9"/>
      <c r="G20" s="9"/>
      <c r="H20" s="9"/>
      <c r="I20" s="9"/>
    </row>
    <row r="22" spans="1:9" x14ac:dyDescent="0.2">
      <c r="A22" s="13" t="s">
        <v>14</v>
      </c>
      <c r="D22" s="14" t="s">
        <v>15</v>
      </c>
    </row>
    <row r="23" spans="1:9" x14ac:dyDescent="0.2">
      <c r="A23" s="8" t="s">
        <v>16</v>
      </c>
      <c r="B23" s="8"/>
    </row>
    <row r="24" spans="1:9" x14ac:dyDescent="0.2">
      <c r="A24" s="7" t="s">
        <v>17</v>
      </c>
      <c r="B24" s="7"/>
    </row>
    <row r="25" spans="1:9" x14ac:dyDescent="0.2">
      <c r="A25" s="6" t="s">
        <v>18</v>
      </c>
      <c r="B25" s="6"/>
    </row>
  </sheetData>
  <mergeCells count="20">
    <mergeCell ref="A19:I19"/>
    <mergeCell ref="A20:I20"/>
    <mergeCell ref="A23:B23"/>
    <mergeCell ref="A24:B24"/>
    <mergeCell ref="A25:B25"/>
    <mergeCell ref="A14:I14"/>
    <mergeCell ref="A15:I15"/>
    <mergeCell ref="A16:I16"/>
    <mergeCell ref="A17:I17"/>
    <mergeCell ref="A18:I18"/>
    <mergeCell ref="A9:I9"/>
    <mergeCell ref="A10:I10"/>
    <mergeCell ref="A11:I11"/>
    <mergeCell ref="A12:I12"/>
    <mergeCell ref="A13:I13"/>
    <mergeCell ref="A4:I4"/>
    <mergeCell ref="A5:I5"/>
    <mergeCell ref="A6:I6"/>
    <mergeCell ref="A7:I7"/>
    <mergeCell ref="A8:I8"/>
  </mergeCells>
  <pageMargins left="0.3" right="0.3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18"/>
  <sheetViews>
    <sheetView showGridLines="0" zoomScaleNormal="100" workbookViewId="0">
      <pane ySplit="3" topLeftCell="A4" activePane="bottomLeft" state="frozen"/>
      <selection pane="bottomLeft" activeCell="A2" sqref="A2:K2"/>
    </sheetView>
  </sheetViews>
  <sheetFormatPr baseColWidth="10" defaultColWidth="8.6640625" defaultRowHeight="15" x14ac:dyDescent="0.2"/>
  <cols>
    <col min="1" max="1" width="12" bestFit="1" customWidth="1"/>
    <col min="2" max="2" width="36.1640625" customWidth="1"/>
    <col min="3" max="3" width="39.6640625" customWidth="1"/>
    <col min="4" max="4" width="32" customWidth="1"/>
    <col min="5" max="5" width="25.1640625" customWidth="1"/>
    <col min="6" max="6" width="9" customWidth="1"/>
    <col min="7" max="7" width="8" customWidth="1"/>
    <col min="8" max="8" width="13" customWidth="1"/>
    <col min="9" max="9" width="6" customWidth="1"/>
    <col min="10" max="11" width="14" customWidth="1"/>
    <col min="12" max="12" width="26" customWidth="1"/>
  </cols>
  <sheetData>
    <row r="1" spans="1:12" ht="17" x14ac:dyDescent="0.2">
      <c r="A1" s="1" t="s">
        <v>146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x14ac:dyDescent="0.2">
      <c r="A2" s="4" t="s">
        <v>84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2" ht="32" x14ac:dyDescent="0.2">
      <c r="A3" s="15" t="s">
        <v>85</v>
      </c>
      <c r="B3" s="15" t="s">
        <v>86</v>
      </c>
      <c r="C3" s="15" t="s">
        <v>87</v>
      </c>
      <c r="D3" s="15" t="s">
        <v>88</v>
      </c>
      <c r="E3" s="15" t="s">
        <v>89</v>
      </c>
      <c r="F3" s="15" t="s">
        <v>24</v>
      </c>
      <c r="G3" s="15" t="s">
        <v>25</v>
      </c>
      <c r="H3" s="15" t="s">
        <v>26</v>
      </c>
      <c r="I3" s="15" t="s">
        <v>27</v>
      </c>
      <c r="J3" s="15" t="s">
        <v>28</v>
      </c>
      <c r="K3" s="15" t="s">
        <v>29</v>
      </c>
      <c r="L3" s="15" t="s">
        <v>142</v>
      </c>
    </row>
    <row r="4" spans="1:12" x14ac:dyDescent="0.2">
      <c r="A4" s="3" t="s">
        <v>90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2" ht="30" x14ac:dyDescent="0.2">
      <c r="A5" s="16" t="s">
        <v>91</v>
      </c>
      <c r="B5" s="16" t="s">
        <v>92</v>
      </c>
      <c r="C5" s="16" t="s">
        <v>93</v>
      </c>
      <c r="D5" s="16" t="s">
        <v>94</v>
      </c>
      <c r="E5" s="16" t="s">
        <v>43</v>
      </c>
      <c r="F5" s="17">
        <v>3</v>
      </c>
      <c r="G5" s="16" t="s">
        <v>44</v>
      </c>
      <c r="H5" s="16" t="s">
        <v>16</v>
      </c>
      <c r="I5" s="16">
        <v>1</v>
      </c>
      <c r="J5" s="18"/>
      <c r="K5" s="19" t="str">
        <f>IF(OR(F5="",J5=""),"",F5*J5)</f>
        <v/>
      </c>
    </row>
    <row r="6" spans="1:12" x14ac:dyDescent="0.2">
      <c r="A6" s="16" t="s">
        <v>91</v>
      </c>
      <c r="B6" s="16" t="s">
        <v>95</v>
      </c>
      <c r="C6" s="16" t="s">
        <v>96</v>
      </c>
      <c r="D6" s="16" t="s">
        <v>97</v>
      </c>
      <c r="E6" s="16" t="s">
        <v>143</v>
      </c>
      <c r="F6" s="17">
        <v>2</v>
      </c>
      <c r="G6" s="16" t="s">
        <v>49</v>
      </c>
      <c r="H6" s="16" t="s">
        <v>16</v>
      </c>
      <c r="I6" s="16">
        <v>1</v>
      </c>
      <c r="J6" s="18"/>
      <c r="K6" s="19" t="str">
        <f>IF(OR(F6="",J6=""),"",F6*J6)</f>
        <v/>
      </c>
    </row>
    <row r="7" spans="1:12" ht="30" x14ac:dyDescent="0.2">
      <c r="A7" s="16" t="s">
        <v>91</v>
      </c>
      <c r="B7" s="16" t="s">
        <v>98</v>
      </c>
      <c r="C7" s="16" t="s">
        <v>99</v>
      </c>
      <c r="D7" s="16" t="s">
        <v>100</v>
      </c>
      <c r="E7" s="16" t="s">
        <v>43</v>
      </c>
      <c r="F7" s="17">
        <v>2</v>
      </c>
      <c r="G7" s="16" t="s">
        <v>52</v>
      </c>
      <c r="H7" s="16" t="s">
        <v>16</v>
      </c>
      <c r="I7" s="16">
        <v>2</v>
      </c>
      <c r="J7" s="18"/>
      <c r="K7" s="19" t="str">
        <f>IF(OR(F7="",J7=""),"",F7*J7)</f>
        <v/>
      </c>
    </row>
    <row r="8" spans="1:12" ht="30" x14ac:dyDescent="0.2">
      <c r="A8" s="16" t="s">
        <v>91</v>
      </c>
      <c r="B8" s="16" t="s">
        <v>101</v>
      </c>
      <c r="C8" s="16" t="s">
        <v>102</v>
      </c>
      <c r="D8" s="16" t="s">
        <v>103</v>
      </c>
      <c r="E8" s="16" t="s">
        <v>43</v>
      </c>
      <c r="F8" s="17">
        <v>1</v>
      </c>
      <c r="G8" s="16" t="s">
        <v>104</v>
      </c>
      <c r="H8" s="16" t="s">
        <v>17</v>
      </c>
      <c r="I8" s="16">
        <v>2</v>
      </c>
      <c r="J8" s="18"/>
      <c r="K8" s="19" t="str">
        <f>IF(OR(F8="",J8=""),"",F8*J8)</f>
        <v/>
      </c>
    </row>
    <row r="9" spans="1:12" ht="30" x14ac:dyDescent="0.2">
      <c r="A9" s="16" t="s">
        <v>91</v>
      </c>
      <c r="B9" s="16" t="s">
        <v>105</v>
      </c>
      <c r="C9" s="16" t="s">
        <v>106</v>
      </c>
      <c r="D9" s="16" t="s">
        <v>107</v>
      </c>
      <c r="E9" s="16" t="s">
        <v>43</v>
      </c>
      <c r="F9" s="17">
        <v>2</v>
      </c>
      <c r="G9" s="16" t="s">
        <v>44</v>
      </c>
      <c r="H9" s="16" t="s">
        <v>17</v>
      </c>
      <c r="I9" s="16">
        <v>3</v>
      </c>
      <c r="J9" s="18"/>
      <c r="K9" s="19" t="str">
        <f>IF(OR(F9="",J9=""),"",F9*J9)</f>
        <v/>
      </c>
    </row>
    <row r="10" spans="1:12" x14ac:dyDescent="0.2">
      <c r="A10" s="3" t="s">
        <v>108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2" ht="30" x14ac:dyDescent="0.2">
      <c r="A11" s="16" t="s">
        <v>109</v>
      </c>
      <c r="B11" s="16" t="s">
        <v>110</v>
      </c>
      <c r="C11" s="16" t="s">
        <v>111</v>
      </c>
      <c r="D11" s="16" t="s">
        <v>112</v>
      </c>
      <c r="E11" s="16" t="s">
        <v>43</v>
      </c>
      <c r="F11" s="17">
        <v>3</v>
      </c>
      <c r="G11" s="16" t="s">
        <v>49</v>
      </c>
      <c r="H11" s="16" t="s">
        <v>16</v>
      </c>
      <c r="I11" s="16">
        <v>1</v>
      </c>
      <c r="J11" s="18"/>
      <c r="K11" s="19" t="str">
        <f t="shared" ref="K11:K16" si="0">IF(OR(F11="",J11=""),"",F11*J11)</f>
        <v/>
      </c>
    </row>
    <row r="12" spans="1:12" ht="30" x14ac:dyDescent="0.2">
      <c r="A12" s="16" t="s">
        <v>109</v>
      </c>
      <c r="B12" s="16" t="s">
        <v>113</v>
      </c>
      <c r="C12" s="16" t="s">
        <v>114</v>
      </c>
      <c r="D12" s="16" t="s">
        <v>115</v>
      </c>
      <c r="E12" s="16" t="s">
        <v>43</v>
      </c>
      <c r="F12" s="17">
        <v>6</v>
      </c>
      <c r="G12" s="16" t="s">
        <v>44</v>
      </c>
      <c r="H12" s="16" t="s">
        <v>16</v>
      </c>
      <c r="I12" s="16">
        <v>1</v>
      </c>
      <c r="J12" s="18"/>
      <c r="K12" s="19" t="str">
        <f t="shared" si="0"/>
        <v/>
      </c>
    </row>
    <row r="13" spans="1:12" ht="30" x14ac:dyDescent="0.2">
      <c r="A13" s="16" t="s">
        <v>109</v>
      </c>
      <c r="B13" s="16" t="s">
        <v>116</v>
      </c>
      <c r="C13" s="16" t="s">
        <v>117</v>
      </c>
      <c r="D13" s="16" t="s">
        <v>118</v>
      </c>
      <c r="E13" s="16" t="s">
        <v>43</v>
      </c>
      <c r="F13" s="17">
        <v>1</v>
      </c>
      <c r="G13" s="16" t="s">
        <v>104</v>
      </c>
      <c r="H13" s="16" t="s">
        <v>16</v>
      </c>
      <c r="I13" s="16">
        <v>1</v>
      </c>
      <c r="J13" s="18"/>
      <c r="K13" s="19" t="str">
        <f t="shared" si="0"/>
        <v/>
      </c>
    </row>
    <row r="14" spans="1:12" x14ac:dyDescent="0.2">
      <c r="A14" s="16" t="s">
        <v>109</v>
      </c>
      <c r="B14" s="16" t="s">
        <v>119</v>
      </c>
      <c r="C14" s="16" t="s">
        <v>120</v>
      </c>
      <c r="D14" s="16" t="s">
        <v>121</v>
      </c>
      <c r="E14" s="16" t="s">
        <v>43</v>
      </c>
      <c r="F14" s="17">
        <v>25</v>
      </c>
      <c r="G14" s="16" t="s">
        <v>44</v>
      </c>
      <c r="H14" s="16" t="s">
        <v>16</v>
      </c>
      <c r="I14" s="16">
        <v>2</v>
      </c>
      <c r="J14" s="18"/>
      <c r="K14" s="19" t="str">
        <f t="shared" si="0"/>
        <v/>
      </c>
    </row>
    <row r="15" spans="1:12" ht="30" x14ac:dyDescent="0.2">
      <c r="A15" s="16" t="s">
        <v>109</v>
      </c>
      <c r="B15" s="16" t="s">
        <v>122</v>
      </c>
      <c r="C15" s="16" t="s">
        <v>123</v>
      </c>
      <c r="D15" s="16" t="s">
        <v>124</v>
      </c>
      <c r="E15" s="16" t="s">
        <v>125</v>
      </c>
      <c r="F15" s="30">
        <v>1</v>
      </c>
      <c r="G15" s="16" t="s">
        <v>126</v>
      </c>
      <c r="H15" s="16" t="s">
        <v>16</v>
      </c>
      <c r="I15" s="16">
        <v>1</v>
      </c>
      <c r="J15" s="18"/>
      <c r="K15" s="19" t="str">
        <f t="shared" si="0"/>
        <v/>
      </c>
    </row>
    <row r="16" spans="1:12" x14ac:dyDescent="0.2">
      <c r="A16" s="16" t="s">
        <v>109</v>
      </c>
      <c r="B16" s="16" t="s">
        <v>32</v>
      </c>
      <c r="C16" s="16" t="s">
        <v>127</v>
      </c>
      <c r="D16" s="16" t="s">
        <v>128</v>
      </c>
      <c r="E16" s="16" t="s">
        <v>43</v>
      </c>
      <c r="F16" s="17">
        <v>1</v>
      </c>
      <c r="G16" s="16" t="s">
        <v>104</v>
      </c>
      <c r="H16" s="16" t="s">
        <v>17</v>
      </c>
      <c r="I16" s="16">
        <v>2</v>
      </c>
      <c r="J16" s="18"/>
      <c r="K16" s="19" t="str">
        <f t="shared" si="0"/>
        <v/>
      </c>
    </row>
    <row r="18" spans="1:1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0">
        <f>SUM(K4:K16)</f>
        <v>0</v>
      </c>
    </row>
  </sheetData>
  <mergeCells count="5">
    <mergeCell ref="A1:K1"/>
    <mergeCell ref="A2:K2"/>
    <mergeCell ref="A4:K4"/>
    <mergeCell ref="A10:K10"/>
    <mergeCell ref="A18:J18"/>
  </mergeCells>
  <conditionalFormatting sqref="H4:H16">
    <cfRule type="cellIs" dxfId="5" priority="2" operator="equal">
      <formula>"Indispensable"</formula>
    </cfRule>
    <cfRule type="cellIs" dxfId="4" priority="3" operator="equal">
      <formula>"Recomendado"</formula>
    </cfRule>
    <cfRule type="cellIs" dxfId="3" priority="4" operator="equal">
      <formula>"Opcional"</formula>
    </cfRule>
  </conditionalFormatting>
  <dataValidations count="3">
    <dataValidation type="list" allowBlank="1" sqref="H4:H16" xr:uid="{00000000-0002-0000-0200-000000000000}">
      <formula1>"Indispensable,Recomendado,Opcional"</formula1>
      <formula2>0</formula2>
    </dataValidation>
    <dataValidation type="list" allowBlank="1" sqref="E4:E16" xr:uid="{00000000-0002-0000-0200-000001000000}">
      <formula1>"No,Parcial,Sí,EICIT ya (sala de PC)"</formula1>
      <formula2>0</formula2>
    </dataValidation>
    <dataValidation type="list" allowBlank="1" sqref="I4:I16" xr:uid="{00000000-0002-0000-0200-000002000000}">
      <formula1>"1,2,3"</formula1>
      <formula2>0</formula2>
    </dataValidation>
  </dataValidations>
  <pageMargins left="0.3" right="0.3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4"/>
  <sheetViews>
    <sheetView showGridLines="0" tabSelected="1" zoomScaleNormal="100" workbookViewId="0">
      <pane ySplit="3" topLeftCell="A9" activePane="bottomLeft" state="frozen"/>
      <selection pane="bottomLeft" activeCell="F17" sqref="F17"/>
    </sheetView>
  </sheetViews>
  <sheetFormatPr baseColWidth="10" defaultColWidth="8.6640625" defaultRowHeight="15" x14ac:dyDescent="0.2"/>
  <cols>
    <col min="1" max="1" width="16" customWidth="1"/>
    <col min="2" max="2" width="40.6640625" customWidth="1"/>
    <col min="3" max="3" width="35.33203125" customWidth="1"/>
    <col min="4" max="4" width="25.33203125" customWidth="1"/>
    <col min="5" max="5" width="9" customWidth="1"/>
    <col min="6" max="6" width="8" customWidth="1"/>
    <col min="7" max="7" width="13" customWidth="1"/>
    <col min="8" max="8" width="7" customWidth="1"/>
    <col min="9" max="10" width="14" customWidth="1"/>
    <col min="11" max="11" width="28" customWidth="1"/>
  </cols>
  <sheetData>
    <row r="1" spans="1:11" ht="17" x14ac:dyDescent="0.2">
      <c r="A1" s="5" t="s">
        <v>147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2">
      <c r="A2" s="4" t="s">
        <v>19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32" x14ac:dyDescent="0.2">
      <c r="A3" s="15" t="s">
        <v>20</v>
      </c>
      <c r="B3" s="15" t="s">
        <v>21</v>
      </c>
      <c r="C3" s="15" t="s">
        <v>22</v>
      </c>
      <c r="D3" s="15" t="s">
        <v>23</v>
      </c>
      <c r="E3" s="15" t="s">
        <v>24</v>
      </c>
      <c r="F3" s="15" t="s">
        <v>25</v>
      </c>
      <c r="G3" s="15" t="s">
        <v>26</v>
      </c>
      <c r="H3" s="15" t="s">
        <v>27</v>
      </c>
      <c r="I3" s="15" t="s">
        <v>28</v>
      </c>
      <c r="J3" s="15" t="s">
        <v>29</v>
      </c>
      <c r="K3" s="15" t="s">
        <v>30</v>
      </c>
    </row>
    <row r="4" spans="1:11" ht="15" customHeight="1" x14ac:dyDescent="0.2">
      <c r="A4" s="3" t="s">
        <v>31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45" x14ac:dyDescent="0.2">
      <c r="A5" s="16" t="s">
        <v>32</v>
      </c>
      <c r="B5" s="16" t="s">
        <v>33</v>
      </c>
      <c r="C5" s="16" t="s">
        <v>34</v>
      </c>
      <c r="D5" s="16" t="s">
        <v>35</v>
      </c>
      <c r="E5" s="17">
        <v>67</v>
      </c>
      <c r="F5" s="16" t="s">
        <v>36</v>
      </c>
      <c r="G5" s="16" t="s">
        <v>16</v>
      </c>
      <c r="H5" s="16">
        <v>1</v>
      </c>
      <c r="I5" s="18">
        <v>0</v>
      </c>
      <c r="J5" s="19">
        <f>IF(OR(E5="",I5=""),"",E5*I5)</f>
        <v>0</v>
      </c>
    </row>
    <row r="6" spans="1:11" ht="30" x14ac:dyDescent="0.2">
      <c r="A6" s="16" t="s">
        <v>32</v>
      </c>
      <c r="B6" s="16" t="s">
        <v>37</v>
      </c>
      <c r="C6" s="16" t="s">
        <v>38</v>
      </c>
      <c r="D6" s="16" t="s">
        <v>39</v>
      </c>
      <c r="E6" s="17">
        <v>4</v>
      </c>
      <c r="F6" s="16" t="s">
        <v>40</v>
      </c>
      <c r="G6" s="16" t="s">
        <v>17</v>
      </c>
      <c r="H6" s="16">
        <v>1</v>
      </c>
      <c r="I6" s="18"/>
      <c r="J6" s="19" t="str">
        <f>IF(OR(E6="",I6=""),"",E6*I6)</f>
        <v/>
      </c>
    </row>
    <row r="7" spans="1:11" ht="30" x14ac:dyDescent="0.2">
      <c r="A7" s="16" t="s">
        <v>32</v>
      </c>
      <c r="B7" s="16" t="s">
        <v>41</v>
      </c>
      <c r="C7" s="16" t="s">
        <v>42</v>
      </c>
      <c r="D7" s="16" t="s">
        <v>43</v>
      </c>
      <c r="E7" s="17">
        <v>1</v>
      </c>
      <c r="F7" s="16" t="s">
        <v>44</v>
      </c>
      <c r="G7" s="16" t="s">
        <v>17</v>
      </c>
      <c r="H7" s="16">
        <v>2</v>
      </c>
      <c r="I7" s="18"/>
      <c r="J7" s="19" t="str">
        <f>IF(OR(E7="",I7=""),"",E7*I7)</f>
        <v/>
      </c>
    </row>
    <row r="8" spans="1:11" ht="15" customHeight="1" x14ac:dyDescent="0.2">
      <c r="A8" s="3" t="s">
        <v>45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30" x14ac:dyDescent="0.2">
      <c r="A9" s="16" t="s">
        <v>46</v>
      </c>
      <c r="B9" s="16" t="s">
        <v>47</v>
      </c>
      <c r="C9" s="16" t="s">
        <v>48</v>
      </c>
      <c r="D9" s="16" t="s">
        <v>43</v>
      </c>
      <c r="E9" s="17">
        <v>3</v>
      </c>
      <c r="F9" s="16" t="s">
        <v>49</v>
      </c>
      <c r="G9" s="16" t="s">
        <v>16</v>
      </c>
      <c r="H9" s="16">
        <v>1</v>
      </c>
      <c r="I9" s="18"/>
      <c r="J9" s="19" t="str">
        <f>IF(OR(E9="",I9=""),"",E9*I9)</f>
        <v/>
      </c>
    </row>
    <row r="10" spans="1:11" ht="30" x14ac:dyDescent="0.2">
      <c r="A10" s="16" t="s">
        <v>46</v>
      </c>
      <c r="B10" s="16" t="s">
        <v>50</v>
      </c>
      <c r="C10" s="16" t="s">
        <v>51</v>
      </c>
      <c r="D10" s="16" t="s">
        <v>43</v>
      </c>
      <c r="E10" s="17">
        <v>6</v>
      </c>
      <c r="F10" s="16" t="s">
        <v>52</v>
      </c>
      <c r="G10" s="16" t="s">
        <v>16</v>
      </c>
      <c r="H10" s="16">
        <v>1</v>
      </c>
      <c r="I10" s="18"/>
      <c r="J10" s="19" t="str">
        <f>IF(OR(E10="",I10=""),"",E10*I10)</f>
        <v/>
      </c>
    </row>
    <row r="11" spans="1:11" ht="15" customHeight="1" x14ac:dyDescent="0.2">
      <c r="A11" s="3" t="s">
        <v>53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30" x14ac:dyDescent="0.2">
      <c r="A12" s="16" t="s">
        <v>54</v>
      </c>
      <c r="B12" s="16" t="s">
        <v>55</v>
      </c>
      <c r="C12" s="16" t="s">
        <v>56</v>
      </c>
      <c r="D12" s="16" t="s">
        <v>57</v>
      </c>
      <c r="E12" s="17">
        <v>0</v>
      </c>
      <c r="F12" s="16" t="s">
        <v>58</v>
      </c>
      <c r="G12" s="16" t="s">
        <v>16</v>
      </c>
      <c r="H12" s="16">
        <v>1</v>
      </c>
      <c r="I12" s="18">
        <v>0</v>
      </c>
      <c r="J12" s="19">
        <f>IF(OR(E12="",I12=""),"",E12*I12)</f>
        <v>0</v>
      </c>
    </row>
    <row r="13" spans="1:11" ht="45" x14ac:dyDescent="0.2">
      <c r="A13" s="16" t="s">
        <v>54</v>
      </c>
      <c r="B13" s="16" t="s">
        <v>59</v>
      </c>
      <c r="C13" s="16" t="s">
        <v>60</v>
      </c>
      <c r="D13" s="16" t="s">
        <v>43</v>
      </c>
      <c r="E13" s="17">
        <v>8</v>
      </c>
      <c r="F13" s="16" t="s">
        <v>49</v>
      </c>
      <c r="G13" s="16" t="s">
        <v>17</v>
      </c>
      <c r="H13" s="16">
        <v>2</v>
      </c>
      <c r="I13" s="18"/>
      <c r="J13" s="19" t="str">
        <f>IF(OR(E13="",I13=""),"",E13*I13)</f>
        <v/>
      </c>
    </row>
    <row r="14" spans="1:11" ht="30" x14ac:dyDescent="0.2">
      <c r="A14" s="16" t="s">
        <v>54</v>
      </c>
      <c r="B14" s="16" t="s">
        <v>61</v>
      </c>
      <c r="C14" s="16" t="s">
        <v>62</v>
      </c>
      <c r="D14" s="16" t="s">
        <v>43</v>
      </c>
      <c r="E14" s="17">
        <v>6</v>
      </c>
      <c r="F14" s="16" t="s">
        <v>52</v>
      </c>
      <c r="G14" s="16" t="s">
        <v>17</v>
      </c>
      <c r="H14" s="16">
        <v>2</v>
      </c>
      <c r="I14" s="18"/>
      <c r="J14" s="19" t="str">
        <f>IF(OR(E14="",I14=""),"",E14*I14)</f>
        <v/>
      </c>
    </row>
    <row r="15" spans="1:11" ht="15" customHeight="1" x14ac:dyDescent="0.2">
      <c r="A15" s="3" t="s">
        <v>63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30" x14ac:dyDescent="0.2">
      <c r="A16" s="16" t="s">
        <v>64</v>
      </c>
      <c r="B16" s="16" t="s">
        <v>65</v>
      </c>
      <c r="C16" s="16" t="s">
        <v>66</v>
      </c>
      <c r="D16" s="16" t="s">
        <v>43</v>
      </c>
      <c r="E16" s="17">
        <v>20</v>
      </c>
      <c r="F16" s="16" t="s">
        <v>44</v>
      </c>
      <c r="G16" s="16" t="s">
        <v>16</v>
      </c>
      <c r="H16" s="16">
        <v>2</v>
      </c>
      <c r="I16" s="18"/>
      <c r="J16" s="19" t="str">
        <f>IF(OR(E16="",I16=""),"",E16*I16)</f>
        <v/>
      </c>
    </row>
    <row r="17" spans="1:11" ht="30" x14ac:dyDescent="0.2">
      <c r="A17" s="16" t="s">
        <v>64</v>
      </c>
      <c r="B17" s="16" t="s">
        <v>67</v>
      </c>
      <c r="C17" s="16" t="s">
        <v>68</v>
      </c>
      <c r="D17" s="16" t="s">
        <v>57</v>
      </c>
      <c r="E17" s="17">
        <v>0</v>
      </c>
      <c r="F17" s="16" t="s">
        <v>58</v>
      </c>
      <c r="G17" s="16" t="s">
        <v>16</v>
      </c>
      <c r="H17" s="16">
        <v>2</v>
      </c>
      <c r="I17" s="18">
        <v>0</v>
      </c>
      <c r="J17" s="19">
        <f>IF(OR(E17="",I17=""),"",E17*I17)</f>
        <v>0</v>
      </c>
    </row>
    <row r="18" spans="1:11" ht="30" x14ac:dyDescent="0.2">
      <c r="A18" s="16" t="s">
        <v>64</v>
      </c>
      <c r="B18" s="16" t="s">
        <v>69</v>
      </c>
      <c r="C18" s="16" t="s">
        <v>70</v>
      </c>
      <c r="D18" s="16" t="s">
        <v>43</v>
      </c>
      <c r="E18" s="17">
        <v>6</v>
      </c>
      <c r="F18" s="16" t="s">
        <v>49</v>
      </c>
      <c r="G18" s="16" t="s">
        <v>18</v>
      </c>
      <c r="H18" s="16">
        <v>3</v>
      </c>
      <c r="I18" s="18"/>
      <c r="J18" s="19" t="str">
        <f>IF(OR(E18="",I18=""),"",E18*I18)</f>
        <v/>
      </c>
    </row>
    <row r="19" spans="1:11" ht="15" customHeight="1" x14ac:dyDescent="0.2">
      <c r="A19" s="3" t="s">
        <v>71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45" x14ac:dyDescent="0.2">
      <c r="A20" s="16" t="s">
        <v>72</v>
      </c>
      <c r="B20" s="16" t="s">
        <v>73</v>
      </c>
      <c r="C20" s="16" t="s">
        <v>74</v>
      </c>
      <c r="D20" s="16" t="s">
        <v>75</v>
      </c>
      <c r="E20" s="17">
        <v>25</v>
      </c>
      <c r="F20" s="16" t="s">
        <v>76</v>
      </c>
      <c r="G20" s="16" t="s">
        <v>16</v>
      </c>
      <c r="H20" s="16">
        <v>3</v>
      </c>
      <c r="I20" s="18"/>
      <c r="J20" s="19" t="str">
        <f>IF(OR(E20="",I20=""),"",E20*I20)</f>
        <v/>
      </c>
    </row>
    <row r="21" spans="1:11" ht="30" x14ac:dyDescent="0.2">
      <c r="A21" s="16" t="s">
        <v>72</v>
      </c>
      <c r="B21" s="16" t="s">
        <v>77</v>
      </c>
      <c r="C21" s="16" t="s">
        <v>78</v>
      </c>
      <c r="D21" s="16" t="s">
        <v>43</v>
      </c>
      <c r="E21" s="17">
        <v>0</v>
      </c>
      <c r="F21" s="16" t="s">
        <v>58</v>
      </c>
      <c r="G21" s="16" t="s">
        <v>16</v>
      </c>
      <c r="H21" s="16">
        <v>3</v>
      </c>
      <c r="I21" s="18">
        <v>0</v>
      </c>
      <c r="J21" s="19">
        <f>IF(OR(E21="",I21=""),"",E21*I21)</f>
        <v>0</v>
      </c>
    </row>
    <row r="22" spans="1:11" ht="30" x14ac:dyDescent="0.2">
      <c r="A22" s="16" t="s">
        <v>72</v>
      </c>
      <c r="B22" s="16" t="s">
        <v>79</v>
      </c>
      <c r="C22" s="16" t="s">
        <v>80</v>
      </c>
      <c r="D22" s="16" t="s">
        <v>81</v>
      </c>
      <c r="E22" s="17" t="s">
        <v>82</v>
      </c>
      <c r="F22" s="16" t="s">
        <v>83</v>
      </c>
      <c r="G22" s="16" t="s">
        <v>17</v>
      </c>
      <c r="H22" s="16">
        <v>3</v>
      </c>
      <c r="I22" s="18"/>
      <c r="J22" s="19" t="str">
        <f>IF(OR(E22="",I22=""),"",E22*I22)</f>
        <v/>
      </c>
    </row>
    <row r="24" spans="1:11" x14ac:dyDescent="0.2">
      <c r="A24" s="2"/>
      <c r="B24" s="2"/>
      <c r="C24" s="2"/>
      <c r="D24" s="2"/>
      <c r="E24" s="2"/>
      <c r="F24" s="2"/>
      <c r="G24" s="2"/>
      <c r="H24" s="2"/>
      <c r="I24" s="2"/>
      <c r="J24" s="20">
        <f>SUM(J4:J22)</f>
        <v>0</v>
      </c>
    </row>
  </sheetData>
  <mergeCells count="8">
    <mergeCell ref="A15:K15"/>
    <mergeCell ref="A19:K19"/>
    <mergeCell ref="A24:I24"/>
    <mergeCell ref="A1:K1"/>
    <mergeCell ref="A2:K2"/>
    <mergeCell ref="A4:K4"/>
    <mergeCell ref="A8:K8"/>
    <mergeCell ref="A11:K11"/>
  </mergeCells>
  <conditionalFormatting sqref="G4:G22">
    <cfRule type="cellIs" dxfId="2" priority="2" operator="equal">
      <formula>"Indispensable"</formula>
    </cfRule>
    <cfRule type="cellIs" dxfId="1" priority="3" operator="equal">
      <formula>"Recomendado"</formula>
    </cfRule>
    <cfRule type="cellIs" dxfId="0" priority="4" operator="equal">
      <formula>"Opcional"</formula>
    </cfRule>
  </conditionalFormatting>
  <dataValidations count="3">
    <dataValidation type="list" allowBlank="1" sqref="G4:G22" xr:uid="{00000000-0002-0000-0100-000000000000}">
      <formula1>"Indispensable,Recomendado,Opcional"</formula1>
      <formula2>0</formula2>
    </dataValidation>
    <dataValidation type="list" allowBlank="1" sqref="D4:D22" xr:uid="{00000000-0002-0000-0100-000001000000}">
      <formula1>"No,Parcial,Sí"</formula1>
      <formula2>0</formula2>
    </dataValidation>
    <dataValidation type="list" allowBlank="1" sqref="H4:H22" xr:uid="{00000000-0002-0000-0100-000002000000}">
      <formula1>"1,2,3"</formula1>
      <formula2>0</formula2>
    </dataValidation>
  </dataValidations>
  <pageMargins left="0.3" right="0.3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E15"/>
  <sheetViews>
    <sheetView showGridLines="0" zoomScaleNormal="100" workbookViewId="0"/>
  </sheetViews>
  <sheetFormatPr baseColWidth="10" defaultColWidth="8.6640625" defaultRowHeight="15" x14ac:dyDescent="0.2"/>
  <cols>
    <col min="2" max="2" width="26" customWidth="1"/>
    <col min="3" max="5" width="20" customWidth="1"/>
  </cols>
  <sheetData>
    <row r="2" spans="2:5" ht="20" x14ac:dyDescent="0.25">
      <c r="B2" s="11" t="s">
        <v>129</v>
      </c>
    </row>
    <row r="3" spans="2:5" x14ac:dyDescent="0.2">
      <c r="B3" s="12" t="s">
        <v>130</v>
      </c>
    </row>
    <row r="5" spans="2:5" ht="32" x14ac:dyDescent="0.2">
      <c r="B5" s="15" t="s">
        <v>131</v>
      </c>
      <c r="C5" s="15" t="s">
        <v>132</v>
      </c>
      <c r="D5" s="15" t="s">
        <v>133</v>
      </c>
      <c r="E5" s="15" t="s">
        <v>134</v>
      </c>
    </row>
    <row r="6" spans="2:5" ht="16" x14ac:dyDescent="0.2">
      <c r="B6" s="21" t="s">
        <v>135</v>
      </c>
      <c r="C6" s="22">
        <f>COUNTIF(ENSMA_Innovación!G4:G22,"&lt;&gt;")</f>
        <v>14</v>
      </c>
      <c r="D6" s="23">
        <f>SUMIF(ENSMA_Innovación!G4:G22,"Indispensable",ENSMA_Innovación!J4:J22)</f>
        <v>0</v>
      </c>
      <c r="E6" s="23">
        <f>SUM(ENSMA_Innovación!J4:J22)</f>
        <v>0</v>
      </c>
    </row>
    <row r="7" spans="2:5" ht="16" x14ac:dyDescent="0.2">
      <c r="B7" s="21" t="s">
        <v>136</v>
      </c>
      <c r="C7" s="22">
        <f>COUNTIF(EICIT_TecnicoLaboral!H4:H16,"&lt;&gt;")</f>
        <v>11</v>
      </c>
      <c r="D7" s="23">
        <f>SUMIF(EICIT_TecnicoLaboral!H4:H16,"Indispensable",EICIT_TecnicoLaboral!K4:K16)</f>
        <v>0</v>
      </c>
      <c r="E7" s="23">
        <f>SUM(EICIT_TecnicoLaboral!K4:K16)</f>
        <v>0</v>
      </c>
    </row>
    <row r="8" spans="2:5" x14ac:dyDescent="0.2">
      <c r="B8" s="24" t="s">
        <v>137</v>
      </c>
      <c r="C8" s="25"/>
      <c r="D8" s="20">
        <f>SUM(D6:D7)</f>
        <v>0</v>
      </c>
      <c r="E8" s="20">
        <f>SUM(E6:E7)</f>
        <v>0</v>
      </c>
    </row>
    <row r="11" spans="2:5" x14ac:dyDescent="0.2">
      <c r="B11" s="26" t="s">
        <v>138</v>
      </c>
    </row>
    <row r="12" spans="2:5" ht="16" x14ac:dyDescent="0.2">
      <c r="B12" s="27" t="s">
        <v>27</v>
      </c>
      <c r="C12" s="27" t="s">
        <v>134</v>
      </c>
    </row>
    <row r="13" spans="2:5" x14ac:dyDescent="0.2">
      <c r="B13" s="28" t="s">
        <v>139</v>
      </c>
      <c r="C13" s="29">
        <f>SUMIF(ENSMA_Innovación!H4:H22,"1",ENSMA_Innovación!J4:J22)</f>
        <v>0</v>
      </c>
    </row>
    <row r="14" spans="2:5" x14ac:dyDescent="0.2">
      <c r="B14" s="28" t="s">
        <v>140</v>
      </c>
      <c r="C14" s="29">
        <f>SUMIF(ENSMA_Innovación!H4:H22,"2",ENSMA_Innovación!J4:J22)</f>
        <v>0</v>
      </c>
    </row>
    <row r="15" spans="2:5" x14ac:dyDescent="0.2">
      <c r="B15" s="28" t="s">
        <v>141</v>
      </c>
      <c r="C15" s="29">
        <f>SUMIF(ENSMA_Innovación!H4:H22,"3",ENSMA_Innovación!J4:J22)</f>
        <v>0</v>
      </c>
    </row>
  </sheetData>
  <pageMargins left="0.3" right="0.3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Guía</vt:lpstr>
      <vt:lpstr>EICIT_TecnicoLaboral</vt:lpstr>
      <vt:lpstr>ENSMA_Innovación</vt:lpstr>
      <vt:lpstr>Resumen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HenryDelaOssa</dc:creator>
  <cp:keywords/>
  <dc:description/>
  <cp:lastModifiedBy>MIREYA CASTILLO</cp:lastModifiedBy>
  <cp:revision>0</cp:revision>
  <dcterms:created xsi:type="dcterms:W3CDTF">2026-09-11T17:58:42Z</dcterms:created>
  <dcterms:modified xsi:type="dcterms:W3CDTF">2026-09-11T18:29:27Z</dcterms:modified>
  <cp:category/>
  <dc:language>en-US</dc:language>
</cp:coreProperties>
</file>