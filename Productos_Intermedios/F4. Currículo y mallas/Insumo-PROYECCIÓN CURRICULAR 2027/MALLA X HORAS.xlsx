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henryossa/Documents/GitHub/EICIT/Productos_Intermedios/F4. Currículo y mallas/Insumo-PROYECCIÓN CURRICULAR 2027/"/>
    </mc:Choice>
  </mc:AlternateContent>
  <xr:revisionPtr revIDLastSave="0" documentId="13_ncr:1_{35D8C034-3134-234F-AF33-432926BF3E88}" xr6:coauthVersionLast="47" xr6:coauthVersionMax="47" xr10:uidLastSave="{00000000-0000-0000-0000-000000000000}"/>
  <bookViews>
    <workbookView xWindow="-9280" yWindow="600" windowWidth="38080" windowHeight="17400" xr2:uid="{00000000-000D-0000-FFFF-FFFF00000000}"/>
  </bookViews>
  <sheets>
    <sheet name="Carga Propuesta" sheetId="1" r:id="rId1"/>
    <sheet name="crono_academic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5Qklz5pS6p2hrccVa3OIYpBLQoNjGcBOvjBDCBE/+iQ="/>
    </ext>
  </extLst>
</workbook>
</file>

<file path=xl/calcChain.xml><?xml version="1.0" encoding="utf-8"?>
<calcChain xmlns="http://schemas.openxmlformats.org/spreadsheetml/2006/main">
  <c r="D43" i="1" l="1"/>
  <c r="E43" i="1"/>
  <c r="F43" i="1"/>
  <c r="G43" i="1"/>
  <c r="H43" i="1"/>
  <c r="I43" i="1"/>
  <c r="J43" i="1"/>
  <c r="K43" i="1"/>
  <c r="L43" i="1"/>
  <c r="M43" i="1"/>
  <c r="N43" i="1"/>
  <c r="D42" i="1"/>
  <c r="E42" i="1"/>
  <c r="F42" i="1"/>
  <c r="G42" i="1"/>
  <c r="H42" i="1"/>
  <c r="I42" i="1"/>
  <c r="J42" i="1"/>
  <c r="K42" i="1"/>
  <c r="L42" i="1"/>
  <c r="M42" i="1"/>
  <c r="N42" i="1"/>
  <c r="C42" i="1"/>
  <c r="D32" i="1"/>
  <c r="E32" i="1"/>
  <c r="F32" i="1"/>
  <c r="G32" i="1"/>
  <c r="H32" i="1"/>
  <c r="I32" i="1"/>
  <c r="J32" i="1"/>
  <c r="K32" i="1"/>
  <c r="L32" i="1"/>
  <c r="M32" i="1"/>
  <c r="N32" i="1"/>
  <c r="C32" i="1"/>
  <c r="D28" i="1"/>
  <c r="E28" i="1"/>
  <c r="F28" i="1"/>
  <c r="G28" i="1"/>
  <c r="H28" i="1"/>
  <c r="I28" i="1"/>
  <c r="J28" i="1"/>
  <c r="K28" i="1"/>
  <c r="L28" i="1"/>
  <c r="M28" i="1"/>
  <c r="N28" i="1"/>
  <c r="C28" i="1"/>
  <c r="D23" i="1"/>
  <c r="E23" i="1"/>
  <c r="F23" i="1"/>
  <c r="G23" i="1"/>
  <c r="H23" i="1"/>
  <c r="I23" i="1"/>
  <c r="J23" i="1"/>
  <c r="K23" i="1"/>
  <c r="L23" i="1"/>
  <c r="M23" i="1"/>
  <c r="N23" i="1"/>
  <c r="C23" i="1"/>
  <c r="D21" i="1"/>
  <c r="E21" i="1"/>
  <c r="F21" i="1"/>
  <c r="G21" i="1"/>
  <c r="H21" i="1"/>
  <c r="I21" i="1"/>
  <c r="J21" i="1"/>
  <c r="K21" i="1"/>
  <c r="L21" i="1"/>
  <c r="M21" i="1"/>
  <c r="N21" i="1"/>
  <c r="C21" i="1"/>
  <c r="D15" i="1"/>
  <c r="E15" i="1"/>
  <c r="F15" i="1"/>
  <c r="G15" i="1"/>
  <c r="H15" i="1"/>
  <c r="I15" i="1"/>
  <c r="J15" i="1"/>
  <c r="K15" i="1"/>
  <c r="L15" i="1"/>
  <c r="M15" i="1"/>
  <c r="N15" i="1"/>
  <c r="C15" i="1"/>
  <c r="D8" i="1"/>
  <c r="E8" i="1"/>
  <c r="F8" i="1"/>
  <c r="G8" i="1"/>
  <c r="H8" i="1"/>
  <c r="I8" i="1"/>
  <c r="J8" i="1"/>
  <c r="K8" i="1"/>
  <c r="L8" i="1"/>
  <c r="M8" i="1"/>
  <c r="N8" i="1"/>
  <c r="C8" i="1"/>
  <c r="D93" i="1"/>
  <c r="E93" i="1"/>
  <c r="F93" i="1"/>
  <c r="G93" i="1"/>
  <c r="H93" i="1"/>
  <c r="I93" i="1"/>
  <c r="J93" i="1"/>
  <c r="K93" i="1"/>
  <c r="L93" i="1"/>
  <c r="M93" i="1"/>
  <c r="N93" i="1"/>
  <c r="C93" i="1"/>
  <c r="D92" i="1"/>
  <c r="E92" i="1"/>
  <c r="F92" i="1"/>
  <c r="G92" i="1"/>
  <c r="H92" i="1"/>
  <c r="I92" i="1"/>
  <c r="J92" i="1"/>
  <c r="K92" i="1"/>
  <c r="L92" i="1"/>
  <c r="M92" i="1"/>
  <c r="N92" i="1"/>
  <c r="C92" i="1"/>
  <c r="D87" i="1"/>
  <c r="E87" i="1"/>
  <c r="F87" i="1"/>
  <c r="G87" i="1"/>
  <c r="H87" i="1"/>
  <c r="I87" i="1"/>
  <c r="J87" i="1"/>
  <c r="K87" i="1"/>
  <c r="L87" i="1"/>
  <c r="M87" i="1"/>
  <c r="N87" i="1"/>
  <c r="C87" i="1"/>
  <c r="D80" i="1"/>
  <c r="E80" i="1"/>
  <c r="F80" i="1"/>
  <c r="G80" i="1"/>
  <c r="H80" i="1"/>
  <c r="I80" i="1"/>
  <c r="J80" i="1"/>
  <c r="K80" i="1"/>
  <c r="L80" i="1"/>
  <c r="M80" i="1"/>
  <c r="N80" i="1"/>
  <c r="C80" i="1"/>
  <c r="D76" i="1"/>
  <c r="E76" i="1"/>
  <c r="F76" i="1"/>
  <c r="G76" i="1"/>
  <c r="H76" i="1"/>
  <c r="I76" i="1"/>
  <c r="J76" i="1"/>
  <c r="K76" i="1"/>
  <c r="L76" i="1"/>
  <c r="M76" i="1"/>
  <c r="N76" i="1"/>
  <c r="C76" i="1"/>
  <c r="D69" i="1"/>
  <c r="E69" i="1"/>
  <c r="F69" i="1"/>
  <c r="G69" i="1"/>
  <c r="H69" i="1"/>
  <c r="I69" i="1"/>
  <c r="J69" i="1"/>
  <c r="K69" i="1"/>
  <c r="L69" i="1"/>
  <c r="M69" i="1"/>
  <c r="N69" i="1"/>
  <c r="C69" i="1"/>
  <c r="N63" i="1"/>
  <c r="M63" i="1"/>
  <c r="L63" i="1"/>
  <c r="K63" i="1"/>
  <c r="J63" i="1"/>
  <c r="I63" i="1"/>
  <c r="H63" i="1"/>
  <c r="G63" i="1"/>
  <c r="F63" i="1"/>
  <c r="E63" i="1"/>
  <c r="D63" i="1"/>
  <c r="C63" i="1"/>
  <c r="D59" i="1"/>
  <c r="E59" i="1"/>
  <c r="F59" i="1"/>
  <c r="G59" i="1"/>
  <c r="H59" i="1"/>
  <c r="I59" i="1"/>
  <c r="J59" i="1"/>
  <c r="K59" i="1"/>
  <c r="L59" i="1"/>
  <c r="M59" i="1"/>
  <c r="N59" i="1"/>
  <c r="C59" i="1"/>
  <c r="G7" i="2"/>
  <c r="G8" i="2"/>
  <c r="G9" i="2"/>
  <c r="G10" i="2"/>
  <c r="G6" i="2"/>
  <c r="F7" i="2"/>
  <c r="F8" i="2"/>
  <c r="F9" i="2"/>
  <c r="F10" i="2"/>
  <c r="F6" i="2"/>
  <c r="C43" i="1" l="1"/>
</calcChain>
</file>

<file path=xl/sharedStrings.xml><?xml version="1.0" encoding="utf-8"?>
<sst xmlns="http://schemas.openxmlformats.org/spreadsheetml/2006/main" count="142" uniqueCount="81">
  <si>
    <t>PROYECCIÓN DEL CRONOGRAMA ACADÉMICO 2027</t>
  </si>
  <si>
    <t>AREA/Asignatura/Dimensión</t>
  </si>
  <si>
    <t>Número de semanas lectivas previstas: 37 semanas de trabajo académico con estudiantes + 2 semanas de refuerzo y profundización</t>
  </si>
  <si>
    <r>
      <rPr>
        <b/>
        <sz val="11"/>
        <color theme="1"/>
        <rFont val="Calibri"/>
      </rPr>
      <t>In</t>
    </r>
    <r>
      <rPr>
        <b/>
        <sz val="9"/>
        <color theme="1"/>
        <rFont val="Calibri"/>
      </rPr>
      <t>tensidad horaria según la oferta presentada en el PEI</t>
    </r>
  </si>
  <si>
    <t>Período Académico</t>
  </si>
  <si>
    <t>Semanas</t>
  </si>
  <si>
    <t>Fecha de Inicio (Proyectada)</t>
  </si>
  <si>
    <t>Fecha de Finalización (Proyectada)</t>
  </si>
  <si>
    <t>Período 1</t>
  </si>
  <si>
    <t>10 semanas</t>
  </si>
  <si>
    <t>Período 2</t>
  </si>
  <si>
    <t>09 semanas</t>
  </si>
  <si>
    <t>T</t>
  </si>
  <si>
    <t>Período 3</t>
  </si>
  <si>
    <t>Período 4</t>
  </si>
  <si>
    <t>Intensidad horaria según la oferta presentada en el PEI</t>
  </si>
  <si>
    <t xml:space="preserve">PRIMARIA </t>
  </si>
  <si>
    <t>Refuerzos y Recuperaciones</t>
  </si>
  <si>
    <t>2 semanas</t>
  </si>
  <si>
    <t xml:space="preserve">SECUNDARIA </t>
  </si>
  <si>
    <t>1°</t>
  </si>
  <si>
    <t>2°</t>
  </si>
  <si>
    <t>3°</t>
  </si>
  <si>
    <t>4°</t>
  </si>
  <si>
    <t>5°</t>
  </si>
  <si>
    <t>6°</t>
  </si>
  <si>
    <t>7°</t>
  </si>
  <si>
    <t>8°</t>
  </si>
  <si>
    <t>9°</t>
  </si>
  <si>
    <t>CIENCIAS NATURALES</t>
  </si>
  <si>
    <t>Dimensión socioafectiva</t>
  </si>
  <si>
    <t>C. Naturales y Medio Ambie</t>
  </si>
  <si>
    <t>Química</t>
  </si>
  <si>
    <t>Física</t>
  </si>
  <si>
    <t>Total, de Área</t>
  </si>
  <si>
    <t>HUMANIDADES</t>
  </si>
  <si>
    <t>Dimensión Comunicativa</t>
  </si>
  <si>
    <t>Lengua Castellana</t>
  </si>
  <si>
    <t>Lengua Extranjera (inglés)</t>
  </si>
  <si>
    <t>PEII</t>
  </si>
  <si>
    <t>Psicología - Sistema Preventivo</t>
  </si>
  <si>
    <t>Didáctica general</t>
  </si>
  <si>
    <t>CIENCIAS SOCIALES</t>
  </si>
  <si>
    <t>Dimensión Socioafectiva</t>
  </si>
  <si>
    <t>Historia</t>
  </si>
  <si>
    <t>Geografía</t>
  </si>
  <si>
    <t>Democracia</t>
  </si>
  <si>
    <t>CIENCIAS ECONÓMICAS Y POLITICAS</t>
  </si>
  <si>
    <t>EDUCACIÓN FÍSICA Y DEPORTES</t>
  </si>
  <si>
    <t>EDUCACIÓN ARTISTICA</t>
  </si>
  <si>
    <t>Dimensión Estética</t>
  </si>
  <si>
    <t>Artes (Dibujo Artesan)</t>
  </si>
  <si>
    <t>Música</t>
  </si>
  <si>
    <t>Danzas</t>
  </si>
  <si>
    <t>ÉTICA Y VALORES</t>
  </si>
  <si>
    <t>ED. RELIGIOSA</t>
  </si>
  <si>
    <t>FILOSOFÍA</t>
  </si>
  <si>
    <t>Dimensión Cognitiva</t>
  </si>
  <si>
    <t>Matemáticas</t>
  </si>
  <si>
    <t>MATEMATICAS</t>
  </si>
  <si>
    <t>Algebra</t>
  </si>
  <si>
    <t>Trigonometría</t>
  </si>
  <si>
    <t>Calculo</t>
  </si>
  <si>
    <t>Procesos del pensamiento</t>
  </si>
  <si>
    <t>Desarrollo de los Dispositivos básicos del aprendizaje</t>
  </si>
  <si>
    <t>SUB TOTAL ÁREA ACADÉMICA</t>
  </si>
  <si>
    <t>TECNOLOGÍA E INFORMATIC</t>
  </si>
  <si>
    <t>TÉCNICA</t>
  </si>
  <si>
    <t>SUB TOTAL ÁREA TÉCNICA</t>
  </si>
  <si>
    <t>TOTAL, DISTRIBUCIÓN EN LA INSTITUCIÓN</t>
  </si>
  <si>
    <t xml:space="preserve">Sociales </t>
  </si>
  <si>
    <t>Educacion Fisica</t>
  </si>
  <si>
    <t xml:space="preserve"> </t>
  </si>
  <si>
    <t>ENFASIS</t>
  </si>
  <si>
    <t xml:space="preserve">Tecnología e Infortmatica </t>
  </si>
  <si>
    <t>SENA</t>
  </si>
  <si>
    <t xml:space="preserve">sistema prerventivo </t>
  </si>
  <si>
    <t xml:space="preserve">Etiva y Valores </t>
  </si>
  <si>
    <t>Calendario Académico Proyectado por Períodos (2027)</t>
  </si>
  <si>
    <t>Receso de mitad de año: junio 22 - 13 de julio</t>
  </si>
  <si>
    <t>Receso escolar: 11 al 15 de 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</si>
</sst>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 de &quot;mmmm"/>
    <numFmt numFmtId="165" formatCode="d&quot; de &quot;mmmm"/>
  </numFmts>
  <fonts count="38">
    <font>
      <sz val="11"/>
      <color theme="1"/>
      <name val="Calibri"/>
      <scheme val="minor"/>
    </font>
    <font>
      <b/>
      <sz val="24"/>
      <color rgb="FF1A365D"/>
      <name val="Arial"/>
    </font>
    <font>
      <b/>
      <sz val="11"/>
      <color theme="1"/>
      <name val="Calibri"/>
    </font>
    <font>
      <sz val="11"/>
      <name val="Calibri"/>
    </font>
    <font>
      <sz val="11"/>
      <color rgb="FF000000"/>
      <name val="Arial"/>
    </font>
    <font>
      <b/>
      <sz val="18"/>
      <color rgb="FF2B6CB0"/>
      <name val="Arial"/>
    </font>
    <font>
      <b/>
      <sz val="11"/>
      <color rgb="FF000000"/>
      <name val="Arial"/>
    </font>
    <font>
      <b/>
      <sz val="18"/>
      <color theme="0"/>
      <name val="Arial Narrow"/>
    </font>
    <font>
      <b/>
      <sz val="14"/>
      <color theme="0"/>
      <name val="Arial Narrow"/>
    </font>
    <font>
      <sz val="11"/>
      <color theme="1"/>
      <name val="Calibri"/>
      <scheme val="minor"/>
    </font>
    <font>
      <b/>
      <sz val="10"/>
      <color theme="1"/>
      <name val="Arial"/>
    </font>
    <font>
      <sz val="11"/>
      <color theme="1"/>
      <name val="Calibri"/>
    </font>
    <font>
      <b/>
      <sz val="14"/>
      <color theme="1"/>
      <name val="Arial Narrow"/>
    </font>
    <font>
      <b/>
      <sz val="10"/>
      <color rgb="FF000000"/>
      <name val="Arial"/>
    </font>
    <font>
      <sz val="10"/>
      <color theme="1"/>
      <name val="Arial"/>
    </font>
    <font>
      <sz val="9"/>
      <color theme="1"/>
      <name val="Arial Narrow"/>
    </font>
    <font>
      <sz val="9"/>
      <color theme="1"/>
      <name val="Arial"/>
    </font>
    <font>
      <sz val="10"/>
      <color rgb="FF000000"/>
      <name val="Arial"/>
    </font>
    <font>
      <b/>
      <sz val="10"/>
      <color theme="0"/>
      <name val="Arial"/>
    </font>
    <font>
      <b/>
      <sz val="9"/>
      <color theme="0"/>
      <name val="Arial"/>
    </font>
    <font>
      <b/>
      <sz val="8"/>
      <color rgb="FF000000"/>
      <name val="Arial"/>
    </font>
    <font>
      <sz val="11"/>
      <color theme="0"/>
      <name val="Calibri"/>
    </font>
    <font>
      <b/>
      <sz val="11"/>
      <color theme="0"/>
      <name val="Arial Narrow"/>
    </font>
    <font>
      <b/>
      <sz val="9"/>
      <color rgb="FF000000"/>
      <name val="Arial"/>
    </font>
    <font>
      <sz val="8"/>
      <color theme="1"/>
      <name val="Arial"/>
    </font>
    <font>
      <b/>
      <sz val="12"/>
      <color rgb="FF000000"/>
      <name val="Arial"/>
    </font>
    <font>
      <sz val="10"/>
      <color theme="1"/>
      <name val="Times New Roman"/>
    </font>
    <font>
      <b/>
      <sz val="11"/>
      <color theme="1"/>
      <name val="Times New Roman"/>
    </font>
    <font>
      <b/>
      <sz val="8"/>
      <color theme="1"/>
      <name val="Arial Narrow"/>
    </font>
    <font>
      <sz val="9"/>
      <color rgb="FF000000"/>
      <name val="Arial"/>
    </font>
    <font>
      <b/>
      <sz val="10"/>
      <color theme="1"/>
      <name val="Arial Narrow"/>
    </font>
    <font>
      <sz val="10"/>
      <color theme="1"/>
      <name val="Arial Narrow"/>
    </font>
    <font>
      <b/>
      <sz val="9"/>
      <color theme="1"/>
      <name val="Calibri"/>
    </font>
    <font>
      <b/>
      <sz val="18"/>
      <color rgb="FF2B6CB0"/>
      <name val="Arial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Arial"/>
      <family val="2"/>
    </font>
    <font>
      <sz val="11"/>
      <color rgb="FF0070C0"/>
      <name val="Arial,sans-serif"/>
    </font>
    <font>
      <sz val="11"/>
      <color rgb="FF0070C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0070C0"/>
        <bgColor rgb="FF0070C0"/>
      </patternFill>
    </fill>
    <fill>
      <patternFill patternType="solid">
        <fgColor rgb="FF00B0F0"/>
        <bgColor rgb="FF00B0F0"/>
      </patternFill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002060"/>
        <bgColor rgb="FF002060"/>
      </patternFill>
    </fill>
    <fill>
      <patternFill patternType="solid">
        <fgColor rgb="FFBDD6EE"/>
        <bgColor rgb="FFBDD6EE"/>
      </patternFill>
    </fill>
    <fill>
      <patternFill patternType="solid">
        <fgColor rgb="FFB8CCE3"/>
        <bgColor rgb="FFB8CCE3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80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ck">
        <color rgb="FFC4D69B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ck">
        <color rgb="FFC4D69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9">
    <xf numFmtId="0" fontId="0" fillId="0" borderId="0" xfId="0"/>
    <xf numFmtId="0" fontId="7" fillId="3" borderId="8" xfId="0" applyFont="1" applyFill="1" applyBorder="1" applyAlignment="1">
      <alignment vertical="center" textRotation="255"/>
    </xf>
    <xf numFmtId="0" fontId="11" fillId="0" borderId="0" xfId="0" applyFont="1" applyAlignment="1">
      <alignment horizontal="center"/>
    </xf>
    <xf numFmtId="0" fontId="12" fillId="2" borderId="8" xfId="0" applyFont="1" applyFill="1" applyBorder="1" applyAlignment="1">
      <alignment vertical="center" textRotation="255"/>
    </xf>
    <xf numFmtId="0" fontId="13" fillId="2" borderId="17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left" vertical="center" wrapText="1"/>
    </xf>
    <xf numFmtId="0" fontId="14" fillId="0" borderId="25" xfId="0" applyFont="1" applyBorder="1" applyAlignment="1">
      <alignment horizontal="center" vertical="center" wrapText="1"/>
    </xf>
    <xf numFmtId="0" fontId="17" fillId="6" borderId="26" xfId="0" applyFont="1" applyFill="1" applyBorder="1" applyAlignment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8" fillId="8" borderId="8" xfId="0" applyFont="1" applyFill="1" applyBorder="1" applyAlignment="1">
      <alignment horizontal="left" vertical="center" wrapText="1"/>
    </xf>
    <xf numFmtId="0" fontId="19" fillId="8" borderId="28" xfId="0" applyFont="1" applyFill="1" applyBorder="1" applyAlignment="1">
      <alignment horizontal="left" vertical="center" wrapText="1"/>
    </xf>
    <xf numFmtId="0" fontId="18" fillId="8" borderId="28" xfId="0" applyFont="1" applyFill="1" applyBorder="1" applyAlignment="1">
      <alignment horizontal="center" vertical="center" wrapText="1"/>
    </xf>
    <xf numFmtId="0" fontId="16" fillId="0" borderId="25" xfId="0" applyFont="1" applyBorder="1" applyAlignment="1">
      <alignment horizontal="left" vertical="center" wrapText="1"/>
    </xf>
    <xf numFmtId="0" fontId="14" fillId="9" borderId="26" xfId="0" applyFont="1" applyFill="1" applyBorder="1" applyAlignment="1">
      <alignment horizontal="center" vertical="center" wrapText="1"/>
    </xf>
    <xf numFmtId="0" fontId="16" fillId="0" borderId="34" xfId="0" applyFont="1" applyBorder="1" applyAlignment="1">
      <alignment horizontal="left" vertical="center" wrapText="1"/>
    </xf>
    <xf numFmtId="0" fontId="14" fillId="0" borderId="34" xfId="0" applyFont="1" applyBorder="1" applyAlignment="1">
      <alignment horizontal="center" vertical="center" wrapText="1"/>
    </xf>
    <xf numFmtId="0" fontId="14" fillId="6" borderId="36" xfId="0" applyFont="1" applyFill="1" applyBorder="1" applyAlignment="1">
      <alignment horizontal="center" vertical="center" wrapText="1"/>
    </xf>
    <xf numFmtId="0" fontId="14" fillId="9" borderId="36" xfId="0" applyFont="1" applyFill="1" applyBorder="1" applyAlignment="1">
      <alignment horizontal="center" vertical="center" wrapText="1"/>
    </xf>
    <xf numFmtId="0" fontId="18" fillId="8" borderId="26" xfId="0" applyFont="1" applyFill="1" applyBorder="1" applyAlignment="1">
      <alignment horizontal="left" vertical="center" wrapText="1"/>
    </xf>
    <xf numFmtId="0" fontId="18" fillId="8" borderId="26" xfId="0" applyFont="1" applyFill="1" applyBorder="1" applyAlignment="1">
      <alignment horizontal="center" vertical="center" wrapText="1"/>
    </xf>
    <xf numFmtId="0" fontId="14" fillId="0" borderId="25" xfId="0" applyFont="1" applyBorder="1" applyAlignment="1">
      <alignment horizontal="left" vertical="center" wrapText="1"/>
    </xf>
    <xf numFmtId="0" fontId="10" fillId="0" borderId="25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left" vertical="center" wrapText="1"/>
    </xf>
    <xf numFmtId="0" fontId="14" fillId="0" borderId="32" xfId="0" applyFont="1" applyBorder="1" applyAlignment="1">
      <alignment horizontal="center" vertical="center" wrapText="1"/>
    </xf>
    <xf numFmtId="0" fontId="20" fillId="5" borderId="37" xfId="0" applyFont="1" applyFill="1" applyBorder="1" applyAlignment="1">
      <alignment vertical="center" wrapText="1"/>
    </xf>
    <xf numFmtId="0" fontId="14" fillId="0" borderId="16" xfId="0" applyFont="1" applyBorder="1" applyAlignment="1">
      <alignment horizontal="center" vertical="center" wrapText="1"/>
    </xf>
    <xf numFmtId="0" fontId="21" fillId="8" borderId="8" xfId="0" applyFont="1" applyFill="1" applyBorder="1"/>
    <xf numFmtId="0" fontId="22" fillId="8" borderId="28" xfId="0" applyFont="1" applyFill="1" applyBorder="1" applyAlignment="1">
      <alignment horizontal="center"/>
    </xf>
    <xf numFmtId="0" fontId="10" fillId="6" borderId="8" xfId="0" applyFont="1" applyFill="1" applyBorder="1" applyAlignment="1">
      <alignment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18" fillId="8" borderId="8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left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8" borderId="19" xfId="0" applyFont="1" applyFill="1" applyBorder="1" applyAlignment="1">
      <alignment horizontal="left" vertical="center" wrapText="1"/>
    </xf>
    <xf numFmtId="0" fontId="18" fillId="8" borderId="19" xfId="0" applyFont="1" applyFill="1" applyBorder="1" applyAlignment="1">
      <alignment horizontal="center" vertical="center" wrapText="1"/>
    </xf>
    <xf numFmtId="0" fontId="23" fillId="5" borderId="40" xfId="0" applyFont="1" applyFill="1" applyBorder="1" applyAlignment="1">
      <alignment vertical="center" wrapText="1"/>
    </xf>
    <xf numFmtId="0" fontId="13" fillId="6" borderId="41" xfId="0" applyFont="1" applyFill="1" applyBorder="1" applyAlignment="1">
      <alignment vertical="center" wrapText="1"/>
    </xf>
    <xf numFmtId="0" fontId="13" fillId="6" borderId="40" xfId="0" applyFont="1" applyFill="1" applyBorder="1" applyAlignment="1">
      <alignment horizontal="center" vertical="center" wrapText="1"/>
    </xf>
    <xf numFmtId="0" fontId="13" fillId="6" borderId="42" xfId="0" applyFont="1" applyFill="1" applyBorder="1" applyAlignment="1">
      <alignment horizontal="center" vertical="center" wrapText="1"/>
    </xf>
    <xf numFmtId="0" fontId="13" fillId="6" borderId="43" xfId="0" applyFont="1" applyFill="1" applyBorder="1" applyAlignment="1">
      <alignment horizontal="center" vertical="center" wrapText="1"/>
    </xf>
    <xf numFmtId="0" fontId="23" fillId="5" borderId="22" xfId="0" applyFont="1" applyFill="1" applyBorder="1" applyAlignment="1">
      <alignment vertical="center" wrapText="1"/>
    </xf>
    <xf numFmtId="0" fontId="13" fillId="6" borderId="44" xfId="0" applyFont="1" applyFill="1" applyBorder="1" applyAlignment="1">
      <alignment vertical="center" wrapText="1"/>
    </xf>
    <xf numFmtId="0" fontId="17" fillId="7" borderId="22" xfId="0" applyFont="1" applyFill="1" applyBorder="1" applyAlignment="1">
      <alignment horizontal="center" vertical="center" wrapText="1"/>
    </xf>
    <xf numFmtId="0" fontId="17" fillId="7" borderId="35" xfId="0" applyFont="1" applyFill="1" applyBorder="1" applyAlignment="1">
      <alignment horizontal="center" vertical="center" wrapText="1"/>
    </xf>
    <xf numFmtId="0" fontId="13" fillId="7" borderId="35" xfId="0" applyFont="1" applyFill="1" applyBorder="1" applyAlignment="1">
      <alignment horizontal="center" vertical="center" wrapText="1"/>
    </xf>
    <xf numFmtId="0" fontId="13" fillId="6" borderId="35" xfId="0" applyFont="1" applyFill="1" applyBorder="1" applyAlignment="1">
      <alignment horizontal="center" vertical="center" wrapText="1"/>
    </xf>
    <xf numFmtId="0" fontId="9" fillId="0" borderId="0" xfId="0" applyFont="1"/>
    <xf numFmtId="0" fontId="10" fillId="5" borderId="28" xfId="0" applyFont="1" applyFill="1" applyBorder="1" applyAlignment="1">
      <alignment horizontal="left" vertical="center" wrapText="1"/>
    </xf>
    <xf numFmtId="0" fontId="10" fillId="8" borderId="26" xfId="0" applyFont="1" applyFill="1" applyBorder="1" applyAlignment="1">
      <alignment horizontal="left" vertical="center" wrapText="1"/>
    </xf>
    <xf numFmtId="0" fontId="24" fillId="0" borderId="32" xfId="0" applyFont="1" applyBorder="1" applyAlignment="1">
      <alignment horizontal="left" vertical="center" wrapText="1"/>
    </xf>
    <xf numFmtId="0" fontId="10" fillId="6" borderId="22" xfId="0" applyFont="1" applyFill="1" applyBorder="1" applyAlignment="1">
      <alignment vertical="center" wrapText="1"/>
    </xf>
    <xf numFmtId="0" fontId="14" fillId="6" borderId="45" xfId="0" applyFont="1" applyFill="1" applyBorder="1" applyAlignment="1">
      <alignment horizontal="center" vertical="center" wrapText="1"/>
    </xf>
    <xf numFmtId="0" fontId="14" fillId="6" borderId="22" xfId="0" applyFont="1" applyFill="1" applyBorder="1" applyAlignment="1">
      <alignment horizontal="center" vertical="center" wrapText="1"/>
    </xf>
    <xf numFmtId="0" fontId="14" fillId="6" borderId="41" xfId="0" applyFont="1" applyFill="1" applyBorder="1" applyAlignment="1">
      <alignment horizontal="center" vertical="center" wrapText="1"/>
    </xf>
    <xf numFmtId="0" fontId="14" fillId="6" borderId="46" xfId="0" applyFont="1" applyFill="1" applyBorder="1" applyAlignment="1">
      <alignment horizontal="center" vertical="center" wrapText="1"/>
    </xf>
    <xf numFmtId="0" fontId="14" fillId="6" borderId="42" xfId="0" applyFont="1" applyFill="1" applyBorder="1" applyAlignment="1">
      <alignment horizontal="center" vertical="center" wrapText="1"/>
    </xf>
    <xf numFmtId="0" fontId="14" fillId="6" borderId="43" xfId="0" applyFont="1" applyFill="1" applyBorder="1" applyAlignment="1">
      <alignment horizontal="center" vertical="center" wrapText="1"/>
    </xf>
    <xf numFmtId="0" fontId="20" fillId="5" borderId="47" xfId="0" applyFont="1" applyFill="1" applyBorder="1" applyAlignment="1">
      <alignment vertical="center" wrapText="1"/>
    </xf>
    <xf numFmtId="0" fontId="14" fillId="6" borderId="19" xfId="0" applyFont="1" applyFill="1" applyBorder="1" applyAlignment="1">
      <alignment horizontal="center" vertical="center" wrapText="1"/>
    </xf>
    <xf numFmtId="0" fontId="22" fillId="8" borderId="8" xfId="0" applyFont="1" applyFill="1" applyBorder="1" applyAlignment="1">
      <alignment horizontal="center"/>
    </xf>
    <xf numFmtId="0" fontId="26" fillId="0" borderId="25" xfId="0" applyFont="1" applyBorder="1" applyAlignment="1">
      <alignment horizontal="center" vertical="center" wrapText="1"/>
    </xf>
    <xf numFmtId="0" fontId="26" fillId="7" borderId="26" xfId="0" applyFont="1" applyFill="1" applyBorder="1" applyAlignment="1">
      <alignment horizontal="center" vertical="center" wrapText="1"/>
    </xf>
    <xf numFmtId="0" fontId="27" fillId="10" borderId="26" xfId="0" applyFont="1" applyFill="1" applyBorder="1" applyAlignment="1">
      <alignment horizontal="center" vertical="center" wrapText="1"/>
    </xf>
    <xf numFmtId="0" fontId="6" fillId="10" borderId="26" xfId="0" applyFont="1" applyFill="1" applyBorder="1" applyAlignment="1">
      <alignment horizontal="center" vertical="center" wrapText="1"/>
    </xf>
    <xf numFmtId="0" fontId="7" fillId="3" borderId="40" xfId="0" applyFont="1" applyFill="1" applyBorder="1" applyAlignment="1">
      <alignment vertical="center" textRotation="255"/>
    </xf>
    <xf numFmtId="0" fontId="12" fillId="2" borderId="60" xfId="0" applyFont="1" applyFill="1" applyBorder="1" applyAlignment="1">
      <alignment vertical="center" textRotation="255"/>
    </xf>
    <xf numFmtId="0" fontId="13" fillId="2" borderId="30" xfId="0" applyFont="1" applyFill="1" applyBorder="1" applyAlignment="1">
      <alignment horizontal="center" vertical="center" wrapText="1"/>
    </xf>
    <xf numFmtId="0" fontId="18" fillId="8" borderId="19" xfId="0" applyFont="1" applyFill="1" applyBorder="1" applyAlignment="1">
      <alignment horizontal="left" vertical="center" wrapText="1"/>
    </xf>
    <xf numFmtId="0" fontId="14" fillId="0" borderId="22" xfId="0" applyFont="1" applyBorder="1" applyAlignment="1">
      <alignment horizontal="left" vertical="center" wrapText="1"/>
    </xf>
    <xf numFmtId="0" fontId="14" fillId="0" borderId="24" xfId="0" applyFont="1" applyBorder="1" applyAlignment="1">
      <alignment horizontal="left" vertical="center" wrapText="1"/>
    </xf>
    <xf numFmtId="0" fontId="14" fillId="6" borderId="26" xfId="0" applyFont="1" applyFill="1" applyBorder="1" applyAlignment="1">
      <alignment horizontal="center" vertical="center" wrapText="1"/>
    </xf>
    <xf numFmtId="0" fontId="14" fillId="0" borderId="21" xfId="0" applyFont="1" applyBorder="1" applyAlignment="1">
      <alignment horizontal="left" vertical="center" wrapText="1"/>
    </xf>
    <xf numFmtId="0" fontId="28" fillId="0" borderId="50" xfId="0" applyFont="1" applyBorder="1"/>
    <xf numFmtId="0" fontId="14" fillId="0" borderId="63" xfId="0" applyFont="1" applyBorder="1" applyAlignment="1">
      <alignment horizontal="center" vertical="center" wrapText="1"/>
    </xf>
    <xf numFmtId="0" fontId="14" fillId="6" borderId="64" xfId="0" applyFont="1" applyFill="1" applyBorder="1" applyAlignment="1">
      <alignment horizontal="center" vertical="center" wrapText="1"/>
    </xf>
    <xf numFmtId="0" fontId="14" fillId="6" borderId="65" xfId="0" applyFont="1" applyFill="1" applyBorder="1" applyAlignment="1">
      <alignment horizontal="center" vertical="center" wrapText="1"/>
    </xf>
    <xf numFmtId="0" fontId="21" fillId="8" borderId="28" xfId="0" applyFont="1" applyFill="1" applyBorder="1"/>
    <xf numFmtId="0" fontId="17" fillId="6" borderId="8" xfId="0" applyFont="1" applyFill="1" applyBorder="1" applyAlignment="1">
      <alignment vertical="center" wrapText="1"/>
    </xf>
    <xf numFmtId="0" fontId="29" fillId="6" borderId="40" xfId="0" applyFont="1" applyFill="1" applyBorder="1" applyAlignment="1">
      <alignment vertical="center" wrapText="1"/>
    </xf>
    <xf numFmtId="0" fontId="29" fillId="6" borderId="22" xfId="0" applyFont="1" applyFill="1" applyBorder="1" applyAlignment="1">
      <alignment vertical="center" wrapText="1"/>
    </xf>
    <xf numFmtId="0" fontId="10" fillId="5" borderId="66" xfId="0" applyFont="1" applyFill="1" applyBorder="1" applyAlignment="1">
      <alignment horizontal="left" vertical="center" wrapText="1"/>
    </xf>
    <xf numFmtId="0" fontId="13" fillId="7" borderId="26" xfId="0" applyFont="1" applyFill="1" applyBorder="1" applyAlignment="1">
      <alignment horizontal="center" vertical="center" wrapText="1"/>
    </xf>
    <xf numFmtId="0" fontId="16" fillId="6" borderId="22" xfId="0" applyFont="1" applyFill="1" applyBorder="1" applyAlignment="1">
      <alignment vertical="center" wrapText="1"/>
    </xf>
    <xf numFmtId="0" fontId="30" fillId="6" borderId="22" xfId="0" applyFont="1" applyFill="1" applyBorder="1" applyAlignment="1">
      <alignment horizontal="center" vertical="center" wrapText="1"/>
    </xf>
    <xf numFmtId="0" fontId="30" fillId="9" borderId="42" xfId="0" applyFont="1" applyFill="1" applyBorder="1" applyAlignment="1">
      <alignment horizontal="center" vertical="center" wrapText="1"/>
    </xf>
    <xf numFmtId="0" fontId="30" fillId="9" borderId="43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0" fillId="9" borderId="35" xfId="0" applyFont="1" applyFill="1" applyBorder="1" applyAlignment="1">
      <alignment horizontal="center" vertical="center" wrapText="1"/>
    </xf>
    <xf numFmtId="0" fontId="16" fillId="0" borderId="8" xfId="0" applyFont="1" applyBorder="1" applyAlignment="1">
      <alignment horizontal="left" vertical="center" wrapText="1"/>
    </xf>
    <xf numFmtId="0" fontId="31" fillId="6" borderId="67" xfId="0" applyFont="1" applyFill="1" applyBorder="1" applyAlignment="1">
      <alignment horizontal="center" vertical="center" wrapText="1"/>
    </xf>
    <xf numFmtId="0" fontId="31" fillId="6" borderId="38" xfId="0" applyFont="1" applyFill="1" applyBorder="1" applyAlignment="1">
      <alignment horizontal="center" vertical="center" wrapText="1"/>
    </xf>
    <xf numFmtId="0" fontId="31" fillId="6" borderId="68" xfId="0" applyFont="1" applyFill="1" applyBorder="1" applyAlignment="1">
      <alignment horizontal="center" vertical="center" wrapText="1"/>
    </xf>
    <xf numFmtId="0" fontId="10" fillId="9" borderId="28" xfId="0" applyFont="1" applyFill="1" applyBorder="1" applyAlignment="1">
      <alignment horizontal="center" vertical="center" wrapText="1"/>
    </xf>
    <xf numFmtId="0" fontId="15" fillId="6" borderId="67" xfId="0" applyFont="1" applyFill="1" applyBorder="1" applyAlignment="1">
      <alignment vertical="center" wrapText="1"/>
    </xf>
    <xf numFmtId="0" fontId="30" fillId="9" borderId="38" xfId="0" applyFont="1" applyFill="1" applyBorder="1" applyAlignment="1">
      <alignment horizontal="center" vertical="center" wrapText="1"/>
    </xf>
    <xf numFmtId="0" fontId="30" fillId="9" borderId="26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/>
    </xf>
    <xf numFmtId="0" fontId="3" fillId="0" borderId="49" xfId="0" applyFont="1" applyBorder="1"/>
    <xf numFmtId="0" fontId="3" fillId="0" borderId="57" xfId="0" applyFont="1" applyBorder="1"/>
    <xf numFmtId="0" fontId="3" fillId="0" borderId="32" xfId="0" applyFont="1" applyBorder="1"/>
    <xf numFmtId="0" fontId="3" fillId="0" borderId="50" xfId="0" applyFont="1" applyBorder="1"/>
    <xf numFmtId="0" fontId="3" fillId="0" borderId="25" xfId="0" applyFont="1" applyBorder="1"/>
    <xf numFmtId="0" fontId="13" fillId="5" borderId="61" xfId="0" applyFont="1" applyFill="1" applyBorder="1" applyAlignment="1">
      <alignment horizontal="center" vertical="center" wrapText="1"/>
    </xf>
    <xf numFmtId="0" fontId="3" fillId="0" borderId="23" xfId="0" applyFont="1" applyBorder="1"/>
    <xf numFmtId="0" fontId="3" fillId="0" borderId="62" xfId="0" applyFont="1" applyBorder="1"/>
    <xf numFmtId="0" fontId="13" fillId="5" borderId="29" xfId="0" applyFont="1" applyFill="1" applyBorder="1" applyAlignment="1">
      <alignment horizontal="center" vertical="center" wrapText="1"/>
    </xf>
    <xf numFmtId="0" fontId="3" fillId="0" borderId="31" xfId="0" applyFont="1" applyBorder="1"/>
    <xf numFmtId="0" fontId="3" fillId="0" borderId="39" xfId="0" applyFont="1" applyBorder="1"/>
    <xf numFmtId="0" fontId="3" fillId="0" borderId="33" xfId="0" applyFont="1" applyBorder="1"/>
    <xf numFmtId="0" fontId="17" fillId="5" borderId="18" xfId="0" applyFont="1" applyFill="1" applyBorder="1" applyAlignment="1">
      <alignment horizontal="center" vertical="center" wrapText="1"/>
    </xf>
    <xf numFmtId="0" fontId="3" fillId="0" borderId="21" xfId="0" applyFont="1" applyBorder="1"/>
    <xf numFmtId="0" fontId="3" fillId="0" borderId="24" xfId="0" applyFont="1" applyBorder="1"/>
    <xf numFmtId="0" fontId="20" fillId="5" borderId="61" xfId="0" applyFont="1" applyFill="1" applyBorder="1" applyAlignment="1">
      <alignment horizontal="center" vertical="center" wrapText="1"/>
    </xf>
    <xf numFmtId="0" fontId="3" fillId="0" borderId="27" xfId="0" applyFont="1" applyBorder="1"/>
    <xf numFmtId="0" fontId="13" fillId="10" borderId="51" xfId="0" applyFont="1" applyFill="1" applyBorder="1" applyAlignment="1">
      <alignment horizontal="center" vertical="center" wrapText="1"/>
    </xf>
    <xf numFmtId="0" fontId="3" fillId="0" borderId="52" xfId="0" applyFont="1" applyBorder="1"/>
    <xf numFmtId="0" fontId="25" fillId="10" borderId="53" xfId="0" applyFont="1" applyFill="1" applyBorder="1" applyAlignment="1">
      <alignment horizontal="center" vertical="center" wrapText="1"/>
    </xf>
    <xf numFmtId="0" fontId="13" fillId="10" borderId="53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3" fillId="0" borderId="16" xfId="0" applyFont="1" applyBorder="1"/>
    <xf numFmtId="0" fontId="13" fillId="10" borderId="12" xfId="0" applyFont="1" applyFill="1" applyBorder="1" applyAlignment="1">
      <alignment horizontal="center" vertical="center" wrapText="1"/>
    </xf>
    <xf numFmtId="0" fontId="13" fillId="10" borderId="48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14" xfId="0" applyFont="1" applyBorder="1"/>
    <xf numFmtId="0" fontId="3" fillId="0" borderId="15" xfId="0" applyFont="1" applyBorder="1"/>
    <xf numFmtId="0" fontId="2" fillId="2" borderId="3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5" xfId="0" applyFont="1" applyBorder="1"/>
    <xf numFmtId="0" fontId="8" fillId="4" borderId="9" xfId="0" applyFont="1" applyFill="1" applyBorder="1" applyAlignment="1">
      <alignment horizontal="center" vertical="center"/>
    </xf>
    <xf numFmtId="0" fontId="3" fillId="0" borderId="10" xfId="0" applyFont="1" applyBorder="1"/>
    <xf numFmtId="0" fontId="3" fillId="0" borderId="11" xfId="0" applyFont="1" applyBorder="1"/>
    <xf numFmtId="0" fontId="8" fillId="3" borderId="9" xfId="0" applyFont="1" applyFill="1" applyBorder="1" applyAlignment="1">
      <alignment horizontal="center" vertical="center"/>
    </xf>
    <xf numFmtId="0" fontId="13" fillId="5" borderId="20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/>
    </xf>
    <xf numFmtId="0" fontId="3" fillId="0" borderId="55" xfId="0" applyFont="1" applyBorder="1"/>
    <xf numFmtId="0" fontId="3" fillId="0" borderId="56" xfId="0" applyFont="1" applyBorder="1"/>
    <xf numFmtId="0" fontId="8" fillId="4" borderId="58" xfId="0" applyFont="1" applyFill="1" applyBorder="1" applyAlignment="1">
      <alignment horizontal="center" vertical="center"/>
    </xf>
    <xf numFmtId="0" fontId="3" fillId="0" borderId="13" xfId="0" applyFont="1" applyBorder="1"/>
    <xf numFmtId="0" fontId="3" fillId="0" borderId="59" xfId="0" applyFont="1" applyBorder="1"/>
    <xf numFmtId="0" fontId="8" fillId="3" borderId="58" xfId="0" applyFont="1" applyFill="1" applyBorder="1" applyAlignment="1">
      <alignment horizontal="center" vertical="center"/>
    </xf>
    <xf numFmtId="0" fontId="6" fillId="0" borderId="69" xfId="0" applyFont="1" applyBorder="1" applyAlignment="1">
      <alignment horizontal="center" vertical="center" wrapText="1"/>
    </xf>
    <xf numFmtId="0" fontId="4" fillId="0" borderId="69" xfId="0" applyFont="1" applyBorder="1" applyAlignment="1">
      <alignment horizontal="left" vertical="center" wrapText="1"/>
    </xf>
    <xf numFmtId="164" fontId="4" fillId="0" borderId="69" xfId="0" applyNumberFormat="1" applyFont="1" applyBorder="1" applyAlignment="1">
      <alignment horizontal="left" vertical="center" wrapText="1"/>
    </xf>
    <xf numFmtId="165" fontId="4" fillId="0" borderId="69" xfId="0" applyNumberFormat="1" applyFont="1" applyBorder="1" applyAlignment="1">
      <alignment horizontal="left" vertical="center" wrapText="1"/>
    </xf>
    <xf numFmtId="0" fontId="1" fillId="0" borderId="70" xfId="0" applyFont="1" applyBorder="1" applyAlignment="1">
      <alignment horizontal="center"/>
    </xf>
    <xf numFmtId="0" fontId="1" fillId="0" borderId="71" xfId="0" applyFont="1" applyBorder="1" applyAlignment="1">
      <alignment horizontal="center"/>
    </xf>
    <xf numFmtId="0" fontId="1" fillId="0" borderId="72" xfId="0" applyFont="1" applyBorder="1" applyAlignment="1">
      <alignment horizontal="center"/>
    </xf>
    <xf numFmtId="0" fontId="4" fillId="0" borderId="7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74" xfId="0" applyFont="1" applyBorder="1" applyAlignment="1">
      <alignment horizontal="center"/>
    </xf>
    <xf numFmtId="0" fontId="33" fillId="0" borderId="7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74" xfId="0" applyFont="1" applyBorder="1" applyAlignment="1">
      <alignment horizontal="center"/>
    </xf>
    <xf numFmtId="0" fontId="0" fillId="0" borderId="73" xfId="0" applyBorder="1"/>
    <xf numFmtId="0" fontId="0" fillId="0" borderId="14" xfId="0" applyBorder="1"/>
    <xf numFmtId="0" fontId="0" fillId="0" borderId="74" xfId="0" applyBorder="1"/>
    <xf numFmtId="0" fontId="6" fillId="0" borderId="75" xfId="0" applyFont="1" applyBorder="1" applyAlignment="1">
      <alignment horizontal="center" vertical="center" wrapText="1"/>
    </xf>
    <xf numFmtId="0" fontId="6" fillId="0" borderId="76" xfId="0" applyFont="1" applyBorder="1" applyAlignment="1">
      <alignment horizontal="center" vertical="center" wrapText="1"/>
    </xf>
    <xf numFmtId="0" fontId="6" fillId="0" borderId="75" xfId="0" applyFont="1" applyBorder="1" applyAlignment="1">
      <alignment horizontal="left" vertical="center" wrapText="1"/>
    </xf>
    <xf numFmtId="164" fontId="4" fillId="0" borderId="76" xfId="0" applyNumberFormat="1" applyFont="1" applyBorder="1" applyAlignment="1">
      <alignment horizontal="left" vertical="center" wrapText="1"/>
    </xf>
    <xf numFmtId="165" fontId="4" fillId="0" borderId="76" xfId="0" applyNumberFormat="1" applyFont="1" applyBorder="1" applyAlignment="1">
      <alignment horizontal="left" vertical="center" wrapText="1"/>
    </xf>
    <xf numFmtId="0" fontId="6" fillId="0" borderId="77" xfId="0" applyFont="1" applyBorder="1" applyAlignment="1">
      <alignment horizontal="left" vertical="center" wrapText="1"/>
    </xf>
    <xf numFmtId="0" fontId="4" fillId="0" borderId="78" xfId="0" applyFont="1" applyBorder="1" applyAlignment="1">
      <alignment horizontal="left" vertical="center" wrapText="1"/>
    </xf>
    <xf numFmtId="165" fontId="4" fillId="0" borderId="78" xfId="0" applyNumberFormat="1" applyFont="1" applyBorder="1" applyAlignment="1">
      <alignment horizontal="left" vertical="center" wrapText="1"/>
    </xf>
    <xf numFmtId="165" fontId="4" fillId="0" borderId="79" xfId="0" applyNumberFormat="1" applyFont="1" applyBorder="1" applyAlignment="1">
      <alignment horizontal="left" vertical="center" wrapText="1"/>
    </xf>
    <xf numFmtId="0" fontId="34" fillId="0" borderId="0" xfId="0" applyFont="1"/>
    <xf numFmtId="165" fontId="35" fillId="0" borderId="69" xfId="0" applyNumberFormat="1" applyFont="1" applyBorder="1" applyAlignment="1">
      <alignment horizontal="left" vertical="center" wrapText="1"/>
    </xf>
    <xf numFmtId="165" fontId="36" fillId="0" borderId="69" xfId="0" applyNumberFormat="1" applyFont="1" applyBorder="1" applyAlignment="1">
      <alignment horizontal="left" vertical="center" wrapText="1"/>
    </xf>
    <xf numFmtId="0" fontId="37" fillId="0" borderId="0" xfId="0" applyFont="1"/>
    <xf numFmtId="0" fontId="16" fillId="11" borderId="24" xfId="0" applyFont="1" applyFill="1" applyBorder="1" applyAlignment="1">
      <alignment horizontal="left" vertical="center" wrapText="1"/>
    </xf>
    <xf numFmtId="0" fontId="16" fillId="12" borderId="25" xfId="0" applyFont="1" applyFill="1" applyBorder="1" applyAlignment="1">
      <alignment horizontal="left" vertical="center" wrapText="1"/>
    </xf>
    <xf numFmtId="0" fontId="14" fillId="12" borderId="2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98"/>
  <sheetViews>
    <sheetView tabSelected="1" workbookViewId="0">
      <selection activeCell="B41" sqref="B41:C41"/>
    </sheetView>
  </sheetViews>
  <sheetFormatPr baseColWidth="10" defaultColWidth="14.5" defaultRowHeight="15"/>
  <cols>
    <col min="1" max="1" width="41.1640625" customWidth="1"/>
    <col min="2" max="2" width="29.6640625" customWidth="1"/>
    <col min="3" max="14" width="4.1640625" customWidth="1"/>
    <col min="15" max="15" width="9.5" customWidth="1"/>
    <col min="16" max="16" width="3" customWidth="1"/>
    <col min="17" max="17" width="2.83203125" customWidth="1"/>
    <col min="18" max="18" width="2.1640625" customWidth="1"/>
    <col min="19" max="33" width="7.5" hidden="1" customWidth="1"/>
    <col min="34" max="34" width="8.5" hidden="1" customWidth="1"/>
    <col min="35" max="44" width="16.5" hidden="1" customWidth="1"/>
    <col min="45" max="45" width="4.33203125" customWidth="1"/>
    <col min="46" max="50" width="3.5" customWidth="1"/>
  </cols>
  <sheetData>
    <row r="1" spans="1:45">
      <c r="A1" s="126" t="s">
        <v>1</v>
      </c>
      <c r="B1" s="127"/>
      <c r="C1" s="132" t="s">
        <v>3</v>
      </c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4"/>
    </row>
    <row r="2" spans="1:45" ht="26" thickBot="1">
      <c r="A2" s="128"/>
      <c r="B2" s="129"/>
      <c r="C2" s="1" t="s">
        <v>12</v>
      </c>
      <c r="D2" s="135" t="s">
        <v>16</v>
      </c>
      <c r="E2" s="136"/>
      <c r="F2" s="136"/>
      <c r="G2" s="136"/>
      <c r="H2" s="137"/>
      <c r="I2" s="138" t="s">
        <v>19</v>
      </c>
      <c r="J2" s="136"/>
      <c r="K2" s="136"/>
      <c r="L2" s="136"/>
      <c r="M2" s="136"/>
      <c r="N2" s="137"/>
      <c r="AS2" s="2"/>
    </row>
    <row r="3" spans="1:45" ht="21" thickBot="1">
      <c r="A3" s="130"/>
      <c r="B3" s="131"/>
      <c r="C3" s="3">
        <v>0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4" t="s">
        <v>25</v>
      </c>
      <c r="J3" s="4" t="s">
        <v>26</v>
      </c>
      <c r="K3" s="4" t="s">
        <v>27</v>
      </c>
      <c r="L3" s="4" t="s">
        <v>28</v>
      </c>
      <c r="M3" s="4">
        <v>10</v>
      </c>
      <c r="N3" s="4">
        <v>11</v>
      </c>
      <c r="P3" s="5"/>
      <c r="Q3" s="5"/>
      <c r="R3" s="5"/>
      <c r="AS3" s="2"/>
    </row>
    <row r="4" spans="1:45" ht="16" thickBot="1">
      <c r="A4" s="139" t="s">
        <v>29</v>
      </c>
      <c r="B4" s="177" t="s">
        <v>30</v>
      </c>
      <c r="C4" s="178">
        <v>3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P4" s="5"/>
      <c r="Q4" s="5"/>
      <c r="R4" s="5"/>
      <c r="AS4" s="2"/>
    </row>
    <row r="5" spans="1:45" ht="16" thickBot="1">
      <c r="A5" s="107"/>
      <c r="B5" s="7" t="s">
        <v>31</v>
      </c>
      <c r="C5" s="8">
        <v>0</v>
      </c>
      <c r="D5" s="8">
        <v>4</v>
      </c>
      <c r="E5" s="8">
        <v>4</v>
      </c>
      <c r="F5" s="8">
        <v>4</v>
      </c>
      <c r="G5" s="8">
        <v>4</v>
      </c>
      <c r="H5" s="8">
        <v>4</v>
      </c>
      <c r="I5" s="9">
        <v>4</v>
      </c>
      <c r="J5" s="9">
        <v>4</v>
      </c>
      <c r="K5" s="9">
        <v>4</v>
      </c>
      <c r="L5" s="9">
        <v>4</v>
      </c>
      <c r="M5" s="9">
        <v>0</v>
      </c>
      <c r="N5" s="10">
        <v>0</v>
      </c>
      <c r="AS5" s="2"/>
    </row>
    <row r="6" spans="1:45" ht="16" thickBot="1">
      <c r="A6" s="107"/>
      <c r="B6" s="7" t="s">
        <v>32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8">
        <v>0</v>
      </c>
      <c r="J6" s="8">
        <v>0</v>
      </c>
      <c r="K6" s="8">
        <v>0</v>
      </c>
      <c r="L6" s="8">
        <v>0</v>
      </c>
      <c r="M6" s="8">
        <v>3</v>
      </c>
      <c r="N6" s="8">
        <v>3</v>
      </c>
    </row>
    <row r="7" spans="1:45" ht="16" thickBot="1">
      <c r="A7" s="117"/>
      <c r="B7" s="176" t="s">
        <v>33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8">
        <v>0</v>
      </c>
      <c r="J7" s="8">
        <v>0</v>
      </c>
      <c r="K7" s="8">
        <v>0</v>
      </c>
      <c r="L7" s="8">
        <v>0</v>
      </c>
      <c r="M7" s="8">
        <v>3</v>
      </c>
      <c r="N7" s="8">
        <v>3</v>
      </c>
    </row>
    <row r="8" spans="1:45">
      <c r="A8" s="11"/>
      <c r="B8" s="12" t="s">
        <v>34</v>
      </c>
      <c r="C8" s="13">
        <f>SUM(C4:C7)</f>
        <v>3</v>
      </c>
      <c r="D8" s="13">
        <f t="shared" ref="D8:N8" si="0">SUM(D4:D7)</f>
        <v>4</v>
      </c>
      <c r="E8" s="13">
        <f t="shared" si="0"/>
        <v>4</v>
      </c>
      <c r="F8" s="13">
        <f t="shared" si="0"/>
        <v>4</v>
      </c>
      <c r="G8" s="13">
        <f t="shared" si="0"/>
        <v>4</v>
      </c>
      <c r="H8" s="13">
        <f t="shared" si="0"/>
        <v>4</v>
      </c>
      <c r="I8" s="13">
        <f t="shared" si="0"/>
        <v>4</v>
      </c>
      <c r="J8" s="13">
        <f t="shared" si="0"/>
        <v>4</v>
      </c>
      <c r="K8" s="13">
        <f t="shared" si="0"/>
        <v>4</v>
      </c>
      <c r="L8" s="13">
        <f t="shared" si="0"/>
        <v>4</v>
      </c>
      <c r="M8" s="13">
        <f t="shared" si="0"/>
        <v>6</v>
      </c>
      <c r="N8" s="13">
        <f t="shared" si="0"/>
        <v>6</v>
      </c>
      <c r="AS8" s="2"/>
    </row>
    <row r="9" spans="1:45" ht="16" thickBot="1">
      <c r="A9" s="109" t="s">
        <v>35</v>
      </c>
      <c r="B9" s="177" t="s">
        <v>36</v>
      </c>
      <c r="C9" s="178">
        <v>6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AS9" s="2"/>
    </row>
    <row r="10" spans="1:45" ht="16" thickBot="1">
      <c r="A10" s="110"/>
      <c r="B10" s="14" t="s">
        <v>37</v>
      </c>
      <c r="C10" s="8">
        <v>0</v>
      </c>
      <c r="D10" s="8">
        <v>5</v>
      </c>
      <c r="E10" s="8">
        <v>5</v>
      </c>
      <c r="F10" s="8">
        <v>5</v>
      </c>
      <c r="G10" s="8">
        <v>4</v>
      </c>
      <c r="H10" s="8">
        <v>4</v>
      </c>
      <c r="I10" s="8">
        <v>4</v>
      </c>
      <c r="J10" s="8">
        <v>4</v>
      </c>
      <c r="K10" s="8">
        <v>4</v>
      </c>
      <c r="L10" s="8">
        <v>4</v>
      </c>
      <c r="M10" s="8">
        <v>3</v>
      </c>
      <c r="N10" s="8">
        <v>3</v>
      </c>
      <c r="AS10" s="2"/>
    </row>
    <row r="11" spans="1:45" ht="16" thickBot="1">
      <c r="A11" s="110"/>
      <c r="B11" s="14" t="s">
        <v>38</v>
      </c>
      <c r="C11" s="8">
        <v>3</v>
      </c>
      <c r="D11" s="8">
        <v>4</v>
      </c>
      <c r="E11" s="8">
        <v>4</v>
      </c>
      <c r="F11" s="8">
        <v>4</v>
      </c>
      <c r="G11" s="8">
        <v>4</v>
      </c>
      <c r="H11" s="8">
        <v>4</v>
      </c>
      <c r="I11" s="8">
        <v>4</v>
      </c>
      <c r="J11" s="8">
        <v>4</v>
      </c>
      <c r="K11" s="8">
        <v>4</v>
      </c>
      <c r="L11" s="8">
        <v>4</v>
      </c>
      <c r="M11" s="8">
        <v>5</v>
      </c>
      <c r="N11" s="8">
        <v>5</v>
      </c>
      <c r="AS11" s="2"/>
    </row>
    <row r="12" spans="1:45" ht="16" thickBot="1">
      <c r="A12" s="110"/>
      <c r="B12" s="14" t="s">
        <v>39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15">
        <v>2</v>
      </c>
      <c r="N12" s="15">
        <v>2</v>
      </c>
      <c r="AS12" s="2"/>
    </row>
    <row r="13" spans="1:45" ht="16" thickBot="1">
      <c r="A13" s="110"/>
      <c r="B13" s="14" t="s">
        <v>40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15">
        <v>2</v>
      </c>
      <c r="N13" s="8">
        <v>0</v>
      </c>
      <c r="AS13" s="2"/>
    </row>
    <row r="14" spans="1:45" ht="16" thickBot="1">
      <c r="A14" s="112"/>
      <c r="B14" s="16" t="s">
        <v>41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8">
        <v>0</v>
      </c>
      <c r="N14" s="19">
        <v>2</v>
      </c>
      <c r="AS14" s="2"/>
    </row>
    <row r="15" spans="1:45" ht="17" thickTop="1" thickBot="1">
      <c r="A15" s="11"/>
      <c r="B15" s="20" t="s">
        <v>34</v>
      </c>
      <c r="C15" s="21">
        <f>SUM(C9:C14)</f>
        <v>9</v>
      </c>
      <c r="D15" s="21">
        <f t="shared" ref="D15:N15" si="1">SUM(D9:D14)</f>
        <v>9</v>
      </c>
      <c r="E15" s="21">
        <f t="shared" si="1"/>
        <v>9</v>
      </c>
      <c r="F15" s="21">
        <f t="shared" si="1"/>
        <v>9</v>
      </c>
      <c r="G15" s="21">
        <f t="shared" si="1"/>
        <v>8</v>
      </c>
      <c r="H15" s="21">
        <f t="shared" si="1"/>
        <v>8</v>
      </c>
      <c r="I15" s="21">
        <f t="shared" si="1"/>
        <v>8</v>
      </c>
      <c r="J15" s="21">
        <f t="shared" si="1"/>
        <v>8</v>
      </c>
      <c r="K15" s="21">
        <f t="shared" si="1"/>
        <v>8</v>
      </c>
      <c r="L15" s="21">
        <f t="shared" si="1"/>
        <v>8</v>
      </c>
      <c r="M15" s="21">
        <f t="shared" si="1"/>
        <v>12</v>
      </c>
      <c r="N15" s="21">
        <f t="shared" si="1"/>
        <v>12</v>
      </c>
      <c r="AS15" s="2"/>
    </row>
    <row r="16" spans="1:45" ht="16" thickBot="1">
      <c r="A16" s="109" t="s">
        <v>42</v>
      </c>
      <c r="B16" s="177" t="s">
        <v>43</v>
      </c>
      <c r="C16" s="178">
        <v>2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AS16" s="2"/>
    </row>
    <row r="17" spans="1:45" ht="16" thickBot="1">
      <c r="A17" s="110"/>
      <c r="B17" s="22" t="s">
        <v>44</v>
      </c>
      <c r="C17" s="8">
        <v>0</v>
      </c>
      <c r="D17" s="15">
        <v>1</v>
      </c>
      <c r="E17" s="15">
        <v>1</v>
      </c>
      <c r="F17" s="15">
        <v>1</v>
      </c>
      <c r="G17" s="15">
        <v>2</v>
      </c>
      <c r="H17" s="15">
        <v>2</v>
      </c>
      <c r="I17" s="15">
        <v>2</v>
      </c>
      <c r="J17" s="15">
        <v>2</v>
      </c>
      <c r="K17" s="15">
        <v>2</v>
      </c>
      <c r="L17" s="15">
        <v>2</v>
      </c>
      <c r="M17" s="8">
        <v>0</v>
      </c>
      <c r="N17" s="8">
        <v>0</v>
      </c>
      <c r="AS17" s="2"/>
    </row>
    <row r="18" spans="1:45" ht="16" thickBot="1">
      <c r="A18" s="110"/>
      <c r="B18" s="22" t="s">
        <v>45</v>
      </c>
      <c r="C18" s="8">
        <v>0</v>
      </c>
      <c r="D18" s="8">
        <v>2</v>
      </c>
      <c r="E18" s="8">
        <v>2</v>
      </c>
      <c r="F18" s="8">
        <v>2</v>
      </c>
      <c r="G18" s="8">
        <v>2</v>
      </c>
      <c r="H18" s="8">
        <v>2</v>
      </c>
      <c r="I18" s="8">
        <v>2</v>
      </c>
      <c r="J18" s="8">
        <v>2</v>
      </c>
      <c r="K18" s="8">
        <v>2</v>
      </c>
      <c r="L18" s="8">
        <v>2</v>
      </c>
      <c r="M18" s="8">
        <v>0</v>
      </c>
      <c r="N18" s="8">
        <v>0</v>
      </c>
      <c r="AS18" s="2"/>
    </row>
    <row r="19" spans="1:45" ht="16" thickBot="1">
      <c r="A19" s="110"/>
      <c r="B19" s="24" t="s">
        <v>46</v>
      </c>
      <c r="C19" s="25">
        <v>0</v>
      </c>
      <c r="D19" s="25">
        <v>1</v>
      </c>
      <c r="E19" s="25">
        <v>1</v>
      </c>
      <c r="F19" s="25">
        <v>1</v>
      </c>
      <c r="G19" s="25">
        <v>1</v>
      </c>
      <c r="H19" s="25">
        <v>1</v>
      </c>
      <c r="I19" s="25">
        <v>1</v>
      </c>
      <c r="J19" s="25">
        <v>1</v>
      </c>
      <c r="K19" s="25">
        <v>1</v>
      </c>
      <c r="L19" s="25">
        <v>1</v>
      </c>
      <c r="M19" s="25">
        <v>0</v>
      </c>
      <c r="N19" s="25">
        <v>0</v>
      </c>
      <c r="AS19" s="2"/>
    </row>
    <row r="20" spans="1:45" ht="16" thickBot="1">
      <c r="A20" s="110"/>
      <c r="B20" s="26" t="s">
        <v>47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27">
        <v>2</v>
      </c>
      <c r="N20" s="27">
        <v>2</v>
      </c>
      <c r="AS20" s="2"/>
    </row>
    <row r="21" spans="1:45">
      <c r="A21" s="112"/>
      <c r="B21" s="28"/>
      <c r="C21" s="29">
        <f>SUM(C16:C20)</f>
        <v>2</v>
      </c>
      <c r="D21" s="29">
        <f t="shared" ref="D21:N21" si="2">SUM(D16:D20)</f>
        <v>4</v>
      </c>
      <c r="E21" s="29">
        <f t="shared" si="2"/>
        <v>4</v>
      </c>
      <c r="F21" s="29">
        <f t="shared" si="2"/>
        <v>4</v>
      </c>
      <c r="G21" s="29">
        <f t="shared" si="2"/>
        <v>5</v>
      </c>
      <c r="H21" s="29">
        <f t="shared" si="2"/>
        <v>5</v>
      </c>
      <c r="I21" s="29">
        <f t="shared" si="2"/>
        <v>5</v>
      </c>
      <c r="J21" s="29">
        <f t="shared" si="2"/>
        <v>5</v>
      </c>
      <c r="K21" s="29">
        <f t="shared" si="2"/>
        <v>5</v>
      </c>
      <c r="L21" s="29">
        <f t="shared" si="2"/>
        <v>5</v>
      </c>
      <c r="M21" s="29">
        <f t="shared" si="2"/>
        <v>2</v>
      </c>
      <c r="N21" s="29">
        <f t="shared" si="2"/>
        <v>2</v>
      </c>
      <c r="AS21" s="2"/>
    </row>
    <row r="22" spans="1:45">
      <c r="A22" s="109" t="s">
        <v>48</v>
      </c>
      <c r="B22" s="30"/>
      <c r="C22" s="31">
        <v>2</v>
      </c>
      <c r="D22" s="31">
        <v>2</v>
      </c>
      <c r="E22" s="31">
        <v>2</v>
      </c>
      <c r="F22" s="31">
        <v>2</v>
      </c>
      <c r="G22" s="31">
        <v>2</v>
      </c>
      <c r="H22" s="31">
        <v>2</v>
      </c>
      <c r="I22" s="31">
        <v>2</v>
      </c>
      <c r="J22" s="31">
        <v>2</v>
      </c>
      <c r="K22" s="31">
        <v>2</v>
      </c>
      <c r="L22" s="31">
        <v>2</v>
      </c>
      <c r="M22" s="31">
        <v>2</v>
      </c>
      <c r="N22" s="31">
        <v>2</v>
      </c>
      <c r="AS22" s="2"/>
    </row>
    <row r="23" spans="1:45" ht="16" thickBot="1">
      <c r="A23" s="112"/>
      <c r="B23" s="20" t="s">
        <v>34</v>
      </c>
      <c r="C23" s="32">
        <f>SUM(C22)</f>
        <v>2</v>
      </c>
      <c r="D23" s="32">
        <f t="shared" ref="D23:N23" si="3">SUM(D22)</f>
        <v>2</v>
      </c>
      <c r="E23" s="32">
        <f t="shared" si="3"/>
        <v>2</v>
      </c>
      <c r="F23" s="32">
        <f t="shared" si="3"/>
        <v>2</v>
      </c>
      <c r="G23" s="32">
        <f t="shared" si="3"/>
        <v>2</v>
      </c>
      <c r="H23" s="32">
        <f t="shared" si="3"/>
        <v>2</v>
      </c>
      <c r="I23" s="32">
        <f t="shared" si="3"/>
        <v>2</v>
      </c>
      <c r="J23" s="32">
        <f t="shared" si="3"/>
        <v>2</v>
      </c>
      <c r="K23" s="32">
        <f t="shared" si="3"/>
        <v>2</v>
      </c>
      <c r="L23" s="32">
        <f t="shared" si="3"/>
        <v>2</v>
      </c>
      <c r="M23" s="32">
        <f t="shared" si="3"/>
        <v>2</v>
      </c>
      <c r="N23" s="32">
        <f t="shared" si="3"/>
        <v>2</v>
      </c>
      <c r="AS23" s="2"/>
    </row>
    <row r="24" spans="1:45" ht="16" thickBot="1">
      <c r="A24" s="109" t="s">
        <v>49</v>
      </c>
      <c r="B24" s="177" t="s">
        <v>50</v>
      </c>
      <c r="C24" s="178">
        <v>2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AS24" s="2"/>
    </row>
    <row r="25" spans="1:45" ht="16" thickBot="1">
      <c r="A25" s="110"/>
      <c r="B25" s="24" t="s">
        <v>51</v>
      </c>
      <c r="C25" s="25">
        <v>0</v>
      </c>
      <c r="D25" s="25">
        <v>2</v>
      </c>
      <c r="E25" s="25">
        <v>2</v>
      </c>
      <c r="F25" s="25">
        <v>2</v>
      </c>
      <c r="G25" s="25">
        <v>2</v>
      </c>
      <c r="H25" s="25">
        <v>2</v>
      </c>
      <c r="I25" s="25">
        <v>2</v>
      </c>
      <c r="J25" s="25">
        <v>2</v>
      </c>
      <c r="K25" s="25">
        <v>2</v>
      </c>
      <c r="L25" s="25">
        <v>2</v>
      </c>
      <c r="M25" s="25">
        <v>0</v>
      </c>
      <c r="N25" s="25">
        <v>0</v>
      </c>
      <c r="AS25" s="2"/>
    </row>
    <row r="26" spans="1:45" ht="16" thickBot="1">
      <c r="A26" s="110"/>
      <c r="B26" s="33" t="s">
        <v>52</v>
      </c>
      <c r="C26" s="34">
        <v>1</v>
      </c>
      <c r="D26" s="35">
        <v>1</v>
      </c>
      <c r="E26" s="36">
        <v>1</v>
      </c>
      <c r="F26" s="35">
        <v>1</v>
      </c>
      <c r="G26" s="36">
        <v>1</v>
      </c>
      <c r="H26" s="35">
        <v>1</v>
      </c>
      <c r="I26" s="36">
        <v>1</v>
      </c>
      <c r="J26" s="35">
        <v>1</v>
      </c>
      <c r="K26" s="35">
        <v>1</v>
      </c>
      <c r="L26" s="36">
        <v>1</v>
      </c>
      <c r="M26" s="35">
        <v>1</v>
      </c>
      <c r="N26" s="27">
        <v>1</v>
      </c>
      <c r="AS26" s="2"/>
    </row>
    <row r="27" spans="1:45" ht="16" thickBot="1">
      <c r="A27" s="110"/>
      <c r="B27" s="33" t="s">
        <v>53</v>
      </c>
      <c r="C27" s="34">
        <v>1</v>
      </c>
      <c r="D27" s="35">
        <v>1</v>
      </c>
      <c r="E27" s="35">
        <v>1</v>
      </c>
      <c r="F27" s="35">
        <v>1</v>
      </c>
      <c r="G27" s="36">
        <v>1</v>
      </c>
      <c r="H27" s="35">
        <v>1</v>
      </c>
      <c r="I27" s="36">
        <v>1</v>
      </c>
      <c r="J27" s="35">
        <v>1</v>
      </c>
      <c r="K27" s="36">
        <v>1</v>
      </c>
      <c r="L27" s="35">
        <v>1</v>
      </c>
      <c r="M27" s="36">
        <v>1</v>
      </c>
      <c r="N27" s="35">
        <v>1</v>
      </c>
      <c r="AS27" s="2"/>
    </row>
    <row r="28" spans="1:45" ht="16" thickBot="1">
      <c r="A28" s="111"/>
      <c r="B28" s="37"/>
      <c r="C28" s="38">
        <f>SUM(C24:C27)</f>
        <v>4</v>
      </c>
      <c r="D28" s="38">
        <f t="shared" ref="D28:N28" si="4">SUM(D24:D27)</f>
        <v>4</v>
      </c>
      <c r="E28" s="38">
        <f t="shared" si="4"/>
        <v>4</v>
      </c>
      <c r="F28" s="38">
        <f t="shared" si="4"/>
        <v>4</v>
      </c>
      <c r="G28" s="38">
        <f t="shared" si="4"/>
        <v>4</v>
      </c>
      <c r="H28" s="38">
        <f t="shared" si="4"/>
        <v>4</v>
      </c>
      <c r="I28" s="38">
        <f t="shared" si="4"/>
        <v>4</v>
      </c>
      <c r="J28" s="38">
        <f t="shared" si="4"/>
        <v>4</v>
      </c>
      <c r="K28" s="38">
        <f t="shared" si="4"/>
        <v>4</v>
      </c>
      <c r="L28" s="38">
        <f t="shared" si="4"/>
        <v>4</v>
      </c>
      <c r="M28" s="38">
        <f t="shared" si="4"/>
        <v>2</v>
      </c>
      <c r="N28" s="38">
        <f t="shared" si="4"/>
        <v>2</v>
      </c>
      <c r="AS28" s="2"/>
    </row>
    <row r="29" spans="1:45" ht="16" thickBot="1">
      <c r="A29" s="39" t="s">
        <v>54</v>
      </c>
      <c r="B29" s="40"/>
      <c r="C29" s="41">
        <v>1</v>
      </c>
      <c r="D29" s="42">
        <v>1</v>
      </c>
      <c r="E29" s="42">
        <v>1</v>
      </c>
      <c r="F29" s="42">
        <v>1</v>
      </c>
      <c r="G29" s="42">
        <v>1</v>
      </c>
      <c r="H29" s="42">
        <v>1</v>
      </c>
      <c r="I29" s="42">
        <v>1</v>
      </c>
      <c r="J29" s="42">
        <v>1</v>
      </c>
      <c r="K29" s="42">
        <v>1</v>
      </c>
      <c r="L29" s="42">
        <v>1</v>
      </c>
      <c r="M29" s="42">
        <v>1</v>
      </c>
      <c r="N29" s="43">
        <v>1</v>
      </c>
      <c r="AS29" s="2"/>
    </row>
    <row r="30" spans="1:45" ht="16" thickBot="1">
      <c r="A30" s="39" t="s">
        <v>55</v>
      </c>
      <c r="B30" s="40"/>
      <c r="C30" s="41">
        <v>3</v>
      </c>
      <c r="D30" s="42">
        <v>3</v>
      </c>
      <c r="E30" s="42">
        <v>3</v>
      </c>
      <c r="F30" s="42">
        <v>3</v>
      </c>
      <c r="G30" s="42">
        <v>3</v>
      </c>
      <c r="H30" s="42">
        <v>3</v>
      </c>
      <c r="I30" s="42">
        <v>3</v>
      </c>
      <c r="J30" s="42">
        <v>3</v>
      </c>
      <c r="K30" s="42">
        <v>3</v>
      </c>
      <c r="L30" s="42">
        <v>3</v>
      </c>
      <c r="M30" s="42">
        <v>3</v>
      </c>
      <c r="N30" s="43">
        <v>3</v>
      </c>
      <c r="AS30" s="2"/>
    </row>
    <row r="31" spans="1:45" ht="16" thickBot="1">
      <c r="A31" s="44" t="s">
        <v>56</v>
      </c>
      <c r="B31" s="45"/>
      <c r="C31" s="46">
        <v>0</v>
      </c>
      <c r="D31" s="47">
        <v>0</v>
      </c>
      <c r="E31" s="47">
        <v>0</v>
      </c>
      <c r="F31" s="47">
        <v>0</v>
      </c>
      <c r="G31" s="47">
        <v>0</v>
      </c>
      <c r="H31" s="47">
        <v>0</v>
      </c>
      <c r="I31" s="48">
        <v>0</v>
      </c>
      <c r="J31" s="48">
        <v>0</v>
      </c>
      <c r="K31" s="48">
        <v>0</v>
      </c>
      <c r="L31" s="48">
        <v>0</v>
      </c>
      <c r="M31" s="49">
        <v>2</v>
      </c>
      <c r="N31" s="49">
        <v>2</v>
      </c>
      <c r="AS31" s="2"/>
    </row>
    <row r="32" spans="1:45" ht="16" thickBot="1">
      <c r="A32" s="51"/>
      <c r="B32" s="52" t="s">
        <v>34</v>
      </c>
      <c r="C32" s="21">
        <f>SUM(C29:C31)</f>
        <v>4</v>
      </c>
      <c r="D32" s="21">
        <f t="shared" ref="D32:N32" si="5">SUM(D29:D31)</f>
        <v>4</v>
      </c>
      <c r="E32" s="21">
        <f t="shared" si="5"/>
        <v>4</v>
      </c>
      <c r="F32" s="21">
        <f t="shared" si="5"/>
        <v>4</v>
      </c>
      <c r="G32" s="21">
        <f t="shared" si="5"/>
        <v>4</v>
      </c>
      <c r="H32" s="21">
        <f t="shared" si="5"/>
        <v>4</v>
      </c>
      <c r="I32" s="21">
        <f t="shared" si="5"/>
        <v>4</v>
      </c>
      <c r="J32" s="21">
        <f t="shared" si="5"/>
        <v>4</v>
      </c>
      <c r="K32" s="21">
        <f t="shared" si="5"/>
        <v>4</v>
      </c>
      <c r="L32" s="21">
        <f t="shared" si="5"/>
        <v>4</v>
      </c>
      <c r="M32" s="21">
        <f t="shared" si="5"/>
        <v>6</v>
      </c>
      <c r="N32" s="21">
        <f t="shared" si="5"/>
        <v>6</v>
      </c>
      <c r="AS32" s="2"/>
    </row>
    <row r="33" spans="1:45" ht="16" thickBot="1">
      <c r="A33" s="109" t="s">
        <v>59</v>
      </c>
      <c r="B33" s="177" t="s">
        <v>57</v>
      </c>
      <c r="C33" s="178">
        <v>6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AS33" s="2"/>
    </row>
    <row r="34" spans="1:45" ht="16" thickBot="1">
      <c r="A34" s="110"/>
      <c r="B34" s="22" t="s">
        <v>58</v>
      </c>
      <c r="C34" s="8">
        <v>0</v>
      </c>
      <c r="D34" s="8">
        <v>4</v>
      </c>
      <c r="E34" s="8">
        <v>4</v>
      </c>
      <c r="F34" s="8">
        <v>4</v>
      </c>
      <c r="G34" s="8">
        <v>4</v>
      </c>
      <c r="H34" s="8">
        <v>4</v>
      </c>
      <c r="I34" s="8">
        <v>4</v>
      </c>
      <c r="J34" s="8">
        <v>4</v>
      </c>
      <c r="K34" s="8">
        <v>0</v>
      </c>
      <c r="L34" s="8">
        <v>0</v>
      </c>
      <c r="M34" s="8">
        <v>0</v>
      </c>
      <c r="N34" s="8">
        <v>0</v>
      </c>
      <c r="AS34" s="2"/>
    </row>
    <row r="35" spans="1:45" ht="16" thickBot="1">
      <c r="A35" s="110"/>
      <c r="B35" s="22" t="s">
        <v>60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4</v>
      </c>
      <c r="L35" s="8">
        <v>4</v>
      </c>
      <c r="M35" s="8">
        <v>0</v>
      </c>
      <c r="N35" s="8">
        <v>0</v>
      </c>
    </row>
    <row r="36" spans="1:45" ht="16" thickBot="1">
      <c r="A36" s="110"/>
      <c r="B36" s="22" t="s">
        <v>61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3</v>
      </c>
      <c r="N36" s="8">
        <v>0</v>
      </c>
    </row>
    <row r="37" spans="1:45" ht="16" thickBot="1">
      <c r="A37" s="110"/>
      <c r="B37" s="22" t="s">
        <v>62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3</v>
      </c>
    </row>
    <row r="38" spans="1:45" ht="16" thickBot="1">
      <c r="A38" s="110"/>
      <c r="B38" s="177" t="s">
        <v>63</v>
      </c>
      <c r="C38" s="178">
        <v>1</v>
      </c>
      <c r="D38" s="8">
        <v>1</v>
      </c>
      <c r="E38" s="8">
        <v>1</v>
      </c>
      <c r="F38" s="8">
        <v>1</v>
      </c>
      <c r="G38" s="8">
        <v>1</v>
      </c>
      <c r="H38" s="8">
        <v>1</v>
      </c>
      <c r="I38" s="8">
        <v>2</v>
      </c>
      <c r="J38" s="8">
        <v>2</v>
      </c>
      <c r="K38" s="8">
        <v>2</v>
      </c>
      <c r="L38" s="8">
        <v>2</v>
      </c>
      <c r="M38" s="8">
        <v>0</v>
      </c>
      <c r="N38" s="8">
        <v>0</v>
      </c>
    </row>
    <row r="39" spans="1:45" ht="25" thickBot="1">
      <c r="A39" s="112"/>
      <c r="B39" s="53" t="s">
        <v>64</v>
      </c>
      <c r="C39" s="25">
        <v>0</v>
      </c>
      <c r="D39" s="25">
        <v>0</v>
      </c>
      <c r="E39" s="25">
        <v>0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5">
        <v>0</v>
      </c>
      <c r="M39" s="25">
        <v>0</v>
      </c>
      <c r="N39" s="25">
        <v>2</v>
      </c>
    </row>
    <row r="40" spans="1:45" ht="16" thickBot="1">
      <c r="A40" s="26" t="s">
        <v>47</v>
      </c>
      <c r="B40" s="54"/>
      <c r="C40" s="55">
        <v>0</v>
      </c>
      <c r="D40" s="56">
        <v>0</v>
      </c>
      <c r="E40" s="57">
        <v>0</v>
      </c>
      <c r="F40" s="56">
        <v>0</v>
      </c>
      <c r="G40" s="57">
        <v>0</v>
      </c>
      <c r="H40" s="56">
        <v>0</v>
      </c>
      <c r="I40" s="57">
        <v>0</v>
      </c>
      <c r="J40" s="56">
        <v>0</v>
      </c>
      <c r="K40" s="56">
        <v>0</v>
      </c>
      <c r="L40" s="58">
        <v>0</v>
      </c>
      <c r="M40" s="59">
        <v>2</v>
      </c>
      <c r="N40" s="60">
        <v>2</v>
      </c>
    </row>
    <row r="41" spans="1:45" ht="16" thickBot="1">
      <c r="A41" s="61" t="s">
        <v>66</v>
      </c>
      <c r="B41" s="177"/>
      <c r="C41" s="178">
        <v>2</v>
      </c>
      <c r="D41" s="62">
        <v>2</v>
      </c>
      <c r="E41" s="62">
        <v>2</v>
      </c>
      <c r="F41" s="62">
        <v>2</v>
      </c>
      <c r="G41" s="62">
        <v>2</v>
      </c>
      <c r="H41" s="62">
        <v>2</v>
      </c>
      <c r="I41" s="62">
        <v>2</v>
      </c>
      <c r="J41" s="62">
        <v>2</v>
      </c>
      <c r="K41" s="62">
        <v>2</v>
      </c>
      <c r="L41" s="62">
        <v>2</v>
      </c>
      <c r="M41" s="62">
        <v>2</v>
      </c>
      <c r="N41" s="62">
        <v>2</v>
      </c>
    </row>
    <row r="42" spans="1:45">
      <c r="A42" s="28"/>
      <c r="B42" s="28"/>
      <c r="C42" s="63">
        <f>SUM(C33:C41)</f>
        <v>9</v>
      </c>
      <c r="D42" s="63">
        <f t="shared" ref="D42:N42" si="6">SUM(D33:D41)</f>
        <v>7</v>
      </c>
      <c r="E42" s="63">
        <f t="shared" si="6"/>
        <v>7</v>
      </c>
      <c r="F42" s="63">
        <f t="shared" si="6"/>
        <v>7</v>
      </c>
      <c r="G42" s="63">
        <f t="shared" si="6"/>
        <v>7</v>
      </c>
      <c r="H42" s="63">
        <f t="shared" si="6"/>
        <v>7</v>
      </c>
      <c r="I42" s="63">
        <f t="shared" si="6"/>
        <v>8</v>
      </c>
      <c r="J42" s="63">
        <f t="shared" si="6"/>
        <v>8</v>
      </c>
      <c r="K42" s="63">
        <f t="shared" si="6"/>
        <v>8</v>
      </c>
      <c r="L42" s="63">
        <f t="shared" si="6"/>
        <v>8</v>
      </c>
      <c r="M42" s="63">
        <f t="shared" si="6"/>
        <v>7</v>
      </c>
      <c r="N42" s="63">
        <f t="shared" si="6"/>
        <v>9</v>
      </c>
    </row>
    <row r="43" spans="1:45">
      <c r="A43" s="118" t="s">
        <v>65</v>
      </c>
      <c r="B43" s="119"/>
      <c r="C43" s="120">
        <f>C42+C32+C28+C23+C21+C15+C8</f>
        <v>33</v>
      </c>
      <c r="D43" s="120">
        <f t="shared" ref="D43:N43" si="7">D42+D32+D28+D23+D21+D15+D8</f>
        <v>34</v>
      </c>
      <c r="E43" s="120">
        <f t="shared" si="7"/>
        <v>34</v>
      </c>
      <c r="F43" s="120">
        <f t="shared" si="7"/>
        <v>34</v>
      </c>
      <c r="G43" s="120">
        <f t="shared" si="7"/>
        <v>34</v>
      </c>
      <c r="H43" s="120">
        <f t="shared" si="7"/>
        <v>34</v>
      </c>
      <c r="I43" s="120">
        <f t="shared" si="7"/>
        <v>35</v>
      </c>
      <c r="J43" s="120">
        <f t="shared" si="7"/>
        <v>35</v>
      </c>
      <c r="K43" s="120">
        <f t="shared" si="7"/>
        <v>35</v>
      </c>
      <c r="L43" s="120">
        <f t="shared" si="7"/>
        <v>35</v>
      </c>
      <c r="M43" s="120">
        <f t="shared" si="7"/>
        <v>37</v>
      </c>
      <c r="N43" s="120">
        <f t="shared" si="7"/>
        <v>39</v>
      </c>
    </row>
    <row r="44" spans="1:45" ht="16" thickBot="1">
      <c r="A44" s="104"/>
      <c r="B44" s="10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</row>
    <row r="45" spans="1:45" ht="16" thickBot="1">
      <c r="A45" s="122" t="s">
        <v>67</v>
      </c>
      <c r="B45" s="123"/>
      <c r="C45" s="64"/>
      <c r="D45" s="65"/>
      <c r="E45" s="65"/>
      <c r="F45" s="65"/>
      <c r="G45" s="65"/>
      <c r="H45" s="65"/>
      <c r="I45" s="64"/>
      <c r="J45" s="64"/>
      <c r="K45" s="64"/>
      <c r="L45" s="64"/>
      <c r="M45" s="64"/>
      <c r="N45" s="64"/>
    </row>
    <row r="46" spans="1:45" ht="16" thickBot="1">
      <c r="A46" s="124" t="s">
        <v>68</v>
      </c>
      <c r="B46" s="123"/>
      <c r="C46" s="66">
        <v>0</v>
      </c>
      <c r="D46" s="67">
        <v>0</v>
      </c>
      <c r="E46" s="67">
        <v>0</v>
      </c>
      <c r="F46" s="67">
        <v>0</v>
      </c>
      <c r="G46" s="67">
        <v>0</v>
      </c>
      <c r="H46" s="67">
        <v>0</v>
      </c>
      <c r="I46" s="67">
        <v>0</v>
      </c>
      <c r="J46" s="67">
        <v>0</v>
      </c>
      <c r="K46" s="67">
        <v>0</v>
      </c>
      <c r="L46" s="67">
        <v>0</v>
      </c>
      <c r="M46" s="67">
        <v>0</v>
      </c>
      <c r="N46" s="67">
        <v>0</v>
      </c>
    </row>
    <row r="47" spans="1:45">
      <c r="A47" s="125" t="s">
        <v>69</v>
      </c>
      <c r="B47" s="101"/>
      <c r="C47" s="121">
        <v>33</v>
      </c>
      <c r="D47" s="121">
        <v>34</v>
      </c>
      <c r="E47" s="121">
        <v>34</v>
      </c>
      <c r="F47" s="121">
        <v>34</v>
      </c>
      <c r="G47" s="121">
        <v>34</v>
      </c>
      <c r="H47" s="121">
        <v>34</v>
      </c>
      <c r="I47" s="121">
        <v>34</v>
      </c>
      <c r="J47" s="121">
        <v>34</v>
      </c>
      <c r="K47" s="121">
        <v>34</v>
      </c>
      <c r="L47" s="121">
        <v>34</v>
      </c>
      <c r="M47" s="121">
        <v>34</v>
      </c>
      <c r="N47" s="121">
        <v>36</v>
      </c>
    </row>
    <row r="48" spans="1:45" ht="16" thickBot="1">
      <c r="A48" s="104"/>
      <c r="B48" s="10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</row>
    <row r="52" spans="1:14" ht="16" thickBot="1"/>
    <row r="53" spans="1:14" ht="16" thickBot="1">
      <c r="A53" s="100" t="s">
        <v>1</v>
      </c>
      <c r="B53" s="101"/>
      <c r="C53" s="140" t="s">
        <v>15</v>
      </c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2"/>
    </row>
    <row r="54" spans="1:14" ht="26" thickBot="1">
      <c r="A54" s="102"/>
      <c r="B54" s="103"/>
      <c r="C54" s="68" t="s">
        <v>12</v>
      </c>
      <c r="D54" s="143" t="s">
        <v>16</v>
      </c>
      <c r="E54" s="144"/>
      <c r="F54" s="144"/>
      <c r="G54" s="144"/>
      <c r="H54" s="145"/>
      <c r="I54" s="146" t="s">
        <v>19</v>
      </c>
      <c r="J54" s="144"/>
      <c r="K54" s="144"/>
      <c r="L54" s="144"/>
      <c r="M54" s="144"/>
      <c r="N54" s="123"/>
    </row>
    <row r="55" spans="1:14" ht="21" thickBot="1">
      <c r="A55" s="104"/>
      <c r="B55" s="105"/>
      <c r="C55" s="69">
        <v>0</v>
      </c>
      <c r="D55" s="70" t="s">
        <v>20</v>
      </c>
      <c r="E55" s="70" t="s">
        <v>21</v>
      </c>
      <c r="F55" s="70" t="s">
        <v>22</v>
      </c>
      <c r="G55" s="70" t="s">
        <v>23</v>
      </c>
      <c r="H55" s="70" t="s">
        <v>24</v>
      </c>
      <c r="I55" s="70" t="s">
        <v>25</v>
      </c>
      <c r="J55" s="70" t="s">
        <v>26</v>
      </c>
      <c r="K55" s="70" t="s">
        <v>27</v>
      </c>
      <c r="L55" s="70" t="s">
        <v>28</v>
      </c>
      <c r="M55" s="70">
        <v>10</v>
      </c>
      <c r="N55" s="70">
        <v>11</v>
      </c>
    </row>
    <row r="56" spans="1:14" ht="16" thickBot="1">
      <c r="A56" s="106" t="s">
        <v>29</v>
      </c>
      <c r="B56" s="7" t="s">
        <v>30</v>
      </c>
      <c r="C56" s="6">
        <v>3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</row>
    <row r="57" spans="1:14" ht="16" thickBot="1">
      <c r="A57" s="107"/>
      <c r="B57" s="7" t="s">
        <v>31</v>
      </c>
      <c r="C57" s="8">
        <v>0</v>
      </c>
      <c r="D57" s="8">
        <v>4</v>
      </c>
      <c r="E57" s="8">
        <v>4</v>
      </c>
      <c r="F57" s="8">
        <v>4</v>
      </c>
      <c r="G57" s="8">
        <v>4</v>
      </c>
      <c r="H57" s="8">
        <v>4</v>
      </c>
      <c r="I57" s="9">
        <v>4</v>
      </c>
      <c r="J57" s="9">
        <v>4</v>
      </c>
      <c r="K57" s="9">
        <v>4</v>
      </c>
      <c r="L57" s="9">
        <v>4</v>
      </c>
      <c r="M57" s="9">
        <v>0</v>
      </c>
      <c r="N57" s="10">
        <v>0</v>
      </c>
    </row>
    <row r="58" spans="1:14" ht="16" thickBot="1">
      <c r="A58" s="108"/>
      <c r="B58" s="7" t="s">
        <v>32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8">
        <v>0</v>
      </c>
      <c r="J58" s="8">
        <v>0</v>
      </c>
      <c r="K58" s="8">
        <v>0</v>
      </c>
      <c r="L58" s="8">
        <v>0</v>
      </c>
      <c r="M58" s="8">
        <v>3</v>
      </c>
      <c r="N58" s="8">
        <v>3</v>
      </c>
    </row>
    <row r="59" spans="1:14">
      <c r="A59" s="11"/>
      <c r="B59" s="12" t="s">
        <v>34</v>
      </c>
      <c r="C59" s="13">
        <f>SUM(C56:C58)</f>
        <v>3</v>
      </c>
      <c r="D59" s="13">
        <f t="shared" ref="D59:N59" si="8">SUM(D56:D58)</f>
        <v>4</v>
      </c>
      <c r="E59" s="13">
        <f t="shared" si="8"/>
        <v>4</v>
      </c>
      <c r="F59" s="13">
        <f t="shared" si="8"/>
        <v>4</v>
      </c>
      <c r="G59" s="13">
        <f t="shared" si="8"/>
        <v>4</v>
      </c>
      <c r="H59" s="13">
        <f t="shared" si="8"/>
        <v>4</v>
      </c>
      <c r="I59" s="13">
        <f t="shared" si="8"/>
        <v>4</v>
      </c>
      <c r="J59" s="13">
        <f t="shared" si="8"/>
        <v>4</v>
      </c>
      <c r="K59" s="13">
        <f t="shared" si="8"/>
        <v>4</v>
      </c>
      <c r="L59" s="13">
        <f t="shared" si="8"/>
        <v>4</v>
      </c>
      <c r="M59" s="13">
        <f t="shared" si="8"/>
        <v>3</v>
      </c>
      <c r="N59" s="13">
        <f t="shared" si="8"/>
        <v>3</v>
      </c>
    </row>
    <row r="60" spans="1:14" ht="16" thickBot="1">
      <c r="A60" s="109" t="s">
        <v>35</v>
      </c>
      <c r="B60" s="14" t="s">
        <v>36</v>
      </c>
      <c r="C60" s="8">
        <v>6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</row>
    <row r="61" spans="1:14" ht="16" thickBot="1">
      <c r="A61" s="110"/>
      <c r="B61" s="14" t="s">
        <v>37</v>
      </c>
      <c r="C61" s="8">
        <v>0</v>
      </c>
      <c r="D61" s="8">
        <v>5</v>
      </c>
      <c r="E61" s="8">
        <v>5</v>
      </c>
      <c r="F61" s="8">
        <v>5</v>
      </c>
      <c r="G61" s="8">
        <v>5</v>
      </c>
      <c r="H61" s="8">
        <v>5</v>
      </c>
      <c r="I61" s="8">
        <v>5</v>
      </c>
      <c r="J61" s="8">
        <v>5</v>
      </c>
      <c r="K61" s="8">
        <v>5</v>
      </c>
      <c r="L61" s="8">
        <v>5</v>
      </c>
      <c r="M61" s="8">
        <v>4</v>
      </c>
      <c r="N61" s="8">
        <v>4</v>
      </c>
    </row>
    <row r="62" spans="1:14" ht="16" thickBot="1">
      <c r="A62" s="111"/>
      <c r="B62" s="14" t="s">
        <v>38</v>
      </c>
      <c r="C62" s="8">
        <v>2</v>
      </c>
      <c r="D62" s="8">
        <v>4</v>
      </c>
      <c r="E62" s="8">
        <v>4</v>
      </c>
      <c r="F62" s="8">
        <v>4</v>
      </c>
      <c r="G62" s="8">
        <v>4</v>
      </c>
      <c r="H62" s="8">
        <v>4</v>
      </c>
      <c r="I62" s="8">
        <v>4</v>
      </c>
      <c r="J62" s="8">
        <v>4</v>
      </c>
      <c r="K62" s="8">
        <v>4</v>
      </c>
      <c r="L62" s="8">
        <v>4</v>
      </c>
      <c r="M62" s="8">
        <v>5</v>
      </c>
      <c r="N62" s="8">
        <v>5</v>
      </c>
    </row>
    <row r="63" spans="1:14" ht="16" thickBot="1">
      <c r="A63" s="11"/>
      <c r="B63" s="71" t="s">
        <v>34</v>
      </c>
      <c r="C63" s="13">
        <f t="shared" ref="C63:N63" si="9">SUM(C60:C62)</f>
        <v>8</v>
      </c>
      <c r="D63" s="13">
        <f t="shared" si="9"/>
        <v>9</v>
      </c>
      <c r="E63" s="13">
        <f t="shared" si="9"/>
        <v>9</v>
      </c>
      <c r="F63" s="13">
        <f t="shared" si="9"/>
        <v>9</v>
      </c>
      <c r="G63" s="13">
        <f t="shared" si="9"/>
        <v>9</v>
      </c>
      <c r="H63" s="13">
        <f t="shared" si="9"/>
        <v>9</v>
      </c>
      <c r="I63" s="13">
        <f t="shared" si="9"/>
        <v>9</v>
      </c>
      <c r="J63" s="13">
        <f t="shared" si="9"/>
        <v>9</v>
      </c>
      <c r="K63" s="13">
        <f t="shared" si="9"/>
        <v>9</v>
      </c>
      <c r="L63" s="13">
        <f t="shared" si="9"/>
        <v>9</v>
      </c>
      <c r="M63" s="13">
        <f t="shared" si="9"/>
        <v>9</v>
      </c>
      <c r="N63" s="13">
        <f t="shared" si="9"/>
        <v>9</v>
      </c>
    </row>
    <row r="64" spans="1:14" ht="16" thickBot="1">
      <c r="A64" s="109" t="s">
        <v>42</v>
      </c>
      <c r="B64" s="72" t="s">
        <v>43</v>
      </c>
      <c r="C64" s="6">
        <v>3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</row>
    <row r="65" spans="1:14" ht="16" thickBot="1">
      <c r="A65" s="110"/>
      <c r="B65" s="73" t="s">
        <v>44</v>
      </c>
      <c r="C65" s="8">
        <v>0</v>
      </c>
      <c r="D65" s="74"/>
      <c r="E65" s="74"/>
      <c r="F65" s="74"/>
      <c r="G65" s="74"/>
      <c r="H65" s="74"/>
      <c r="I65" s="74"/>
      <c r="J65" s="74"/>
      <c r="K65" s="74"/>
      <c r="L65" s="74"/>
      <c r="M65" s="8">
        <v>0</v>
      </c>
      <c r="N65" s="8">
        <v>0</v>
      </c>
    </row>
    <row r="66" spans="1:14" ht="16" thickBot="1">
      <c r="A66" s="110"/>
      <c r="B66" s="75" t="s">
        <v>45</v>
      </c>
      <c r="C66" s="25">
        <v>0</v>
      </c>
      <c r="D66" s="74"/>
      <c r="E66" s="74"/>
      <c r="F66" s="74"/>
      <c r="G66" s="74"/>
      <c r="H66" s="74"/>
      <c r="I66" s="74"/>
      <c r="J66" s="74"/>
      <c r="K66" s="74"/>
      <c r="L66" s="74"/>
      <c r="M66" s="25">
        <v>0</v>
      </c>
      <c r="N66" s="25">
        <v>0</v>
      </c>
    </row>
    <row r="67" spans="1:14" ht="16" thickBot="1">
      <c r="A67" s="110"/>
      <c r="B67" s="72" t="s">
        <v>70</v>
      </c>
      <c r="C67" s="27">
        <v>0</v>
      </c>
      <c r="D67" s="8">
        <v>4</v>
      </c>
      <c r="E67" s="8">
        <v>4</v>
      </c>
      <c r="F67" s="8">
        <v>4</v>
      </c>
      <c r="G67" s="8">
        <v>4</v>
      </c>
      <c r="H67" s="8">
        <v>4</v>
      </c>
      <c r="I67" s="9">
        <v>4</v>
      </c>
      <c r="J67" s="9">
        <v>4</v>
      </c>
      <c r="K67" s="9">
        <v>4</v>
      </c>
      <c r="L67" s="9">
        <v>4</v>
      </c>
      <c r="M67" s="27">
        <v>0</v>
      </c>
      <c r="N67" s="27">
        <v>0</v>
      </c>
    </row>
    <row r="68" spans="1:14" ht="16" thickBot="1">
      <c r="A68" s="110"/>
      <c r="B68" s="76" t="s">
        <v>47</v>
      </c>
      <c r="C68" s="35">
        <v>0</v>
      </c>
      <c r="D68" s="77">
        <v>0</v>
      </c>
      <c r="E68" s="35">
        <v>0</v>
      </c>
      <c r="F68" s="35">
        <v>0</v>
      </c>
      <c r="G68" s="35">
        <v>0</v>
      </c>
      <c r="H68" s="77">
        <v>0</v>
      </c>
      <c r="I68" s="35">
        <v>0</v>
      </c>
      <c r="J68" s="35">
        <v>0</v>
      </c>
      <c r="K68" s="35">
        <v>0</v>
      </c>
      <c r="L68" s="35">
        <v>0</v>
      </c>
      <c r="M68" s="78">
        <v>2</v>
      </c>
      <c r="N68" s="79">
        <v>2</v>
      </c>
    </row>
    <row r="69" spans="1:14">
      <c r="A69" s="112"/>
      <c r="B69" s="80"/>
      <c r="C69" s="29">
        <f>SUM(C64:C68)</f>
        <v>3</v>
      </c>
      <c r="D69" s="29">
        <f t="shared" ref="D69:N69" si="10">SUM(D64:D68)</f>
        <v>4</v>
      </c>
      <c r="E69" s="29">
        <f t="shared" si="10"/>
        <v>4</v>
      </c>
      <c r="F69" s="29">
        <f t="shared" si="10"/>
        <v>4</v>
      </c>
      <c r="G69" s="29">
        <f t="shared" si="10"/>
        <v>4</v>
      </c>
      <c r="H69" s="29">
        <f t="shared" si="10"/>
        <v>4</v>
      </c>
      <c r="I69" s="29">
        <f t="shared" si="10"/>
        <v>4</v>
      </c>
      <c r="J69" s="29">
        <f t="shared" si="10"/>
        <v>4</v>
      </c>
      <c r="K69" s="29">
        <f t="shared" si="10"/>
        <v>4</v>
      </c>
      <c r="L69" s="29">
        <f t="shared" si="10"/>
        <v>4</v>
      </c>
      <c r="M69" s="29">
        <f t="shared" si="10"/>
        <v>2</v>
      </c>
      <c r="N69" s="29">
        <f t="shared" si="10"/>
        <v>2</v>
      </c>
    </row>
    <row r="70" spans="1:14">
      <c r="A70" s="109" t="s">
        <v>48</v>
      </c>
      <c r="B70" s="81" t="s">
        <v>71</v>
      </c>
      <c r="C70" s="31">
        <v>2</v>
      </c>
      <c r="D70" s="31">
        <v>2</v>
      </c>
      <c r="E70" s="31">
        <v>2</v>
      </c>
      <c r="F70" s="31">
        <v>2</v>
      </c>
      <c r="G70" s="31">
        <v>2</v>
      </c>
      <c r="H70" s="31">
        <v>2</v>
      </c>
      <c r="I70" s="31">
        <v>2</v>
      </c>
      <c r="J70" s="31">
        <v>2</v>
      </c>
      <c r="K70" s="31">
        <v>2</v>
      </c>
      <c r="L70" s="31">
        <v>1</v>
      </c>
      <c r="M70" s="31">
        <v>1</v>
      </c>
      <c r="N70" s="31">
        <v>1</v>
      </c>
    </row>
    <row r="71" spans="1:14" ht="16" thickBot="1">
      <c r="A71" s="112"/>
      <c r="B71" s="20" t="s">
        <v>34</v>
      </c>
      <c r="C71" s="32">
        <v>2</v>
      </c>
      <c r="D71" s="32">
        <v>2</v>
      </c>
      <c r="E71" s="32">
        <v>2</v>
      </c>
      <c r="F71" s="32">
        <v>2</v>
      </c>
      <c r="G71" s="32">
        <v>2</v>
      </c>
      <c r="H71" s="32">
        <v>2</v>
      </c>
      <c r="I71" s="32">
        <v>2</v>
      </c>
      <c r="J71" s="32">
        <v>2</v>
      </c>
      <c r="K71" s="32">
        <v>2</v>
      </c>
      <c r="L71" s="32">
        <v>1</v>
      </c>
      <c r="M71" s="32">
        <v>1</v>
      </c>
      <c r="N71" s="32">
        <v>1</v>
      </c>
    </row>
    <row r="72" spans="1:14" ht="16" thickBot="1">
      <c r="A72" s="109" t="s">
        <v>49</v>
      </c>
      <c r="B72" s="22" t="s">
        <v>50</v>
      </c>
      <c r="C72" s="8">
        <v>2</v>
      </c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spans="1:14" ht="16" thickBot="1">
      <c r="A73" s="110"/>
      <c r="B73" s="24" t="s">
        <v>51</v>
      </c>
      <c r="C73" s="25">
        <v>0</v>
      </c>
      <c r="D73" s="25">
        <v>1</v>
      </c>
      <c r="E73" s="25">
        <v>1</v>
      </c>
      <c r="F73" s="25">
        <v>1</v>
      </c>
      <c r="G73" s="25">
        <v>1</v>
      </c>
      <c r="H73" s="25">
        <v>1</v>
      </c>
      <c r="I73" s="25">
        <v>1</v>
      </c>
      <c r="J73" s="25">
        <v>1</v>
      </c>
      <c r="K73" s="25">
        <v>1</v>
      </c>
      <c r="L73" s="25">
        <v>1</v>
      </c>
      <c r="M73" s="25">
        <v>0</v>
      </c>
      <c r="N73" s="25">
        <v>0</v>
      </c>
    </row>
    <row r="74" spans="1:14" ht="16" thickBot="1">
      <c r="A74" s="110"/>
      <c r="B74" s="33" t="s">
        <v>52</v>
      </c>
      <c r="C74" s="34">
        <v>1</v>
      </c>
      <c r="D74" s="35">
        <v>1</v>
      </c>
      <c r="E74" s="36">
        <v>1</v>
      </c>
      <c r="F74" s="35">
        <v>1</v>
      </c>
      <c r="G74" s="36">
        <v>1</v>
      </c>
      <c r="H74" s="35">
        <v>1</v>
      </c>
      <c r="I74" s="36">
        <v>1</v>
      </c>
      <c r="J74" s="35">
        <v>1</v>
      </c>
      <c r="K74" s="35">
        <v>1</v>
      </c>
      <c r="L74" s="36">
        <v>1</v>
      </c>
      <c r="M74" s="35">
        <v>1</v>
      </c>
      <c r="N74" s="27">
        <v>1</v>
      </c>
    </row>
    <row r="75" spans="1:14" ht="16" thickBot="1">
      <c r="A75" s="110"/>
      <c r="B75" s="33" t="s">
        <v>53</v>
      </c>
      <c r="C75" s="34">
        <v>1</v>
      </c>
      <c r="D75" s="35">
        <v>1</v>
      </c>
      <c r="E75" s="35">
        <v>1</v>
      </c>
      <c r="F75" s="35">
        <v>1</v>
      </c>
      <c r="G75" s="36">
        <v>1</v>
      </c>
      <c r="H75" s="35">
        <v>1</v>
      </c>
      <c r="I75" s="36">
        <v>1</v>
      </c>
      <c r="J75" s="35">
        <v>1</v>
      </c>
      <c r="K75" s="36">
        <v>1</v>
      </c>
      <c r="L75" s="35">
        <v>1</v>
      </c>
      <c r="M75" s="36">
        <v>1</v>
      </c>
      <c r="N75" s="35">
        <v>1</v>
      </c>
    </row>
    <row r="76" spans="1:14" ht="16" thickBot="1">
      <c r="A76" s="111"/>
      <c r="B76" s="71" t="s">
        <v>34</v>
      </c>
      <c r="C76" s="38">
        <f>SUM(C72:C75)</f>
        <v>4</v>
      </c>
      <c r="D76" s="38">
        <f t="shared" ref="D76:N76" si="11">SUM(D72:D75)</f>
        <v>3</v>
      </c>
      <c r="E76" s="38">
        <f t="shared" si="11"/>
        <v>3</v>
      </c>
      <c r="F76" s="38">
        <f t="shared" si="11"/>
        <v>3</v>
      </c>
      <c r="G76" s="38">
        <f t="shared" si="11"/>
        <v>3</v>
      </c>
      <c r="H76" s="38">
        <f t="shared" si="11"/>
        <v>3</v>
      </c>
      <c r="I76" s="38">
        <f t="shared" si="11"/>
        <v>3</v>
      </c>
      <c r="J76" s="38">
        <f t="shared" si="11"/>
        <v>3</v>
      </c>
      <c r="K76" s="38">
        <f t="shared" si="11"/>
        <v>3</v>
      </c>
      <c r="L76" s="38">
        <f t="shared" si="11"/>
        <v>3</v>
      </c>
      <c r="M76" s="38">
        <f t="shared" si="11"/>
        <v>2</v>
      </c>
      <c r="N76" s="38">
        <f t="shared" si="11"/>
        <v>2</v>
      </c>
    </row>
    <row r="77" spans="1:14" ht="16" thickBot="1">
      <c r="A77" s="39" t="s">
        <v>54</v>
      </c>
      <c r="B77" s="82" t="s">
        <v>54</v>
      </c>
      <c r="C77" s="41">
        <v>1</v>
      </c>
      <c r="D77" s="42">
        <v>1</v>
      </c>
      <c r="E77" s="42">
        <v>1</v>
      </c>
      <c r="F77" s="42">
        <v>1</v>
      </c>
      <c r="G77" s="42">
        <v>1</v>
      </c>
      <c r="H77" s="42">
        <v>1</v>
      </c>
      <c r="I77" s="42">
        <v>1</v>
      </c>
      <c r="J77" s="42">
        <v>1</v>
      </c>
      <c r="K77" s="42">
        <v>1</v>
      </c>
      <c r="L77" s="42">
        <v>1</v>
      </c>
      <c r="M77" s="42">
        <v>0</v>
      </c>
      <c r="N77" s="43">
        <v>0</v>
      </c>
    </row>
    <row r="78" spans="1:14" ht="16" thickBot="1">
      <c r="A78" s="39" t="s">
        <v>55</v>
      </c>
      <c r="B78" s="82" t="s">
        <v>55</v>
      </c>
      <c r="C78" s="41">
        <v>3</v>
      </c>
      <c r="D78" s="42">
        <v>3</v>
      </c>
      <c r="E78" s="42">
        <v>3</v>
      </c>
      <c r="F78" s="42">
        <v>3</v>
      </c>
      <c r="G78" s="42">
        <v>3</v>
      </c>
      <c r="H78" s="42">
        <v>3</v>
      </c>
      <c r="I78" s="42">
        <v>3</v>
      </c>
      <c r="J78" s="42">
        <v>3</v>
      </c>
      <c r="K78" s="42">
        <v>3</v>
      </c>
      <c r="L78" s="42">
        <v>3</v>
      </c>
      <c r="M78" s="42">
        <v>3</v>
      </c>
      <c r="N78" s="43">
        <v>3</v>
      </c>
    </row>
    <row r="79" spans="1:14" ht="16" thickBot="1">
      <c r="A79" s="44" t="s">
        <v>56</v>
      </c>
      <c r="B79" s="83" t="s">
        <v>56</v>
      </c>
      <c r="C79" s="46">
        <v>0</v>
      </c>
      <c r="D79" s="47">
        <v>0</v>
      </c>
      <c r="E79" s="47">
        <v>0</v>
      </c>
      <c r="F79" s="47">
        <v>0</v>
      </c>
      <c r="G79" s="47">
        <v>0</v>
      </c>
      <c r="H79" s="47">
        <v>0</v>
      </c>
      <c r="I79" s="48">
        <v>0</v>
      </c>
      <c r="J79" s="48">
        <v>0</v>
      </c>
      <c r="K79" s="48">
        <v>0</v>
      </c>
      <c r="L79" s="48">
        <v>0</v>
      </c>
      <c r="M79" s="49">
        <v>2</v>
      </c>
      <c r="N79" s="49">
        <v>2</v>
      </c>
    </row>
    <row r="80" spans="1:14" ht="16" thickBot="1">
      <c r="A80" s="84"/>
      <c r="B80" s="71" t="s">
        <v>34</v>
      </c>
      <c r="C80" s="38">
        <f>SUM(C77:C79)</f>
        <v>4</v>
      </c>
      <c r="D80" s="38">
        <f t="shared" ref="D80:N80" si="12">SUM(D77:D79)</f>
        <v>4</v>
      </c>
      <c r="E80" s="38">
        <f t="shared" si="12"/>
        <v>4</v>
      </c>
      <c r="F80" s="38">
        <f t="shared" si="12"/>
        <v>4</v>
      </c>
      <c r="G80" s="38">
        <f t="shared" si="12"/>
        <v>4</v>
      </c>
      <c r="H80" s="38">
        <f t="shared" si="12"/>
        <v>4</v>
      </c>
      <c r="I80" s="38">
        <f t="shared" si="12"/>
        <v>4</v>
      </c>
      <c r="J80" s="38">
        <f t="shared" si="12"/>
        <v>4</v>
      </c>
      <c r="K80" s="38">
        <f t="shared" si="12"/>
        <v>4</v>
      </c>
      <c r="L80" s="38">
        <f t="shared" si="12"/>
        <v>4</v>
      </c>
      <c r="M80" s="38">
        <f t="shared" si="12"/>
        <v>5</v>
      </c>
      <c r="N80" s="38">
        <f t="shared" si="12"/>
        <v>5</v>
      </c>
    </row>
    <row r="81" spans="1:50" ht="16" thickBot="1">
      <c r="A81" s="113" t="s">
        <v>59</v>
      </c>
      <c r="B81" s="72" t="s">
        <v>57</v>
      </c>
      <c r="C81" s="6">
        <v>6</v>
      </c>
      <c r="D81" s="27">
        <v>0</v>
      </c>
      <c r="E81" s="27">
        <v>0</v>
      </c>
      <c r="F81" s="27">
        <v>0</v>
      </c>
      <c r="G81" s="27">
        <v>0</v>
      </c>
      <c r="H81" s="27">
        <v>0</v>
      </c>
      <c r="I81" s="27">
        <v>0</v>
      </c>
      <c r="J81" s="27">
        <v>0</v>
      </c>
      <c r="K81" s="27">
        <v>0</v>
      </c>
      <c r="L81" s="27">
        <v>0</v>
      </c>
      <c r="M81" s="27">
        <v>0</v>
      </c>
      <c r="N81" s="8">
        <v>0</v>
      </c>
    </row>
    <row r="82" spans="1:50" ht="16" thickBot="1">
      <c r="A82" s="114"/>
      <c r="B82" s="73" t="s">
        <v>58</v>
      </c>
      <c r="C82" s="23">
        <v>0</v>
      </c>
      <c r="D82" s="8">
        <v>4</v>
      </c>
      <c r="E82" s="8">
        <v>4</v>
      </c>
      <c r="F82" s="8">
        <v>4</v>
      </c>
      <c r="G82" s="8">
        <v>4</v>
      </c>
      <c r="H82" s="8">
        <v>4</v>
      </c>
      <c r="I82" s="8">
        <v>4</v>
      </c>
      <c r="J82" s="8">
        <v>4</v>
      </c>
      <c r="K82" s="8">
        <v>0</v>
      </c>
      <c r="L82" s="8">
        <v>0</v>
      </c>
      <c r="M82" s="8">
        <v>0</v>
      </c>
      <c r="N82" s="8">
        <v>0</v>
      </c>
    </row>
    <row r="83" spans="1:50" ht="16" thickBot="1">
      <c r="A83" s="114"/>
      <c r="B83" s="73" t="s">
        <v>60</v>
      </c>
      <c r="C83" s="23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4</v>
      </c>
      <c r="L83" s="8">
        <v>4</v>
      </c>
      <c r="M83" s="8">
        <v>0</v>
      </c>
      <c r="N83" s="8">
        <v>0</v>
      </c>
    </row>
    <row r="84" spans="1:50" ht="16" thickBot="1">
      <c r="A84" s="114"/>
      <c r="B84" s="73" t="s">
        <v>61</v>
      </c>
      <c r="C84" s="23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3</v>
      </c>
      <c r="N84" s="8">
        <v>0</v>
      </c>
    </row>
    <row r="85" spans="1:50" ht="16" thickBot="1">
      <c r="A85" s="114"/>
      <c r="B85" s="7" t="s">
        <v>33</v>
      </c>
      <c r="C85" s="85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8">
        <v>0</v>
      </c>
      <c r="J85" s="8">
        <v>0</v>
      </c>
      <c r="K85" s="8">
        <v>0</v>
      </c>
      <c r="L85" s="8">
        <v>0</v>
      </c>
      <c r="M85" s="8">
        <v>3</v>
      </c>
      <c r="N85" s="8">
        <v>3</v>
      </c>
      <c r="AX85" s="50" t="s">
        <v>72</v>
      </c>
    </row>
    <row r="86" spans="1:50" ht="16" thickBot="1">
      <c r="A86" s="114"/>
      <c r="B86" s="73" t="s">
        <v>62</v>
      </c>
      <c r="C86" s="23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3</v>
      </c>
    </row>
    <row r="87" spans="1:50" ht="16" thickBot="1">
      <c r="A87" s="115"/>
      <c r="B87" s="71" t="s">
        <v>34</v>
      </c>
      <c r="C87" s="38">
        <f>SUM(C81:C86)</f>
        <v>6</v>
      </c>
      <c r="D87" s="38">
        <f t="shared" ref="D87:N87" si="13">SUM(D81:D86)</f>
        <v>4</v>
      </c>
      <c r="E87" s="38">
        <f t="shared" si="13"/>
        <v>4</v>
      </c>
      <c r="F87" s="38">
        <f t="shared" si="13"/>
        <v>4</v>
      </c>
      <c r="G87" s="38">
        <f t="shared" si="13"/>
        <v>4</v>
      </c>
      <c r="H87" s="38">
        <f t="shared" si="13"/>
        <v>4</v>
      </c>
      <c r="I87" s="38">
        <f t="shared" si="13"/>
        <v>4</v>
      </c>
      <c r="J87" s="38">
        <f t="shared" si="13"/>
        <v>4</v>
      </c>
      <c r="K87" s="38">
        <f t="shared" si="13"/>
        <v>4</v>
      </c>
      <c r="L87" s="38">
        <f t="shared" si="13"/>
        <v>4</v>
      </c>
      <c r="M87" s="38">
        <f t="shared" si="13"/>
        <v>6</v>
      </c>
      <c r="N87" s="38">
        <f t="shared" si="13"/>
        <v>6</v>
      </c>
    </row>
    <row r="88" spans="1:50" ht="16" thickBot="1">
      <c r="A88" s="116" t="s">
        <v>73</v>
      </c>
      <c r="B88" s="86" t="s">
        <v>74</v>
      </c>
      <c r="C88" s="87">
        <v>2</v>
      </c>
      <c r="D88" s="42">
        <v>2</v>
      </c>
      <c r="E88" s="42">
        <v>2</v>
      </c>
      <c r="F88" s="42">
        <v>2</v>
      </c>
      <c r="G88" s="42">
        <v>2</v>
      </c>
      <c r="H88" s="42">
        <v>3</v>
      </c>
      <c r="I88" s="42">
        <v>3</v>
      </c>
      <c r="J88" s="42">
        <v>3</v>
      </c>
      <c r="K88" s="42">
        <v>3</v>
      </c>
      <c r="L88" s="42">
        <v>3</v>
      </c>
      <c r="M88" s="88">
        <v>3</v>
      </c>
      <c r="N88" s="89">
        <v>3</v>
      </c>
    </row>
    <row r="89" spans="1:50" ht="16" thickBot="1">
      <c r="A89" s="107"/>
      <c r="B89" s="90" t="s">
        <v>75</v>
      </c>
      <c r="C89" s="35"/>
      <c r="D89" s="27"/>
      <c r="E89" s="27"/>
      <c r="F89" s="27"/>
      <c r="G89" s="27"/>
      <c r="H89" s="27"/>
      <c r="I89" s="27"/>
      <c r="J89" s="27"/>
      <c r="K89" s="27"/>
      <c r="L89" s="27"/>
      <c r="M89" s="91">
        <v>4</v>
      </c>
      <c r="N89" s="91">
        <v>4</v>
      </c>
    </row>
    <row r="90" spans="1:50" ht="16" thickBot="1">
      <c r="A90" s="107"/>
      <c r="B90" s="92" t="s">
        <v>76</v>
      </c>
      <c r="C90" s="93"/>
      <c r="D90" s="94"/>
      <c r="E90" s="95"/>
      <c r="F90" s="94"/>
      <c r="G90" s="95"/>
      <c r="H90" s="94"/>
      <c r="I90" s="95"/>
      <c r="J90" s="94"/>
      <c r="K90" s="95"/>
      <c r="L90" s="94">
        <v>1</v>
      </c>
      <c r="M90" s="96"/>
      <c r="N90" s="96"/>
    </row>
    <row r="91" spans="1:50" ht="16" thickBot="1">
      <c r="A91" s="117"/>
      <c r="B91" s="97" t="s">
        <v>77</v>
      </c>
      <c r="C91" s="93"/>
      <c r="D91" s="94"/>
      <c r="E91" s="95"/>
      <c r="F91" s="94"/>
      <c r="G91" s="95"/>
      <c r="H91" s="94"/>
      <c r="I91" s="95"/>
      <c r="J91" s="94"/>
      <c r="K91" s="95"/>
      <c r="L91" s="94"/>
      <c r="M91" s="98">
        <v>2</v>
      </c>
      <c r="N91" s="99">
        <v>2</v>
      </c>
    </row>
    <row r="92" spans="1:50">
      <c r="A92" s="28"/>
      <c r="B92" s="80"/>
      <c r="C92" s="29">
        <f>SUM(C88:C91)</f>
        <v>2</v>
      </c>
      <c r="D92" s="29">
        <f t="shared" ref="D92:N92" si="14">SUM(D88:D91)</f>
        <v>2</v>
      </c>
      <c r="E92" s="29">
        <f t="shared" si="14"/>
        <v>2</v>
      </c>
      <c r="F92" s="29">
        <f t="shared" si="14"/>
        <v>2</v>
      </c>
      <c r="G92" s="29">
        <f t="shared" si="14"/>
        <v>2</v>
      </c>
      <c r="H92" s="29">
        <f t="shared" si="14"/>
        <v>3</v>
      </c>
      <c r="I92" s="29">
        <f t="shared" si="14"/>
        <v>3</v>
      </c>
      <c r="J92" s="29">
        <f t="shared" si="14"/>
        <v>3</v>
      </c>
      <c r="K92" s="29">
        <f t="shared" si="14"/>
        <v>3</v>
      </c>
      <c r="L92" s="29">
        <f t="shared" si="14"/>
        <v>4</v>
      </c>
      <c r="M92" s="29">
        <f t="shared" si="14"/>
        <v>9</v>
      </c>
      <c r="N92" s="29">
        <f t="shared" si="14"/>
        <v>9</v>
      </c>
    </row>
    <row r="93" spans="1:50">
      <c r="A93" s="118" t="s">
        <v>65</v>
      </c>
      <c r="B93" s="119"/>
      <c r="C93" s="120">
        <f>C92+C87+C80+C76+C71+C69+C63+C59</f>
        <v>32</v>
      </c>
      <c r="D93" s="120">
        <f t="shared" ref="D93:N93" si="15">D92+D87+D80+D76+D71+D69+D63+D59</f>
        <v>32</v>
      </c>
      <c r="E93" s="120">
        <f t="shared" si="15"/>
        <v>32</v>
      </c>
      <c r="F93" s="120">
        <f t="shared" si="15"/>
        <v>32</v>
      </c>
      <c r="G93" s="120">
        <f t="shared" si="15"/>
        <v>32</v>
      </c>
      <c r="H93" s="120">
        <f t="shared" si="15"/>
        <v>33</v>
      </c>
      <c r="I93" s="120">
        <f t="shared" si="15"/>
        <v>33</v>
      </c>
      <c r="J93" s="120">
        <f t="shared" si="15"/>
        <v>33</v>
      </c>
      <c r="K93" s="120">
        <f t="shared" si="15"/>
        <v>33</v>
      </c>
      <c r="L93" s="120">
        <f t="shared" si="15"/>
        <v>33</v>
      </c>
      <c r="M93" s="120">
        <f t="shared" si="15"/>
        <v>37</v>
      </c>
      <c r="N93" s="120">
        <f t="shared" si="15"/>
        <v>37</v>
      </c>
    </row>
    <row r="94" spans="1:50" ht="16" thickBot="1">
      <c r="A94" s="104"/>
      <c r="B94" s="10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</row>
    <row r="95" spans="1:50" ht="16" thickBot="1">
      <c r="A95" s="122" t="s">
        <v>67</v>
      </c>
      <c r="B95" s="123"/>
      <c r="C95" s="64"/>
      <c r="D95" s="65"/>
      <c r="E95" s="65"/>
      <c r="F95" s="65"/>
      <c r="G95" s="65"/>
      <c r="H95" s="65"/>
      <c r="I95" s="64"/>
      <c r="J95" s="64"/>
      <c r="K95" s="64"/>
      <c r="L95" s="64"/>
      <c r="M95" s="64"/>
      <c r="N95" s="64"/>
    </row>
    <row r="96" spans="1:50" ht="16" thickBot="1">
      <c r="A96" s="124" t="s">
        <v>68</v>
      </c>
      <c r="B96" s="123"/>
      <c r="C96" s="66">
        <v>0</v>
      </c>
      <c r="D96" s="67">
        <v>0</v>
      </c>
      <c r="E96" s="67">
        <v>0</v>
      </c>
      <c r="F96" s="67">
        <v>0</v>
      </c>
      <c r="G96" s="67">
        <v>0</v>
      </c>
      <c r="H96" s="67">
        <v>0</v>
      </c>
      <c r="I96" s="67">
        <v>0</v>
      </c>
      <c r="J96" s="67">
        <v>0</v>
      </c>
      <c r="K96" s="67">
        <v>0</v>
      </c>
      <c r="L96" s="67">
        <v>0</v>
      </c>
      <c r="M96" s="67">
        <v>0</v>
      </c>
      <c r="N96" s="67">
        <v>0</v>
      </c>
    </row>
    <row r="97" spans="1:14">
      <c r="A97" s="125" t="s">
        <v>69</v>
      </c>
      <c r="B97" s="101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</row>
    <row r="98" spans="1:14" ht="16" thickBot="1">
      <c r="A98" s="104"/>
      <c r="B98" s="10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</row>
  </sheetData>
  <mergeCells count="77">
    <mergeCell ref="A45:B45"/>
    <mergeCell ref="A46:B46"/>
    <mergeCell ref="A47:B48"/>
    <mergeCell ref="C47:C48"/>
    <mergeCell ref="D47:D48"/>
    <mergeCell ref="D43:D44"/>
    <mergeCell ref="E43:E44"/>
    <mergeCell ref="N47:N48"/>
    <mergeCell ref="C53:N53"/>
    <mergeCell ref="D54:H54"/>
    <mergeCell ref="I54:N54"/>
    <mergeCell ref="G47:G48"/>
    <mergeCell ref="H47:H48"/>
    <mergeCell ref="I47:I48"/>
    <mergeCell ref="J47:J48"/>
    <mergeCell ref="K47:K48"/>
    <mergeCell ref="L47:L48"/>
    <mergeCell ref="M47:M48"/>
    <mergeCell ref="E47:E48"/>
    <mergeCell ref="F47:F48"/>
    <mergeCell ref="A9:A14"/>
    <mergeCell ref="A16:A21"/>
    <mergeCell ref="M43:M44"/>
    <mergeCell ref="N43:N44"/>
    <mergeCell ref="F43:F44"/>
    <mergeCell ref="G43:G44"/>
    <mergeCell ref="H43:H44"/>
    <mergeCell ref="I43:I44"/>
    <mergeCell ref="J43:J44"/>
    <mergeCell ref="K43:K44"/>
    <mergeCell ref="L43:L44"/>
    <mergeCell ref="A22:A23"/>
    <mergeCell ref="A24:A28"/>
    <mergeCell ref="A33:A39"/>
    <mergeCell ref="A43:B44"/>
    <mergeCell ref="C43:C44"/>
    <mergeCell ref="A1:B3"/>
    <mergeCell ref="C1:N1"/>
    <mergeCell ref="D2:H2"/>
    <mergeCell ref="I2:N2"/>
    <mergeCell ref="A4:A7"/>
    <mergeCell ref="L97:L98"/>
    <mergeCell ref="M97:M98"/>
    <mergeCell ref="N97:N98"/>
    <mergeCell ref="A95:B95"/>
    <mergeCell ref="A96:B96"/>
    <mergeCell ref="A97:B98"/>
    <mergeCell ref="C97:C98"/>
    <mergeCell ref="D97:D98"/>
    <mergeCell ref="E97:E98"/>
    <mergeCell ref="F97:F98"/>
    <mergeCell ref="G97:G98"/>
    <mergeCell ref="H97:H98"/>
    <mergeCell ref="I97:I98"/>
    <mergeCell ref="J97:J98"/>
    <mergeCell ref="K97:K98"/>
    <mergeCell ref="K93:K94"/>
    <mergeCell ref="L93:L94"/>
    <mergeCell ref="M93:M94"/>
    <mergeCell ref="N93:N94"/>
    <mergeCell ref="A88:A91"/>
    <mergeCell ref="A93:B94"/>
    <mergeCell ref="C93:C94"/>
    <mergeCell ref="D93:D94"/>
    <mergeCell ref="E93:E94"/>
    <mergeCell ref="F93:F94"/>
    <mergeCell ref="G93:G94"/>
    <mergeCell ref="A72:A76"/>
    <mergeCell ref="A81:A87"/>
    <mergeCell ref="H93:H94"/>
    <mergeCell ref="I93:I94"/>
    <mergeCell ref="J93:J94"/>
    <mergeCell ref="A53:B55"/>
    <mergeCell ref="A56:A58"/>
    <mergeCell ref="A60:A62"/>
    <mergeCell ref="A64:A69"/>
    <mergeCell ref="A70:A71"/>
  </mergeCells>
  <printOptions verticalCentered="1"/>
  <pageMargins left="0.78740157480314965" right="0.78740157480314965" top="0.74803149606299213" bottom="0.74803149606299213" header="0" footer="0"/>
  <pageSetup scale="8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3"/>
  <sheetViews>
    <sheetView workbookViewId="0">
      <selection activeCell="G13" sqref="G13"/>
    </sheetView>
  </sheetViews>
  <sheetFormatPr baseColWidth="10" defaultColWidth="14.5" defaultRowHeight="15" customHeight="1"/>
  <cols>
    <col min="1" max="1" width="26.83203125" bestFit="1" customWidth="1"/>
    <col min="2" max="2" width="11.1640625" bestFit="1" customWidth="1"/>
    <col min="3" max="3" width="53.6640625" bestFit="1" customWidth="1"/>
    <col min="4" max="4" width="32.33203125" bestFit="1" customWidth="1"/>
  </cols>
  <sheetData>
    <row r="1" spans="1:7" ht="30">
      <c r="A1" s="151" t="s">
        <v>0</v>
      </c>
      <c r="B1" s="152"/>
      <c r="C1" s="152"/>
      <c r="D1" s="153"/>
    </row>
    <row r="2" spans="1:7">
      <c r="A2" s="154" t="s">
        <v>2</v>
      </c>
      <c r="B2" s="155"/>
      <c r="C2" s="155"/>
      <c r="D2" s="156"/>
    </row>
    <row r="3" spans="1:7" ht="23">
      <c r="A3" s="157" t="s">
        <v>78</v>
      </c>
      <c r="B3" s="158"/>
      <c r="C3" s="158"/>
      <c r="D3" s="159"/>
    </row>
    <row r="4" spans="1:7">
      <c r="A4" s="160"/>
      <c r="B4" s="161"/>
      <c r="C4" s="161"/>
      <c r="D4" s="162"/>
    </row>
    <row r="5" spans="1:7" ht="30">
      <c r="A5" s="163" t="s">
        <v>4</v>
      </c>
      <c r="B5" s="147" t="s">
        <v>5</v>
      </c>
      <c r="C5" s="147" t="s">
        <v>6</v>
      </c>
      <c r="D5" s="164" t="s">
        <v>7</v>
      </c>
    </row>
    <row r="6" spans="1:7">
      <c r="A6" s="165" t="s">
        <v>8</v>
      </c>
      <c r="B6" s="148" t="s">
        <v>9</v>
      </c>
      <c r="C6" s="149">
        <v>46055</v>
      </c>
      <c r="D6" s="166">
        <v>46121</v>
      </c>
      <c r="F6">
        <f>D6-C6</f>
        <v>66</v>
      </c>
      <c r="G6">
        <f>ROUNDUP(F6/7,0)</f>
        <v>10</v>
      </c>
    </row>
    <row r="7" spans="1:7">
      <c r="A7" s="165" t="s">
        <v>10</v>
      </c>
      <c r="B7" s="148" t="s">
        <v>11</v>
      </c>
      <c r="C7" s="150">
        <v>46125</v>
      </c>
      <c r="D7" s="167">
        <v>46184</v>
      </c>
      <c r="F7">
        <f t="shared" ref="F7:F10" si="0">D7-C7</f>
        <v>59</v>
      </c>
      <c r="G7">
        <f t="shared" ref="G7:G10" si="1">ROUNDUP(F7/7,0)</f>
        <v>9</v>
      </c>
    </row>
    <row r="8" spans="1:7">
      <c r="A8" s="165" t="s">
        <v>13</v>
      </c>
      <c r="B8" s="148" t="s">
        <v>11</v>
      </c>
      <c r="C8" s="173">
        <v>46187</v>
      </c>
      <c r="D8" s="167">
        <v>46268</v>
      </c>
      <c r="F8">
        <f t="shared" si="0"/>
        <v>81</v>
      </c>
      <c r="G8">
        <f t="shared" si="1"/>
        <v>12</v>
      </c>
    </row>
    <row r="9" spans="1:7">
      <c r="A9" s="165" t="s">
        <v>14</v>
      </c>
      <c r="B9" s="148" t="s">
        <v>11</v>
      </c>
      <c r="C9" s="174">
        <v>46271</v>
      </c>
      <c r="D9" s="167">
        <v>46338</v>
      </c>
      <c r="F9">
        <f t="shared" si="0"/>
        <v>67</v>
      </c>
      <c r="G9">
        <f t="shared" si="1"/>
        <v>10</v>
      </c>
    </row>
    <row r="10" spans="1:7" ht="16" thickBot="1">
      <c r="A10" s="168" t="s">
        <v>17</v>
      </c>
      <c r="B10" s="169" t="s">
        <v>18</v>
      </c>
      <c r="C10" s="170">
        <v>46342</v>
      </c>
      <c r="D10" s="171">
        <v>46352</v>
      </c>
      <c r="F10">
        <f t="shared" si="0"/>
        <v>10</v>
      </c>
      <c r="G10">
        <f t="shared" si="1"/>
        <v>2</v>
      </c>
    </row>
    <row r="12" spans="1:7" ht="15" customHeight="1">
      <c r="C12" s="172" t="s">
        <v>79</v>
      </c>
    </row>
    <row r="13" spans="1:7" ht="15" customHeight="1">
      <c r="C13" s="175" t="s">
        <v>80</v>
      </c>
    </row>
  </sheetData>
  <mergeCells count="3">
    <mergeCell ref="A1:D1"/>
    <mergeCell ref="A2:D2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 Propuesta</vt:lpstr>
      <vt:lpstr>crono_academico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HENRY A DE LA OSSA S</cp:lastModifiedBy>
  <dcterms:created xsi:type="dcterms:W3CDTF">2026-05-17T21:30:14Z</dcterms:created>
  <dcterms:modified xsi:type="dcterms:W3CDTF">2026-09-29T12:55:07Z</dcterms:modified>
</cp:coreProperties>
</file>