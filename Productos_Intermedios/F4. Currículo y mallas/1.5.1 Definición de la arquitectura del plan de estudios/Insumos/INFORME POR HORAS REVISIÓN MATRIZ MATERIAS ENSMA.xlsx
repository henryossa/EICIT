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henryossa/Documents/EICIT-2026/008.Ma_Auxiliadora/000. Proceso/F3. MP/reexceldehorariosdeclasesporcurso/"/>
    </mc:Choice>
  </mc:AlternateContent>
  <xr:revisionPtr revIDLastSave="0" documentId="13_ncr:1_{8081B974-5F69-464F-88F7-2D5CE129B49C}" xr6:coauthVersionLast="47" xr6:coauthVersionMax="47" xr10:uidLastSave="{00000000-0000-0000-0000-000000000000}"/>
  <bookViews>
    <workbookView xWindow="0" yWindow="600" windowWidth="28800" windowHeight="16640" activeTab="3" xr2:uid="{00000000-000D-0000-FFFF-FFFF00000000}"/>
  </bookViews>
  <sheets>
    <sheet name="Resumen cursos" sheetId="1" r:id="rId1"/>
    <sheet name="Resumen materias" sheetId="2" r:id="rId2"/>
    <sheet name="Matriz cursos" sheetId="3" r:id="rId3"/>
    <sheet name="Detalle" sheetId="4" r:id="rId4"/>
    <sheet name="Observaciones" sheetId="5" r:id="rId5"/>
    <sheet name="Curso TA" sheetId="6" r:id="rId6"/>
    <sheet name="Curso 1A" sheetId="7" r:id="rId7"/>
    <sheet name="Curso 1B" sheetId="8" r:id="rId8"/>
    <sheet name="Curso 2A" sheetId="9" r:id="rId9"/>
    <sheet name="Curso 2B" sheetId="10" r:id="rId10"/>
    <sheet name="Curso 3A" sheetId="11" r:id="rId11"/>
    <sheet name="Curso 3B" sheetId="12" r:id="rId12"/>
    <sheet name="Curso 3C" sheetId="13" r:id="rId13"/>
    <sheet name="Curso 4A" sheetId="14" r:id="rId14"/>
    <sheet name="Curso 4B" sheetId="15" r:id="rId15"/>
    <sheet name="Curso 5A" sheetId="16" r:id="rId16"/>
    <sheet name="Curso 5B" sheetId="17" r:id="rId17"/>
    <sheet name="Curso 6A" sheetId="18" r:id="rId18"/>
    <sheet name="Curso 6B" sheetId="19" r:id="rId19"/>
    <sheet name="Curso 7A" sheetId="20" r:id="rId20"/>
    <sheet name="Curso 7B" sheetId="21" r:id="rId21"/>
    <sheet name="Curso 8°" sheetId="22" r:id="rId22"/>
    <sheet name="Curso 9°" sheetId="23" r:id="rId23"/>
    <sheet name="Curso 10°" sheetId="24" r:id="rId24"/>
    <sheet name="Curso 11°" sheetId="25" r:id="rId25"/>
    <sheet name="Curso IV SEMESTRE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6" l="1"/>
  <c r="C15" i="26"/>
  <c r="B15" i="26"/>
  <c r="B14" i="26"/>
  <c r="C14" i="26" s="1"/>
  <c r="B13" i="26"/>
  <c r="C13" i="26" s="1"/>
  <c r="B12" i="26"/>
  <c r="C12" i="26" s="1"/>
  <c r="B11" i="26"/>
  <c r="B10" i="26"/>
  <c r="C9" i="26"/>
  <c r="B9" i="26"/>
  <c r="B8" i="26"/>
  <c r="C8" i="26" s="1"/>
  <c r="B7" i="26"/>
  <c r="C7" i="26" s="1"/>
  <c r="B6" i="26"/>
  <c r="B5" i="26"/>
  <c r="B2" i="26"/>
  <c r="C11" i="26" s="1"/>
  <c r="B21" i="25"/>
  <c r="B20" i="25"/>
  <c r="C20" i="25" s="1"/>
  <c r="C19" i="25"/>
  <c r="B19" i="25"/>
  <c r="C18" i="25"/>
  <c r="B18" i="25"/>
  <c r="B17" i="25"/>
  <c r="B16" i="25"/>
  <c r="B15" i="25"/>
  <c r="B14" i="25"/>
  <c r="C14" i="25" s="1"/>
  <c r="B13" i="25"/>
  <c r="C13" i="25" s="1"/>
  <c r="C12" i="25"/>
  <c r="B12" i="25"/>
  <c r="B11" i="25"/>
  <c r="B10" i="25"/>
  <c r="B9" i="25"/>
  <c r="B8" i="25"/>
  <c r="C8" i="25" s="1"/>
  <c r="C7" i="25"/>
  <c r="B7" i="25"/>
  <c r="C6" i="25"/>
  <c r="B6" i="25"/>
  <c r="B5" i="25"/>
  <c r="B2" i="25"/>
  <c r="C17" i="25" s="1"/>
  <c r="B21" i="24"/>
  <c r="C21" i="24" s="1"/>
  <c r="B20" i="24"/>
  <c r="C20" i="24" s="1"/>
  <c r="C19" i="24"/>
  <c r="B19" i="24"/>
  <c r="B18" i="24"/>
  <c r="B17" i="24"/>
  <c r="B16" i="24"/>
  <c r="B15" i="24"/>
  <c r="C15" i="24" s="1"/>
  <c r="B14" i="24"/>
  <c r="C14" i="24" s="1"/>
  <c r="C13" i="24"/>
  <c r="B13" i="24"/>
  <c r="B12" i="24"/>
  <c r="B11" i="24"/>
  <c r="B10" i="24"/>
  <c r="B9" i="24"/>
  <c r="C9" i="24" s="1"/>
  <c r="B8" i="24"/>
  <c r="C8" i="24" s="1"/>
  <c r="B7" i="24"/>
  <c r="C7" i="24" s="1"/>
  <c r="B6" i="24"/>
  <c r="B5" i="24"/>
  <c r="B2" i="24"/>
  <c r="C18" i="24" s="1"/>
  <c r="B22" i="23"/>
  <c r="B21" i="23"/>
  <c r="C21" i="23" s="1"/>
  <c r="C20" i="23"/>
  <c r="B20" i="23"/>
  <c r="B19" i="23"/>
  <c r="B18" i="23"/>
  <c r="B17" i="23"/>
  <c r="B16" i="23"/>
  <c r="C15" i="23"/>
  <c r="B15" i="23"/>
  <c r="C14" i="23"/>
  <c r="B14" i="23"/>
  <c r="B13" i="23"/>
  <c r="B12" i="23"/>
  <c r="B11" i="23"/>
  <c r="B10" i="23"/>
  <c r="C9" i="23"/>
  <c r="B9" i="23"/>
  <c r="C8" i="23"/>
  <c r="B8" i="23"/>
  <c r="B7" i="23"/>
  <c r="B6" i="23"/>
  <c r="B5" i="23"/>
  <c r="B2" i="23"/>
  <c r="C19" i="23" s="1"/>
  <c r="C23" i="22"/>
  <c r="B23" i="22"/>
  <c r="B22" i="22"/>
  <c r="B21" i="22"/>
  <c r="C21" i="22" s="1"/>
  <c r="C20" i="22"/>
  <c r="B20" i="22"/>
  <c r="B19" i="22"/>
  <c r="C19" i="22" s="1"/>
  <c r="B18" i="22"/>
  <c r="C18" i="22" s="1"/>
  <c r="C17" i="22"/>
  <c r="B17" i="22"/>
  <c r="B16" i="22"/>
  <c r="B15" i="22"/>
  <c r="C15" i="22" s="1"/>
  <c r="C14" i="22"/>
  <c r="B14" i="22"/>
  <c r="B13" i="22"/>
  <c r="C13" i="22" s="1"/>
  <c r="B12" i="22"/>
  <c r="C12" i="22" s="1"/>
  <c r="B11" i="22"/>
  <c r="C11" i="22" s="1"/>
  <c r="B10" i="22"/>
  <c r="B9" i="22"/>
  <c r="C9" i="22" s="1"/>
  <c r="C8" i="22"/>
  <c r="B8" i="22"/>
  <c r="B7" i="22"/>
  <c r="C7" i="22" s="1"/>
  <c r="B6" i="22"/>
  <c r="C6" i="22" s="1"/>
  <c r="C5" i="22"/>
  <c r="B5" i="22"/>
  <c r="B2" i="22"/>
  <c r="C22" i="22" s="1"/>
  <c r="B22" i="21"/>
  <c r="B21" i="21"/>
  <c r="B20" i="21"/>
  <c r="C20" i="21" s="1"/>
  <c r="B19" i="21"/>
  <c r="C19" i="21" s="1"/>
  <c r="C18" i="21"/>
  <c r="B18" i="21"/>
  <c r="B17" i="21"/>
  <c r="B16" i="21"/>
  <c r="B15" i="21"/>
  <c r="B14" i="21"/>
  <c r="C14" i="21" s="1"/>
  <c r="B13" i="21"/>
  <c r="C13" i="21" s="1"/>
  <c r="C12" i="21"/>
  <c r="B12" i="21"/>
  <c r="B11" i="21"/>
  <c r="B10" i="21"/>
  <c r="B9" i="21"/>
  <c r="B8" i="21"/>
  <c r="C8" i="21" s="1"/>
  <c r="B7" i="21"/>
  <c r="C6" i="21"/>
  <c r="B6" i="21"/>
  <c r="B5" i="21"/>
  <c r="B2" i="21"/>
  <c r="C17" i="21" s="1"/>
  <c r="B22" i="20"/>
  <c r="B21" i="20"/>
  <c r="C21" i="20" s="1"/>
  <c r="B20" i="20"/>
  <c r="C20" i="20" s="1"/>
  <c r="B19" i="20"/>
  <c r="B18" i="20"/>
  <c r="B17" i="20"/>
  <c r="B16" i="20"/>
  <c r="B15" i="20"/>
  <c r="C15" i="20" s="1"/>
  <c r="B14" i="20"/>
  <c r="C14" i="20" s="1"/>
  <c r="B13" i="20"/>
  <c r="B12" i="20"/>
  <c r="B11" i="20"/>
  <c r="B10" i="20"/>
  <c r="B9" i="20"/>
  <c r="C9" i="20" s="1"/>
  <c r="C8" i="20"/>
  <c r="B8" i="20"/>
  <c r="B7" i="20"/>
  <c r="B6" i="20"/>
  <c r="B5" i="20"/>
  <c r="B2" i="20"/>
  <c r="C19" i="20" s="1"/>
  <c r="B22" i="19"/>
  <c r="C21" i="19"/>
  <c r="B21" i="19"/>
  <c r="B20" i="19"/>
  <c r="B19" i="19"/>
  <c r="B18" i="19"/>
  <c r="B17" i="19"/>
  <c r="B16" i="19"/>
  <c r="C15" i="19"/>
  <c r="B15" i="19"/>
  <c r="B14" i="19"/>
  <c r="B13" i="19"/>
  <c r="B12" i="19"/>
  <c r="B11" i="19"/>
  <c r="B10" i="19"/>
  <c r="C10" i="19" s="1"/>
  <c r="B9" i="19"/>
  <c r="B8" i="19"/>
  <c r="B7" i="19"/>
  <c r="B6" i="19"/>
  <c r="B5" i="19"/>
  <c r="B2" i="19"/>
  <c r="B22" i="18"/>
  <c r="B21" i="18"/>
  <c r="C21" i="18" s="1"/>
  <c r="B20" i="18"/>
  <c r="B19" i="18"/>
  <c r="C19" i="18" s="1"/>
  <c r="B18" i="18"/>
  <c r="C18" i="18" s="1"/>
  <c r="B17" i="18"/>
  <c r="C17" i="18" s="1"/>
  <c r="B16" i="18"/>
  <c r="B15" i="18"/>
  <c r="C15" i="18" s="1"/>
  <c r="B14" i="18"/>
  <c r="B13" i="18"/>
  <c r="C13" i="18" s="1"/>
  <c r="B12" i="18"/>
  <c r="C12" i="18" s="1"/>
  <c r="B11" i="18"/>
  <c r="C11" i="18" s="1"/>
  <c r="B10" i="18"/>
  <c r="B9" i="18"/>
  <c r="C9" i="18" s="1"/>
  <c r="B8" i="18"/>
  <c r="B7" i="18"/>
  <c r="C7" i="18" s="1"/>
  <c r="B6" i="18"/>
  <c r="C6" i="18" s="1"/>
  <c r="C5" i="18"/>
  <c r="B5" i="18"/>
  <c r="B2" i="18"/>
  <c r="C22" i="18" s="1"/>
  <c r="B22" i="17"/>
  <c r="B21" i="17"/>
  <c r="B20" i="17"/>
  <c r="C20" i="17" s="1"/>
  <c r="B19" i="17"/>
  <c r="C19" i="17" s="1"/>
  <c r="C18" i="17"/>
  <c r="B18" i="17"/>
  <c r="B17" i="17"/>
  <c r="B16" i="17"/>
  <c r="B15" i="17"/>
  <c r="B14" i="17"/>
  <c r="C14" i="17" s="1"/>
  <c r="B13" i="17"/>
  <c r="C13" i="17" s="1"/>
  <c r="C12" i="17"/>
  <c r="B12" i="17"/>
  <c r="B11" i="17"/>
  <c r="B10" i="17"/>
  <c r="B9" i="17"/>
  <c r="B8" i="17"/>
  <c r="C8" i="17" s="1"/>
  <c r="B7" i="17"/>
  <c r="C6" i="17"/>
  <c r="B6" i="17"/>
  <c r="B5" i="17"/>
  <c r="B2" i="17"/>
  <c r="C17" i="17" s="1"/>
  <c r="B22" i="16"/>
  <c r="B21" i="16"/>
  <c r="C21" i="16" s="1"/>
  <c r="B20" i="16"/>
  <c r="C20" i="16" s="1"/>
  <c r="B19" i="16"/>
  <c r="B18" i="16"/>
  <c r="B17" i="16"/>
  <c r="B16" i="16"/>
  <c r="B15" i="16"/>
  <c r="C15" i="16" s="1"/>
  <c r="B14" i="16"/>
  <c r="C14" i="16" s="1"/>
  <c r="B13" i="16"/>
  <c r="B12" i="16"/>
  <c r="B11" i="16"/>
  <c r="B10" i="16"/>
  <c r="B9" i="16"/>
  <c r="C9" i="16" s="1"/>
  <c r="B8" i="16"/>
  <c r="C8" i="16" s="1"/>
  <c r="B7" i="16"/>
  <c r="B6" i="16"/>
  <c r="B5" i="16"/>
  <c r="B2" i="16"/>
  <c r="C19" i="16" s="1"/>
  <c r="B22" i="15"/>
  <c r="C21" i="15"/>
  <c r="B21" i="15"/>
  <c r="B20" i="15"/>
  <c r="B19" i="15"/>
  <c r="B18" i="15"/>
  <c r="B17" i="15"/>
  <c r="B16" i="15"/>
  <c r="C15" i="15"/>
  <c r="B15" i="15"/>
  <c r="B14" i="15"/>
  <c r="B13" i="15"/>
  <c r="B12" i="15"/>
  <c r="B11" i="15"/>
  <c r="B10" i="15"/>
  <c r="D12" i="1" s="1"/>
  <c r="B9" i="15"/>
  <c r="B8" i="15"/>
  <c r="B7" i="15"/>
  <c r="B6" i="15"/>
  <c r="B5" i="15"/>
  <c r="B2" i="15"/>
  <c r="B22" i="14"/>
  <c r="B21" i="14"/>
  <c r="B20" i="14"/>
  <c r="B19" i="14"/>
  <c r="C19" i="14" s="1"/>
  <c r="B18" i="14"/>
  <c r="C18" i="14" s="1"/>
  <c r="B17" i="14"/>
  <c r="C17" i="14" s="1"/>
  <c r="B16" i="14"/>
  <c r="B15" i="14"/>
  <c r="B14" i="14"/>
  <c r="B13" i="14"/>
  <c r="C13" i="14" s="1"/>
  <c r="B12" i="14"/>
  <c r="C12" i="14" s="1"/>
  <c r="B11" i="14"/>
  <c r="C11" i="14" s="1"/>
  <c r="B10" i="14"/>
  <c r="B9" i="14"/>
  <c r="B8" i="14"/>
  <c r="B7" i="14"/>
  <c r="C7" i="14" s="1"/>
  <c r="B6" i="14"/>
  <c r="C6" i="14" s="1"/>
  <c r="C5" i="14"/>
  <c r="B5" i="14"/>
  <c r="B2" i="14"/>
  <c r="C22" i="14" s="1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2" i="13"/>
  <c r="C5" i="13" s="1"/>
  <c r="B20" i="12"/>
  <c r="B19" i="12"/>
  <c r="B18" i="12"/>
  <c r="B17" i="12"/>
  <c r="B16" i="12"/>
  <c r="B15" i="12"/>
  <c r="B14" i="12"/>
  <c r="B13" i="12"/>
  <c r="B12" i="12"/>
  <c r="B11" i="12"/>
  <c r="C10" i="12"/>
  <c r="B10" i="12"/>
  <c r="B9" i="12"/>
  <c r="B8" i="12"/>
  <c r="B7" i="12"/>
  <c r="B6" i="12"/>
  <c r="B5" i="12"/>
  <c r="B21" i="12" s="1"/>
  <c r="B2" i="12"/>
  <c r="B20" i="11"/>
  <c r="B19" i="11"/>
  <c r="B18" i="11"/>
  <c r="B17" i="11"/>
  <c r="B16" i="11"/>
  <c r="D8" i="1" s="1"/>
  <c r="B15" i="11"/>
  <c r="B14" i="11"/>
  <c r="B13" i="11"/>
  <c r="B12" i="11"/>
  <c r="B11" i="11"/>
  <c r="B10" i="11"/>
  <c r="B9" i="11"/>
  <c r="B8" i="11"/>
  <c r="B7" i="11"/>
  <c r="B6" i="11"/>
  <c r="B5" i="11"/>
  <c r="B21" i="11" s="1"/>
  <c r="B2" i="11"/>
  <c r="B19" i="10"/>
  <c r="B18" i="10"/>
  <c r="B17" i="10"/>
  <c r="B16" i="10"/>
  <c r="B15" i="10"/>
  <c r="C15" i="10" s="1"/>
  <c r="B14" i="10"/>
  <c r="C14" i="10" s="1"/>
  <c r="B13" i="10"/>
  <c r="B12" i="10"/>
  <c r="B11" i="10"/>
  <c r="B10" i="10"/>
  <c r="B9" i="10"/>
  <c r="C9" i="10" s="1"/>
  <c r="B8" i="10"/>
  <c r="B7" i="10"/>
  <c r="B6" i="10"/>
  <c r="B5" i="10"/>
  <c r="B2" i="10"/>
  <c r="C19" i="10" s="1"/>
  <c r="B20" i="9"/>
  <c r="C20" i="9" s="1"/>
  <c r="C19" i="9"/>
  <c r="B19" i="9"/>
  <c r="B18" i="9"/>
  <c r="C18" i="9" s="1"/>
  <c r="C17" i="9"/>
  <c r="B17" i="9"/>
  <c r="B16" i="9"/>
  <c r="B15" i="9"/>
  <c r="C15" i="9" s="1"/>
  <c r="B14" i="9"/>
  <c r="C14" i="9" s="1"/>
  <c r="C13" i="9"/>
  <c r="B13" i="9"/>
  <c r="B12" i="9"/>
  <c r="C12" i="9" s="1"/>
  <c r="C11" i="9"/>
  <c r="B11" i="9"/>
  <c r="B10" i="9"/>
  <c r="B9" i="9"/>
  <c r="C9" i="9" s="1"/>
  <c r="B8" i="9"/>
  <c r="C7" i="9"/>
  <c r="B7" i="9"/>
  <c r="B6" i="9"/>
  <c r="C6" i="9" s="1"/>
  <c r="C5" i="9"/>
  <c r="B5" i="9"/>
  <c r="B2" i="9"/>
  <c r="C16" i="9" s="1"/>
  <c r="B20" i="8"/>
  <c r="C20" i="8" s="1"/>
  <c r="B19" i="8"/>
  <c r="C19" i="8" s="1"/>
  <c r="C18" i="8"/>
  <c r="B18" i="8"/>
  <c r="C17" i="8"/>
  <c r="B17" i="8"/>
  <c r="B16" i="8"/>
  <c r="B15" i="8"/>
  <c r="C15" i="8" s="1"/>
  <c r="B14" i="8"/>
  <c r="C14" i="8" s="1"/>
  <c r="B13" i="8"/>
  <c r="C13" i="8" s="1"/>
  <c r="C12" i="8"/>
  <c r="B12" i="8"/>
  <c r="C11" i="8"/>
  <c r="B11" i="8"/>
  <c r="B10" i="8"/>
  <c r="B9" i="8"/>
  <c r="C9" i="8" s="1"/>
  <c r="B8" i="8"/>
  <c r="C8" i="8" s="1"/>
  <c r="B7" i="8"/>
  <c r="B21" i="8" s="1"/>
  <c r="C6" i="8"/>
  <c r="B6" i="8"/>
  <c r="C5" i="8"/>
  <c r="B5" i="8"/>
  <c r="B2" i="8"/>
  <c r="C16" i="8" s="1"/>
  <c r="B20" i="7"/>
  <c r="C20" i="7" s="1"/>
  <c r="C19" i="7"/>
  <c r="B19" i="7"/>
  <c r="C18" i="7"/>
  <c r="B18" i="7"/>
  <c r="B17" i="7"/>
  <c r="B16" i="7"/>
  <c r="B15" i="7"/>
  <c r="B14" i="7"/>
  <c r="C14" i="7" s="1"/>
  <c r="B13" i="7"/>
  <c r="C13" i="7" s="1"/>
  <c r="C12" i="7"/>
  <c r="B12" i="7"/>
  <c r="B11" i="7"/>
  <c r="B10" i="7"/>
  <c r="B9" i="7"/>
  <c r="B8" i="7"/>
  <c r="C8" i="7" s="1"/>
  <c r="B7" i="7"/>
  <c r="B21" i="7" s="1"/>
  <c r="C6" i="7"/>
  <c r="B6" i="7"/>
  <c r="B5" i="7"/>
  <c r="B2" i="7"/>
  <c r="C17" i="7" s="1"/>
  <c r="B18" i="6"/>
  <c r="C18" i="6" s="1"/>
  <c r="B17" i="6"/>
  <c r="C17" i="6" s="1"/>
  <c r="C16" i="6"/>
  <c r="B16" i="6"/>
  <c r="B15" i="6"/>
  <c r="C14" i="6"/>
  <c r="B14" i="6"/>
  <c r="B13" i="6"/>
  <c r="B12" i="6"/>
  <c r="C12" i="6" s="1"/>
  <c r="B11" i="6"/>
  <c r="C11" i="6" s="1"/>
  <c r="B10" i="6"/>
  <c r="C10" i="6" s="1"/>
  <c r="B9" i="6"/>
  <c r="C8" i="6"/>
  <c r="B8" i="6"/>
  <c r="B7" i="6"/>
  <c r="B6" i="6"/>
  <c r="C6" i="6" s="1"/>
  <c r="B5" i="6"/>
  <c r="C5" i="6" s="1"/>
  <c r="B4" i="6"/>
  <c r="B2" i="6"/>
  <c r="C15" i="6" s="1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C48" i="2" s="1"/>
  <c r="E48" i="3"/>
  <c r="D48" i="3"/>
  <c r="C48" i="3"/>
  <c r="B48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V46" i="3"/>
  <c r="U46" i="3"/>
  <c r="T46" i="3"/>
  <c r="S46" i="3"/>
  <c r="R46" i="3"/>
  <c r="Q46" i="3"/>
  <c r="P46" i="3"/>
  <c r="O46" i="3"/>
  <c r="N46" i="3"/>
  <c r="M46" i="3"/>
  <c r="L46" i="3"/>
  <c r="C46" i="2" s="1"/>
  <c r="K46" i="3"/>
  <c r="J46" i="3"/>
  <c r="I46" i="3"/>
  <c r="H46" i="3"/>
  <c r="G46" i="3"/>
  <c r="F46" i="3"/>
  <c r="E46" i="3"/>
  <c r="D46" i="3"/>
  <c r="C46" i="3"/>
  <c r="B46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C45" i="2" s="1"/>
  <c r="H45" i="3"/>
  <c r="G45" i="3"/>
  <c r="F45" i="3"/>
  <c r="E45" i="3"/>
  <c r="D45" i="3"/>
  <c r="C45" i="3"/>
  <c r="B45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C44" i="2" s="1"/>
  <c r="E44" i="3"/>
  <c r="D44" i="3"/>
  <c r="C44" i="3"/>
  <c r="B44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C43" i="2" s="1"/>
  <c r="B43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C41" i="2" s="1"/>
  <c r="H41" i="3"/>
  <c r="G41" i="3"/>
  <c r="F41" i="3"/>
  <c r="E41" i="3"/>
  <c r="D41" i="3"/>
  <c r="C41" i="3"/>
  <c r="B41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C40" i="2" s="1"/>
  <c r="E40" i="3"/>
  <c r="D40" i="3"/>
  <c r="C40" i="3"/>
  <c r="B40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C39" i="2" s="1"/>
  <c r="B39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C36" i="2" s="1"/>
  <c r="E36" i="3"/>
  <c r="D36" i="3"/>
  <c r="C36" i="3"/>
  <c r="B36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C35" i="2" s="1"/>
  <c r="B35" i="3"/>
  <c r="V34" i="3"/>
  <c r="U34" i="3"/>
  <c r="T34" i="3"/>
  <c r="S34" i="3"/>
  <c r="R34" i="3"/>
  <c r="Q34" i="3"/>
  <c r="P34" i="3"/>
  <c r="O34" i="3"/>
  <c r="N34" i="3"/>
  <c r="M34" i="3"/>
  <c r="L34" i="3"/>
  <c r="C34" i="2" s="1"/>
  <c r="K34" i="3"/>
  <c r="J34" i="3"/>
  <c r="I34" i="3"/>
  <c r="H34" i="3"/>
  <c r="G34" i="3"/>
  <c r="F34" i="3"/>
  <c r="E34" i="3"/>
  <c r="D34" i="3"/>
  <c r="C34" i="3"/>
  <c r="B34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C32" i="2" s="1"/>
  <c r="E32" i="3"/>
  <c r="D32" i="3"/>
  <c r="C32" i="3"/>
  <c r="B32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C29" i="2" s="1"/>
  <c r="H29" i="3"/>
  <c r="G29" i="3"/>
  <c r="F29" i="3"/>
  <c r="E29" i="3"/>
  <c r="D29" i="3"/>
  <c r="C29" i="3"/>
  <c r="B29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C28" i="2" s="1"/>
  <c r="E28" i="3"/>
  <c r="D28" i="3"/>
  <c r="C28" i="3"/>
  <c r="B28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C27" i="2" s="1"/>
  <c r="B27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C23" i="2" s="1"/>
  <c r="B23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C22" i="2" s="1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C21" i="2" s="1"/>
  <c r="H21" i="3"/>
  <c r="G21" i="3"/>
  <c r="F21" i="3"/>
  <c r="E21" i="3"/>
  <c r="D21" i="3"/>
  <c r="C21" i="3"/>
  <c r="B21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C17" i="2" s="1"/>
  <c r="H17" i="3"/>
  <c r="G17" i="3"/>
  <c r="F17" i="3"/>
  <c r="E17" i="3"/>
  <c r="D17" i="3"/>
  <c r="C17" i="3"/>
  <c r="B17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C16" i="2" s="1"/>
  <c r="E16" i="3"/>
  <c r="D16" i="3"/>
  <c r="C16" i="3"/>
  <c r="B16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C11" i="2" s="1"/>
  <c r="B11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C10" i="2" s="1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C9" i="2" s="1"/>
  <c r="H9" i="3"/>
  <c r="G9" i="3"/>
  <c r="F9" i="3"/>
  <c r="E9" i="3"/>
  <c r="D9" i="3"/>
  <c r="C9" i="3"/>
  <c r="B9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C5" i="2" s="1"/>
  <c r="H5" i="3"/>
  <c r="G5" i="3"/>
  <c r="F5" i="3"/>
  <c r="E5" i="3"/>
  <c r="D5" i="3"/>
  <c r="C5" i="3"/>
  <c r="B5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C4" i="2" s="1"/>
  <c r="E4" i="3"/>
  <c r="D4" i="3"/>
  <c r="C4" i="3"/>
  <c r="B4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C3" i="2" s="1"/>
  <c r="B3" i="3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C33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C15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C23" i="1"/>
  <c r="B23" i="1"/>
  <c r="C22" i="1"/>
  <c r="B22" i="1"/>
  <c r="D21" i="1"/>
  <c r="C21" i="1"/>
  <c r="B21" i="1"/>
  <c r="C20" i="1"/>
  <c r="B20" i="1"/>
  <c r="C19" i="1"/>
  <c r="B19" i="1"/>
  <c r="C18" i="1"/>
  <c r="B18" i="1"/>
  <c r="C17" i="1"/>
  <c r="B17" i="1"/>
  <c r="D16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15" i="12" l="1"/>
  <c r="C9" i="12"/>
  <c r="C20" i="12"/>
  <c r="C14" i="12"/>
  <c r="C8" i="12"/>
  <c r="C19" i="12"/>
  <c r="C13" i="12"/>
  <c r="C7" i="12"/>
  <c r="C18" i="12"/>
  <c r="C12" i="12"/>
  <c r="C6" i="12"/>
  <c r="C17" i="12"/>
  <c r="C11" i="12"/>
  <c r="C5" i="12"/>
  <c r="C10" i="13"/>
  <c r="B23" i="14"/>
  <c r="B23" i="18"/>
  <c r="B20" i="10"/>
  <c r="C10" i="15"/>
  <c r="C20" i="11"/>
  <c r="C14" i="11"/>
  <c r="C8" i="11"/>
  <c r="C19" i="11"/>
  <c r="C13" i="11"/>
  <c r="C7" i="11"/>
  <c r="C18" i="11"/>
  <c r="C12" i="11"/>
  <c r="C6" i="11"/>
  <c r="C17" i="11"/>
  <c r="C11" i="11"/>
  <c r="C5" i="11"/>
  <c r="C16" i="12"/>
  <c r="C20" i="15"/>
  <c r="C14" i="15"/>
  <c r="C8" i="15"/>
  <c r="C17" i="15"/>
  <c r="C11" i="15"/>
  <c r="C5" i="15"/>
  <c r="C19" i="15"/>
  <c r="C13" i="15"/>
  <c r="C7" i="15"/>
  <c r="C18" i="15"/>
  <c r="C12" i="15"/>
  <c r="C6" i="15"/>
  <c r="C22" i="15"/>
  <c r="B23" i="21"/>
  <c r="D13" i="1"/>
  <c r="C13" i="2"/>
  <c r="C25" i="2"/>
  <c r="C37" i="2"/>
  <c r="C49" i="2"/>
  <c r="D4" i="1"/>
  <c r="B51" i="2"/>
  <c r="C17" i="13"/>
  <c r="D9" i="1"/>
  <c r="D5" i="1"/>
  <c r="C15" i="11"/>
  <c r="D20" i="1"/>
  <c r="C11" i="13"/>
  <c r="B23" i="17"/>
  <c r="C20" i="19"/>
  <c r="C14" i="19"/>
  <c r="C8" i="19"/>
  <c r="C19" i="19"/>
  <c r="C13" i="19"/>
  <c r="C7" i="19"/>
  <c r="C17" i="19"/>
  <c r="C11" i="19"/>
  <c r="C5" i="19"/>
  <c r="C18" i="19"/>
  <c r="C12" i="19"/>
  <c r="C6" i="19"/>
  <c r="C22" i="19"/>
  <c r="C7" i="2"/>
  <c r="C8" i="2"/>
  <c r="C12" i="2"/>
  <c r="C19" i="2"/>
  <c r="C20" i="2"/>
  <c r="C31" i="2"/>
  <c r="C16" i="11"/>
  <c r="D11" i="1"/>
  <c r="B23" i="15"/>
  <c r="D15" i="1"/>
  <c r="B23" i="19"/>
  <c r="D19" i="1"/>
  <c r="C24" i="2"/>
  <c r="D3" i="1"/>
  <c r="B19" i="6"/>
  <c r="C4" i="6"/>
  <c r="C19" i="6" s="1"/>
  <c r="C7" i="7"/>
  <c r="C7" i="8"/>
  <c r="C21" i="8" s="1"/>
  <c r="C9" i="11"/>
  <c r="B21" i="13"/>
  <c r="D10" i="1"/>
  <c r="D14" i="1"/>
  <c r="D18" i="1"/>
  <c r="B24" i="22"/>
  <c r="B22" i="25"/>
  <c r="B17" i="26"/>
  <c r="C18" i="2"/>
  <c r="C30" i="2"/>
  <c r="C16" i="15"/>
  <c r="C7" i="17"/>
  <c r="C16" i="19"/>
  <c r="C7" i="21"/>
  <c r="D23" i="1"/>
  <c r="C47" i="2"/>
  <c r="C15" i="13"/>
  <c r="C9" i="13"/>
  <c r="C20" i="13"/>
  <c r="C14" i="13"/>
  <c r="C8" i="13"/>
  <c r="C18" i="13"/>
  <c r="C12" i="13"/>
  <c r="C6" i="13"/>
  <c r="C21" i="13" s="1"/>
  <c r="C19" i="13"/>
  <c r="C13" i="13"/>
  <c r="C7" i="13"/>
  <c r="B23" i="16"/>
  <c r="B23" i="20"/>
  <c r="C38" i="2"/>
  <c r="D7" i="1"/>
  <c r="C10" i="11"/>
  <c r="B23" i="23"/>
  <c r="C6" i="26"/>
  <c r="C24" i="22"/>
  <c r="C6" i="2"/>
  <c r="C14" i="2"/>
  <c r="C26" i="2"/>
  <c r="C42" i="2"/>
  <c r="C50" i="2"/>
  <c r="D17" i="1"/>
  <c r="D6" i="1"/>
  <c r="B21" i="9"/>
  <c r="B24" i="1"/>
  <c r="C8" i="9"/>
  <c r="C8" i="10"/>
  <c r="C16" i="13"/>
  <c r="C9" i="15"/>
  <c r="C9" i="19"/>
  <c r="B22" i="24"/>
  <c r="D22" i="1"/>
  <c r="C10" i="10"/>
  <c r="C16" i="10"/>
  <c r="C10" i="16"/>
  <c r="C16" i="16"/>
  <c r="C22" i="16"/>
  <c r="C9" i="7"/>
  <c r="C15" i="7"/>
  <c r="C10" i="9"/>
  <c r="C21" i="9" s="1"/>
  <c r="C9" i="17"/>
  <c r="C15" i="17"/>
  <c r="C21" i="17"/>
  <c r="C9" i="21"/>
  <c r="C15" i="21"/>
  <c r="C21" i="21"/>
  <c r="C5" i="23"/>
  <c r="C11" i="23"/>
  <c r="C17" i="23"/>
  <c r="C9" i="25"/>
  <c r="C15" i="25"/>
  <c r="C21" i="25"/>
  <c r="C10" i="20"/>
  <c r="C16" i="20"/>
  <c r="C22" i="20"/>
  <c r="C7" i="6"/>
  <c r="C13" i="6"/>
  <c r="C10" i="8"/>
  <c r="C5" i="10"/>
  <c r="C11" i="10"/>
  <c r="C17" i="10"/>
  <c r="C8" i="14"/>
  <c r="C23" i="14" s="1"/>
  <c r="C14" i="14"/>
  <c r="C20" i="14"/>
  <c r="C5" i="16"/>
  <c r="C11" i="16"/>
  <c r="C17" i="16"/>
  <c r="C8" i="18"/>
  <c r="C23" i="18" s="1"/>
  <c r="C14" i="18"/>
  <c r="C20" i="18"/>
  <c r="C5" i="20"/>
  <c r="C11" i="20"/>
  <c r="C17" i="20"/>
  <c r="C10" i="24"/>
  <c r="C16" i="24"/>
  <c r="C10" i="7"/>
  <c r="C16" i="7"/>
  <c r="C10" i="17"/>
  <c r="C16" i="17"/>
  <c r="C22" i="17"/>
  <c r="C10" i="21"/>
  <c r="C16" i="21"/>
  <c r="C22" i="21"/>
  <c r="C6" i="23"/>
  <c r="C12" i="23"/>
  <c r="C18" i="23"/>
  <c r="C10" i="25"/>
  <c r="C16" i="25"/>
  <c r="C6" i="10"/>
  <c r="C12" i="10"/>
  <c r="C18" i="10"/>
  <c r="C9" i="14"/>
  <c r="C15" i="14"/>
  <c r="C21" i="14"/>
  <c r="C6" i="16"/>
  <c r="C12" i="16"/>
  <c r="C18" i="16"/>
  <c r="C6" i="20"/>
  <c r="C12" i="20"/>
  <c r="C18" i="20"/>
  <c r="C5" i="24"/>
  <c r="C11" i="24"/>
  <c r="C17" i="24"/>
  <c r="C10" i="26"/>
  <c r="C16" i="26"/>
  <c r="C10" i="23"/>
  <c r="C16" i="23"/>
  <c r="C22" i="23"/>
  <c r="C5" i="7"/>
  <c r="C11" i="7"/>
  <c r="C5" i="17"/>
  <c r="C11" i="17"/>
  <c r="C5" i="21"/>
  <c r="C11" i="21"/>
  <c r="C7" i="23"/>
  <c r="C13" i="23"/>
  <c r="C5" i="25"/>
  <c r="C11" i="25"/>
  <c r="C9" i="6"/>
  <c r="C7" i="10"/>
  <c r="C13" i="10"/>
  <c r="C10" i="14"/>
  <c r="C16" i="14"/>
  <c r="C7" i="16"/>
  <c r="C13" i="16"/>
  <c r="C10" i="18"/>
  <c r="C16" i="18"/>
  <c r="C7" i="20"/>
  <c r="C13" i="20"/>
  <c r="C10" i="22"/>
  <c r="C16" i="22"/>
  <c r="C6" i="24"/>
  <c r="C12" i="24"/>
  <c r="C5" i="26"/>
  <c r="C17" i="26" s="1"/>
  <c r="C21" i="11" l="1"/>
  <c r="C23" i="15"/>
  <c r="C21" i="12"/>
  <c r="C22" i="24"/>
  <c r="C23" i="23"/>
  <c r="C23" i="21"/>
  <c r="C23" i="16"/>
  <c r="C23" i="17"/>
  <c r="C20" i="10"/>
  <c r="C23" i="19"/>
  <c r="C21" i="7"/>
  <c r="C23" i="20"/>
  <c r="C22" i="25"/>
</calcChain>
</file>

<file path=xl/sharedStrings.xml><?xml version="1.0" encoding="utf-8"?>
<sst xmlns="http://schemas.openxmlformats.org/spreadsheetml/2006/main" count="4312" uniqueCount="174">
  <si>
    <t>INFORME DE HORAS SEMANALES POR CURSO Y MATERIA</t>
  </si>
  <si>
    <t>Curso</t>
  </si>
  <si>
    <t>Horas semanales</t>
  </si>
  <si>
    <t>N.º materias/actividades</t>
  </si>
  <si>
    <t>Mayor carga en una materia</t>
  </si>
  <si>
    <t>Observación</t>
  </si>
  <si>
    <t>TA</t>
  </si>
  <si>
    <t>1A</t>
  </si>
  <si>
    <t>1B</t>
  </si>
  <si>
    <t>2A</t>
  </si>
  <si>
    <t>Revisar Observaciones</t>
  </si>
  <si>
    <t>2B</t>
  </si>
  <si>
    <t>3A</t>
  </si>
  <si>
    <t>3B</t>
  </si>
  <si>
    <t>3C</t>
  </si>
  <si>
    <t>4A</t>
  </si>
  <si>
    <t>4B</t>
  </si>
  <si>
    <t>5A</t>
  </si>
  <si>
    <t>5B</t>
  </si>
  <si>
    <t>6A</t>
  </si>
  <si>
    <t>6B</t>
  </si>
  <si>
    <t>7A</t>
  </si>
  <si>
    <t>7B</t>
  </si>
  <si>
    <t>8°</t>
  </si>
  <si>
    <t>9°</t>
  </si>
  <si>
    <t>10°</t>
  </si>
  <si>
    <t>11°</t>
  </si>
  <si>
    <t>IV SEMESTRE</t>
  </si>
  <si>
    <t>TOTAL</t>
  </si>
  <si>
    <t>RESUMEN GENERAL POR MATERIA / ACTIVIDAD</t>
  </si>
  <si>
    <t>Materia / actividad</t>
  </si>
  <si>
    <t>Horas semanales totales</t>
  </si>
  <si>
    <t>Cursos con presencia</t>
  </si>
  <si>
    <t>INGLÉS</t>
  </si>
  <si>
    <t>L. CASTELLANA</t>
  </si>
  <si>
    <t>C. NATURALES</t>
  </si>
  <si>
    <t>MATEMÁTICAS</t>
  </si>
  <si>
    <t>ED. FÍSICA</t>
  </si>
  <si>
    <t>ERE</t>
  </si>
  <si>
    <t>INFORMÁTICA</t>
  </si>
  <si>
    <t>C. SOCIALES</t>
  </si>
  <si>
    <t>EUCARISTÍA</t>
  </si>
  <si>
    <t>DANZAS</t>
  </si>
  <si>
    <t>GEOGRAFÍA</t>
  </si>
  <si>
    <t>HISTORIA</t>
  </si>
  <si>
    <t>ED. SOCIOEMOCIONAL</t>
  </si>
  <si>
    <t>MÚSICA</t>
  </si>
  <si>
    <t>ÉTICA</t>
  </si>
  <si>
    <t>PROCESOS</t>
  </si>
  <si>
    <t>ARTES</t>
  </si>
  <si>
    <t>INFANCIA MISIONERA</t>
  </si>
  <si>
    <t>DEMOCRACIA</t>
  </si>
  <si>
    <t>ÁLGEBRA</t>
  </si>
  <si>
    <t>D. COMUNICATIVA</t>
  </si>
  <si>
    <t>D. COGNITIVA</t>
  </si>
  <si>
    <t>FÍSICA</t>
  </si>
  <si>
    <t>QUÍMICA</t>
  </si>
  <si>
    <t>SEMILLERO</t>
  </si>
  <si>
    <t>D.SOCIOAFECTIVA</t>
  </si>
  <si>
    <t>C. POLÍTICAS</t>
  </si>
  <si>
    <t>FILOSOFÍA</t>
  </si>
  <si>
    <t>CÁLCULO</t>
  </si>
  <si>
    <t>PRÁCTICA PEDAGÓGICA</t>
  </si>
  <si>
    <t>TRIGONOMETRÍA</t>
  </si>
  <si>
    <t>ANTROPOLOGÍA EDUCATIVA</t>
  </si>
  <si>
    <t>ASESORÍA</t>
  </si>
  <si>
    <t>CURRICULO</t>
  </si>
  <si>
    <t>D. ESTÉTICA</t>
  </si>
  <si>
    <t>EVALUACIÓN EDUCATIVA</t>
  </si>
  <si>
    <t>HIST DE LA EDUC Y RURALI EN COLOMBIA</t>
  </si>
  <si>
    <t>ISE</t>
  </si>
  <si>
    <t>METOD. DE LA INV</t>
  </si>
  <si>
    <t>PEDAGOGÍA CLAS, FILO Y EPIS</t>
  </si>
  <si>
    <t>POLÍT, GEST Y ADMON EDUCATIVA</t>
  </si>
  <si>
    <t>PROYECTOS PEDAGÓGICOS DE AULA II</t>
  </si>
  <si>
    <t>PROYECTOS TRANSVERSALES</t>
  </si>
  <si>
    <t>SISTEMA PREVENTIVO</t>
  </si>
  <si>
    <t>SOCIOLOGÍA EDUCATIVA</t>
  </si>
  <si>
    <t>D. ÉTICA</t>
  </si>
  <si>
    <t>PEII</t>
  </si>
  <si>
    <t>SIN IDENTIFICAR</t>
  </si>
  <si>
    <t>MATRIZ DE HORAS SEMANALES POR MATERIA Y CURSO</t>
  </si>
  <si>
    <t>Día</t>
  </si>
  <si>
    <t>Periodo</t>
  </si>
  <si>
    <t>Horario</t>
  </si>
  <si>
    <t>Materia normalizada</t>
  </si>
  <si>
    <t>Horas</t>
  </si>
  <si>
    <t>Fila origen</t>
  </si>
  <si>
    <t>Texto original</t>
  </si>
  <si>
    <t>LUNES</t>
  </si>
  <si>
    <t>6:50 - 7:50</t>
  </si>
  <si>
    <t>7:50 – 8:50</t>
  </si>
  <si>
    <t>9:20 - 10:20</t>
  </si>
  <si>
    <t>10:20 – 11:20</t>
  </si>
  <si>
    <t>11:20 – 12:20</t>
  </si>
  <si>
    <t>EDU. FÍSICA</t>
  </si>
  <si>
    <t>1:00 – 2:00</t>
  </si>
  <si>
    <t>2:00 – 3:00</t>
  </si>
  <si>
    <t>MARTES</t>
  </si>
  <si>
    <t>MIÉRCOLES</t>
  </si>
  <si>
    <t>JUEVES</t>
  </si>
  <si>
    <t>VIERNES</t>
  </si>
  <si>
    <t>L .CASTELLANA</t>
  </si>
  <si>
    <t>INFORMÁTICAS</t>
  </si>
  <si>
    <t>C. NATURAL</t>
  </si>
  <si>
    <t>ED. FISICA</t>
  </si>
  <si>
    <t>MATEMÁTICA</t>
  </si>
  <si>
    <t>L. CASTELLAMA</t>
  </si>
  <si>
    <t>C.SOCIALES</t>
  </si>
  <si>
    <t>L, CASTELLANA</t>
  </si>
  <si>
    <t>E.R.E</t>
  </si>
  <si>
    <t>LENGUA CASTELLANA</t>
  </si>
  <si>
    <t>C. NATUURALES</t>
  </si>
  <si>
    <t>C. NATIRALES</t>
  </si>
  <si>
    <t>EUCARISTIA</t>
  </si>
  <si>
    <t>8:50 – 9:50</t>
  </si>
  <si>
    <t>CIENCIAS</t>
  </si>
  <si>
    <t>ED SOCIOEMOCIONAL</t>
  </si>
  <si>
    <t>SEMILLEROS</t>
  </si>
  <si>
    <t>GEOGRÁFIA</t>
  </si>
  <si>
    <t>}</t>
  </si>
  <si>
    <t>GEOGRAFÍÁ</t>
  </si>
  <si>
    <t>L. CASTELLNA</t>
  </si>
  <si>
    <t>GEOGRAFIA</t>
  </si>
  <si>
    <t>ETICA</t>
  </si>
  <si>
    <t>INFORMATICA</t>
  </si>
  <si>
    <t>OBSERVACIONES Y CRITERIOS DE CONSOLIDACIÓN</t>
  </si>
  <si>
    <t>Tipo de revisión</t>
  </si>
  <si>
    <t>Dato encontrado</t>
  </si>
  <si>
    <t>Contenido en fila almuerzo</t>
  </si>
  <si>
    <t>Materia no identificada</t>
  </si>
  <si>
    <t>Variantes encontradas</t>
  </si>
  <si>
    <t>Criterio</t>
  </si>
  <si>
    <t>L .CASTELLANA, L, CASTELLANA, L. CASTELLAMA, L. CASTELLANA, L. CASTELLNA, LENGUA CASTELLANA</t>
  </si>
  <si>
    <t>Se unificaron diferencias evidentes de acento, singular/plural, abreviación o digitación.</t>
  </si>
  <si>
    <t>C. NATIRALES, C. NATURAL, C. NATURALES, C. NATUURALES, CIENCIAS</t>
  </si>
  <si>
    <t>MATEMÁTICA, MATEMÁTICAS</t>
  </si>
  <si>
    <t>ED. FISICA, ED. FÍSICA, EDU. FÍSICA</t>
  </si>
  <si>
    <t>E.R.E, ERE</t>
  </si>
  <si>
    <t>INFORMATICA, INFORMÁTICA, INFORMÁTICAS</t>
  </si>
  <si>
    <t>C. SOCIALES, C.SOCIALES</t>
  </si>
  <si>
    <t>EUCARISTIA, EUCARISTÍA</t>
  </si>
  <si>
    <t>GEOGRAFIA, GEOGRAFÍA, GEOGRAFÍÁ, GEOGRÁFIA</t>
  </si>
  <si>
    <t>ED SOCIOEMOCIONAL, ED. SOCIOEMOCIONAL</t>
  </si>
  <si>
    <t>ETICA, ÉTICA</t>
  </si>
  <si>
    <t>SEMILLERO, SEMILLEROS</t>
  </si>
  <si>
    <t>Criterios aplicados</t>
  </si>
  <si>
    <t>1. Se contabilizaron únicamente filas de periodos numerados; descanso y almuerzo no suman horas.</t>
  </si>
  <si>
    <t>2. La duración se obtuvo del rango horario de cada periodo. En los horarios registrados, los periodos académicos contabilizados son de 1 hora.</t>
  </si>
  <si>
    <t>3. Actividades institucionales programadas dentro de periodos (p. ej., Eucaristía, Semillero, Asesoría) se conservan como materias/actividades para reflejar la carga real del horario.</t>
  </si>
  <si>
    <t>4. No se reasignó la celda no identificada de 8°; se reporta como SIN IDENTIFICAR hasta que sea validada.</t>
  </si>
  <si>
    <t>CURSO TA – HORAS SEMANALES POR MATERIA</t>
  </si>
  <si>
    <t>Total horas semanales</t>
  </si>
  <si>
    <t>% del horario</t>
  </si>
  <si>
    <t>CURSO 1A – HORAS SEMANALES POR MATERIA</t>
  </si>
  <si>
    <t>CURSO 1B – HORAS SEMANALES POR MATERIA</t>
  </si>
  <si>
    <t>CURSO 2A – HORAS SEMANALES POR MATERIA</t>
  </si>
  <si>
    <t>CURSO 2B – HORAS SEMANALES POR MATERIA</t>
  </si>
  <si>
    <t>CURSO 3A – HORAS SEMANALES POR MATERIA</t>
  </si>
  <si>
    <t>CURSO 3B – HORAS SEMANALES POR MATERIA</t>
  </si>
  <si>
    <t>CURSO 3C – HORAS SEMANALES POR MATERIA</t>
  </si>
  <si>
    <t>CURSO 4A – HORAS SEMANALES POR MATERIA</t>
  </si>
  <si>
    <t>CURSO 4B – HORAS SEMANALES POR MATERIA</t>
  </si>
  <si>
    <t>CURSO 5A – HORAS SEMANALES POR MATERIA</t>
  </si>
  <si>
    <t>CURSO 5B – HORAS SEMANALES POR MATERIA</t>
  </si>
  <si>
    <t>CURSO 6A – HORAS SEMANALES POR MATERIA</t>
  </si>
  <si>
    <t>CURSO 6B – HORAS SEMANALES POR MATERIA</t>
  </si>
  <si>
    <t>CURSO 7A – HORAS SEMANALES POR MATERIA</t>
  </si>
  <si>
    <t>CURSO 7B – HORAS SEMANALES POR MATERIA</t>
  </si>
  <si>
    <t>CURSO 8° – HORAS SEMANALES POR MATERIA</t>
  </si>
  <si>
    <t>CURSO 9° – HORAS SEMANALES POR MATERIA</t>
  </si>
  <si>
    <t>CURSO 10° – HORAS SEMANALES POR MATERIA</t>
  </si>
  <si>
    <t>CURSO 11° – HORAS SEMANALES POR MATERIA</t>
  </si>
  <si>
    <t>CURSO IV SEMESTRE – HORAS SEMANALES POR MATERIA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</si>
</sst>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1"/>
      <name val="Carlito"/>
    </font>
    <font>
      <b/>
      <sz val="14"/>
      <color rgb="FFFFFFFF"/>
      <name val="Candara"/>
    </font>
    <font>
      <b/>
      <sz val="11"/>
      <color rgb="FF1F1F1F"/>
      <name val="Candara"/>
    </font>
    <font>
      <sz val="11"/>
      <name val="Candara"/>
    </font>
    <font>
      <sz val="10"/>
      <name val="Candara"/>
    </font>
    <font>
      <b/>
      <sz val="10"/>
      <color rgb="FFFFFFFF"/>
      <name val="Candara"/>
    </font>
    <font>
      <b/>
      <sz val="10"/>
      <color rgb="FF1F1F1F"/>
      <name val="Candara"/>
    </font>
    <font>
      <sz val="10"/>
      <color rgb="FF1F1F1F"/>
      <name val="Candara"/>
    </font>
    <font>
      <b/>
      <sz val="10"/>
      <color rgb="FF9C0006"/>
      <name val="Candara"/>
    </font>
  </fonts>
  <fills count="1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0"/>
      </patternFill>
    </fill>
    <fill>
      <patternFill patternType="solid">
        <fgColor theme="3" tint="0.49995422223578601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8FBFD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0" xfId="0" applyAlignment="1">
      <alignment horizontal="center"/>
    </xf>
    <xf numFmtId="0" fontId="4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6" fillId="9" borderId="5" xfId="0" applyFont="1" applyFill="1" applyBorder="1" applyAlignment="1">
      <alignment horizontal="left" vertical="center" wrapText="1"/>
    </xf>
    <xf numFmtId="0" fontId="8" fillId="10" borderId="14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7" fillId="10" borderId="13" xfId="0" applyFont="1" applyFill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164" fontId="6" fillId="8" borderId="2" xfId="0" applyNumberFormat="1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1" fontId="7" fillId="0" borderId="7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6" fillId="3" borderId="4" xfId="0" applyNumberFormat="1" applyFont="1" applyFill="1" applyBorder="1" applyAlignment="1">
      <alignment horizontal="center" vertical="center" wrapText="1"/>
    </xf>
    <xf numFmtId="1" fontId="7" fillId="0" borderId="8" xfId="0" applyNumberFormat="1" applyFont="1" applyBorder="1" applyAlignment="1">
      <alignment horizontal="center" vertical="center" wrapText="1"/>
    </xf>
    <xf numFmtId="1" fontId="7" fillId="0" borderId="10" xfId="0" applyNumberFormat="1" applyFont="1" applyBorder="1" applyAlignment="1">
      <alignment horizontal="center" vertical="center" wrapText="1"/>
    </xf>
    <xf numFmtId="1" fontId="6" fillId="3" borderId="5" xfId="0" applyNumberFormat="1" applyFont="1" applyFill="1" applyBorder="1" applyAlignment="1">
      <alignment horizontal="center" vertical="center" wrapText="1"/>
    </xf>
    <xf numFmtId="1" fontId="7" fillId="0" borderId="12" xfId="0" applyNumberFormat="1" applyFont="1" applyBorder="1" applyAlignment="1">
      <alignment horizontal="center" vertical="center" wrapText="1"/>
    </xf>
    <xf numFmtId="1" fontId="7" fillId="0" borderId="13" xfId="0" applyNumberFormat="1" applyFont="1" applyBorder="1" applyAlignment="1">
      <alignment horizontal="center" vertical="center" wrapText="1"/>
    </xf>
    <xf numFmtId="1" fontId="7" fillId="5" borderId="7" xfId="0" applyNumberFormat="1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1" fontId="7" fillId="5" borderId="12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6" fillId="13" borderId="2" xfId="0" applyNumberFormat="1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vertical="center" wrapText="1"/>
    </xf>
    <xf numFmtId="1" fontId="7" fillId="13" borderId="2" xfId="0" applyNumberFormat="1" applyFont="1" applyFill="1" applyBorder="1" applyAlignment="1">
      <alignment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vertical="center" wrapText="1"/>
    </xf>
    <xf numFmtId="0" fontId="7" fillId="12" borderId="12" xfId="0" applyFont="1" applyFill="1" applyBorder="1" applyAlignment="1">
      <alignment vertical="center" wrapText="1"/>
    </xf>
    <xf numFmtId="0" fontId="7" fillId="12" borderId="13" xfId="0" applyFont="1" applyFill="1" applyBorder="1" applyAlignment="1">
      <alignment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vertical="center" wrapText="1"/>
    </xf>
    <xf numFmtId="0" fontId="7" fillId="12" borderId="7" xfId="0" applyFont="1" applyFill="1" applyBorder="1" applyAlignment="1">
      <alignment vertical="center" wrapText="1"/>
    </xf>
    <xf numFmtId="0" fontId="7" fillId="12" borderId="8" xfId="0" applyFont="1" applyFill="1" applyBorder="1" applyAlignment="1">
      <alignment vertical="center" wrapText="1"/>
    </xf>
    <xf numFmtId="0" fontId="7" fillId="12" borderId="9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vertical="center" wrapText="1"/>
    </xf>
    <xf numFmtId="0" fontId="7" fillId="12" borderId="10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ont>
        <u val="none"/>
        <sz val="10"/>
        <color auto="1"/>
        <name val="Candara"/>
        <family val="2"/>
        <scheme val="none"/>
      </font>
      <fill>
        <patternFill>
          <bgColor indexed="64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u val="none"/>
        <sz val="10"/>
        <color auto="1"/>
        <name val="Candara"/>
        <family val="2"/>
        <scheme val="none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auto="1"/>
        <name val="Candara"/>
        <family val="2"/>
        <scheme val="none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auto="1"/>
        <name val="Candara"/>
        <family val="2"/>
        <scheme val="none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auto="1"/>
        <name val="Candara"/>
        <family val="2"/>
        <scheme val="none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auto="1"/>
        <name val="Candara"/>
        <family val="2"/>
        <scheme val="none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auto="1"/>
        <name val="Candara"/>
        <family val="2"/>
        <scheme val="none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auto="1"/>
        <name val="Candara"/>
        <family val="2"/>
        <scheme val="none"/>
      </font>
      <fill>
        <patternFill>
          <bgColor indexed="6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CO" sz="1500">
                <a:latin typeface="Candara"/>
                <a:ea typeface="Candara"/>
                <a:cs typeface="Candara"/>
              </a:rPr>
              <a:t>Materias/actividades con mayor carga horaria total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Horas semanales totales</c:v>
          </c:tx>
          <c:invertIfNegative val="1"/>
          <c:cat>
            <c:strRef>
              <c:f>'Resumen materias'!$A$3:$A$17</c:f>
              <c:strCache>
                <c:ptCount val="15"/>
                <c:pt idx="0">
                  <c:v>INGLÉS</c:v>
                </c:pt>
                <c:pt idx="1">
                  <c:v>L. CASTELLANA</c:v>
                </c:pt>
                <c:pt idx="2">
                  <c:v>C. NATURALES</c:v>
                </c:pt>
                <c:pt idx="3">
                  <c:v>MATEMÁTICAS</c:v>
                </c:pt>
                <c:pt idx="4">
                  <c:v>ED. FÍSICA</c:v>
                </c:pt>
                <c:pt idx="5">
                  <c:v>ERE</c:v>
                </c:pt>
                <c:pt idx="6">
                  <c:v>INFORMÁTICA</c:v>
                </c:pt>
                <c:pt idx="7">
                  <c:v>C. SOCIALES</c:v>
                </c:pt>
                <c:pt idx="8">
                  <c:v>EUCARISTÍA</c:v>
                </c:pt>
                <c:pt idx="9">
                  <c:v>DANZAS</c:v>
                </c:pt>
                <c:pt idx="10">
                  <c:v>GEOGRAFÍA</c:v>
                </c:pt>
                <c:pt idx="11">
                  <c:v>HISTORIA</c:v>
                </c:pt>
                <c:pt idx="12">
                  <c:v>ED. SOCIOEMOCIONAL</c:v>
                </c:pt>
                <c:pt idx="13">
                  <c:v>MÚSICA</c:v>
                </c:pt>
                <c:pt idx="14">
                  <c:v>ÉTICA</c:v>
                </c:pt>
              </c:strCache>
            </c:strRef>
          </c:cat>
          <c:val>
            <c:numRef>
              <c:f>'Resumen materias'!$B$3:$B$17</c:f>
              <c:numCache>
                <c:formatCode>0</c:formatCode>
                <c:ptCount val="15"/>
                <c:pt idx="0">
                  <c:v>81</c:v>
                </c:pt>
                <c:pt idx="1">
                  <c:v>80</c:v>
                </c:pt>
                <c:pt idx="2">
                  <c:v>68</c:v>
                </c:pt>
                <c:pt idx="3">
                  <c:v>60</c:v>
                </c:pt>
                <c:pt idx="4">
                  <c:v>40</c:v>
                </c:pt>
                <c:pt idx="5">
                  <c:v>40</c:v>
                </c:pt>
                <c:pt idx="6">
                  <c:v>38</c:v>
                </c:pt>
                <c:pt idx="7">
                  <c:v>28</c:v>
                </c:pt>
                <c:pt idx="8">
                  <c:v>21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E-4BA3-8F81-06A69B0C7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/>
            </a:pPr>
            <a:endParaRPr lang="es-CO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Candara"/>
                <a:ea typeface="Candara"/>
                <a:cs typeface="Candara"/>
              </a:defRPr>
            </a:pPr>
            <a:endParaRPr lang="es-CO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leHorario" displayName="DetalleHorario" ref="A1:H723" totalsRowShown="0" headerRowBorderDxfId="8">
  <tableColumns count="8">
    <tableColumn id="1" xr3:uid="{00000000-0010-0000-0000-000001000000}" name="Curso" dataDxfId="7"/>
    <tableColumn id="2" xr3:uid="{00000000-0010-0000-0000-000002000000}" name="Día" dataDxfId="6"/>
    <tableColumn id="3" xr3:uid="{00000000-0010-0000-0000-000003000000}" name="Periodo" dataDxfId="5"/>
    <tableColumn id="4" xr3:uid="{00000000-0010-0000-0000-000004000000}" name="Horario" dataDxfId="4"/>
    <tableColumn id="5" xr3:uid="{00000000-0010-0000-0000-000005000000}" name="Materia normalizada" dataDxfId="3"/>
    <tableColumn id="6" xr3:uid="{00000000-0010-0000-0000-000006000000}" name="Horas" dataDxfId="2"/>
    <tableColumn id="7" xr3:uid="{00000000-0010-0000-0000-000007000000}" name="Fila origen" dataDxfId="1"/>
    <tableColumn id="8" xr3:uid="{00000000-0010-0000-0000-000008000000}" name="Texto origi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zoomScale="140" zoomScaleNormal="140" workbookViewId="0">
      <selection sqref="A1:E1"/>
    </sheetView>
  </sheetViews>
  <sheetFormatPr baseColWidth="10" defaultColWidth="8.6640625" defaultRowHeight="14"/>
  <cols>
    <col min="1" max="1" width="17" customWidth="1"/>
    <col min="2" max="2" width="18" customWidth="1"/>
    <col min="3" max="4" width="24" customWidth="1"/>
    <col min="5" max="5" width="25" customWidth="1"/>
  </cols>
  <sheetData>
    <row r="1" spans="1:5" ht="18.75" customHeight="1">
      <c r="A1" s="73" t="s">
        <v>0</v>
      </c>
      <c r="B1" s="73"/>
      <c r="C1" s="73"/>
      <c r="D1" s="73"/>
      <c r="E1" s="73"/>
    </row>
    <row r="2" spans="1:5" ht="13.5" customHeight="1">
      <c r="A2" s="11" t="s">
        <v>1</v>
      </c>
      <c r="B2" s="12" t="s">
        <v>2</v>
      </c>
      <c r="C2" s="12" t="s">
        <v>3</v>
      </c>
      <c r="D2" s="12" t="s">
        <v>4</v>
      </c>
      <c r="E2" s="13" t="s">
        <v>5</v>
      </c>
    </row>
    <row r="3" spans="1:5" ht="13.5" customHeight="1">
      <c r="A3" s="15" t="s">
        <v>6</v>
      </c>
      <c r="B3" s="50">
        <f>SUMIFS(Detalle!$F$2:$F$723,Detalle!$A$2:$A$723,A3)</f>
        <v>35</v>
      </c>
      <c r="C3" s="50">
        <f>COUNTA('Curso TA'!$A$4:$A$18)</f>
        <v>15</v>
      </c>
      <c r="D3" s="50">
        <f>MAX('Curso TA'!$B$4:$B$18)</f>
        <v>7</v>
      </c>
      <c r="E3" s="18"/>
    </row>
    <row r="4" spans="1:5" ht="13.5" customHeight="1">
      <c r="A4" s="16" t="s">
        <v>7</v>
      </c>
      <c r="B4" s="51">
        <f>SUMIFS(Detalle!$F$2:$F$723,Detalle!$A$2:$A$723,A4)</f>
        <v>35</v>
      </c>
      <c r="C4" s="51">
        <f>COUNTA('Curso 1A'!$A$5:$A$20)</f>
        <v>16</v>
      </c>
      <c r="D4" s="51">
        <f>MAX('Curso 1A'!$B$5:$B$20)</f>
        <v>5</v>
      </c>
      <c r="E4" s="19"/>
    </row>
    <row r="5" spans="1:5" ht="13.5" customHeight="1">
      <c r="A5" s="16" t="s">
        <v>8</v>
      </c>
      <c r="B5" s="51">
        <f>SUMIFS(Detalle!$F$2:$F$723,Detalle!$A$2:$A$723,A5)</f>
        <v>35</v>
      </c>
      <c r="C5" s="51">
        <f>COUNTA('Curso 1B'!$A$5:$A$20)</f>
        <v>16</v>
      </c>
      <c r="D5" s="51">
        <f>MAX('Curso 1B'!$B$5:$B$20)</f>
        <v>5</v>
      </c>
      <c r="E5" s="19"/>
    </row>
    <row r="6" spans="1:5" ht="13.5" customHeight="1">
      <c r="A6" s="16" t="s">
        <v>9</v>
      </c>
      <c r="B6" s="51">
        <f>SUMIFS(Detalle!$F$2:$F$723,Detalle!$A$2:$A$723,A6)</f>
        <v>35</v>
      </c>
      <c r="C6" s="51">
        <f>COUNTA('Curso 2A'!$A$5:$A$20)</f>
        <v>16</v>
      </c>
      <c r="D6" s="51">
        <f>MAX('Curso 2A'!$B$5:$B$20)</f>
        <v>5</v>
      </c>
      <c r="E6" s="21" t="s">
        <v>10</v>
      </c>
    </row>
    <row r="7" spans="1:5" ht="13.5" customHeight="1">
      <c r="A7" s="16" t="s">
        <v>11</v>
      </c>
      <c r="B7" s="51">
        <f>SUMIFS(Detalle!$F$2:$F$723,Detalle!$A$2:$A$723,A7)</f>
        <v>35</v>
      </c>
      <c r="C7" s="51">
        <f>COUNTA('Curso 2B'!$A$5:$A$19)</f>
        <v>15</v>
      </c>
      <c r="D7" s="51">
        <f>MAX('Curso 2B'!$B$5:$B$19)</f>
        <v>5</v>
      </c>
      <c r="E7" s="19"/>
    </row>
    <row r="8" spans="1:5" ht="13.5" customHeight="1">
      <c r="A8" s="16" t="s">
        <v>12</v>
      </c>
      <c r="B8" s="51">
        <f>SUMIFS(Detalle!$F$2:$F$723,Detalle!$A$2:$A$723,A8)</f>
        <v>35</v>
      </c>
      <c r="C8" s="51">
        <f>COUNTA('Curso 3A'!$A$5:$A$20)</f>
        <v>16</v>
      </c>
      <c r="D8" s="51">
        <f>MAX('Curso 3A'!$B$5:$B$20)</f>
        <v>5</v>
      </c>
      <c r="E8" s="19"/>
    </row>
    <row r="9" spans="1:5" ht="13.5" customHeight="1">
      <c r="A9" s="16" t="s">
        <v>13</v>
      </c>
      <c r="B9" s="51">
        <f>SUMIFS(Detalle!$F$2:$F$723,Detalle!$A$2:$A$723,A9)</f>
        <v>35</v>
      </c>
      <c r="C9" s="51">
        <f>COUNTA('Curso 3B'!$A$5:$A$20)</f>
        <v>16</v>
      </c>
      <c r="D9" s="51">
        <f>MAX('Curso 3B'!$B$5:$B$20)</f>
        <v>5</v>
      </c>
      <c r="E9" s="19"/>
    </row>
    <row r="10" spans="1:5" ht="13.5" customHeight="1">
      <c r="A10" s="16" t="s">
        <v>14</v>
      </c>
      <c r="B10" s="51">
        <f>SUMIFS(Detalle!$F$2:$F$723,Detalle!$A$2:$A$723,A10)</f>
        <v>35</v>
      </c>
      <c r="C10" s="51">
        <f>COUNTA('Curso 3C'!$A$5:$A$20)</f>
        <v>16</v>
      </c>
      <c r="D10" s="51">
        <f>MAX('Curso 3C'!$B$5:$B$20)</f>
        <v>5</v>
      </c>
      <c r="E10" s="19"/>
    </row>
    <row r="11" spans="1:5" ht="13.5" customHeight="1">
      <c r="A11" s="16" t="s">
        <v>15</v>
      </c>
      <c r="B11" s="51">
        <f>SUMIFS(Detalle!$F$2:$F$723,Detalle!$A$2:$A$723,A11)</f>
        <v>35</v>
      </c>
      <c r="C11" s="51">
        <f>COUNTA('Curso 4A'!$A$5:$A$22)</f>
        <v>18</v>
      </c>
      <c r="D11" s="51">
        <f>MAX('Curso 4A'!$B$5:$B$22)</f>
        <v>4</v>
      </c>
      <c r="E11" s="19"/>
    </row>
    <row r="12" spans="1:5" ht="13.5" customHeight="1">
      <c r="A12" s="16" t="s">
        <v>16</v>
      </c>
      <c r="B12" s="51">
        <f>SUMIFS(Detalle!$F$2:$F$723,Detalle!$A$2:$A$723,A12)</f>
        <v>35</v>
      </c>
      <c r="C12" s="51">
        <f>COUNTA('Curso 4B'!$A$5:$A$22)</f>
        <v>18</v>
      </c>
      <c r="D12" s="51">
        <f>MAX('Curso 4B'!$B$5:$B$22)</f>
        <v>4</v>
      </c>
      <c r="E12" s="19"/>
    </row>
    <row r="13" spans="1:5" ht="13.5" customHeight="1">
      <c r="A13" s="16" t="s">
        <v>17</v>
      </c>
      <c r="B13" s="51">
        <f>SUMIFS(Detalle!$F$2:$F$723,Detalle!$A$2:$A$723,A13)</f>
        <v>35</v>
      </c>
      <c r="C13" s="51">
        <f>COUNTA('Curso 5A'!$A$5:$A$22)</f>
        <v>18</v>
      </c>
      <c r="D13" s="51">
        <f>MAX('Curso 5A'!$B$5:$B$22)</f>
        <v>4</v>
      </c>
      <c r="E13" s="19"/>
    </row>
    <row r="14" spans="1:5" ht="13.5" customHeight="1">
      <c r="A14" s="16" t="s">
        <v>18</v>
      </c>
      <c r="B14" s="51">
        <f>SUMIFS(Detalle!$F$2:$F$723,Detalle!$A$2:$A$723,A14)</f>
        <v>35</v>
      </c>
      <c r="C14" s="51">
        <f>COUNTA('Curso 5B'!$A$5:$A$22)</f>
        <v>18</v>
      </c>
      <c r="D14" s="51">
        <f>MAX('Curso 5B'!$B$5:$B$22)</f>
        <v>4</v>
      </c>
      <c r="E14" s="19"/>
    </row>
    <row r="15" spans="1:5" ht="13.5" customHeight="1">
      <c r="A15" s="16" t="s">
        <v>19</v>
      </c>
      <c r="B15" s="51">
        <f>SUMIFS(Detalle!$F$2:$F$723,Detalle!$A$2:$A$723,A15)</f>
        <v>35</v>
      </c>
      <c r="C15" s="51">
        <f>COUNTA('Curso 6A'!$A$5:$A$22)</f>
        <v>18</v>
      </c>
      <c r="D15" s="51">
        <f>MAX('Curso 6A'!$B$5:$B$22)</f>
        <v>4</v>
      </c>
      <c r="E15" s="19"/>
    </row>
    <row r="16" spans="1:5" ht="13.5" customHeight="1">
      <c r="A16" s="16" t="s">
        <v>20</v>
      </c>
      <c r="B16" s="51">
        <f>SUMIFS(Detalle!$F$2:$F$723,Detalle!$A$2:$A$723,A16)</f>
        <v>35</v>
      </c>
      <c r="C16" s="51">
        <f>COUNTA('Curso 6B'!$A$5:$A$22)</f>
        <v>18</v>
      </c>
      <c r="D16" s="51">
        <f>MAX('Curso 6B'!$B$5:$B$22)</f>
        <v>4</v>
      </c>
      <c r="E16" s="19"/>
    </row>
    <row r="17" spans="1:5" ht="13.5" customHeight="1">
      <c r="A17" s="16" t="s">
        <v>21</v>
      </c>
      <c r="B17" s="51">
        <f>SUMIFS(Detalle!$F$2:$F$723,Detalle!$A$2:$A$723,A17)</f>
        <v>35</v>
      </c>
      <c r="C17" s="51">
        <f>COUNTA('Curso 7A'!$A$5:$A$22)</f>
        <v>18</v>
      </c>
      <c r="D17" s="51">
        <f>MAX('Curso 7A'!$B$5:$B$22)</f>
        <v>4</v>
      </c>
      <c r="E17" s="19"/>
    </row>
    <row r="18" spans="1:5" ht="13.5" customHeight="1">
      <c r="A18" s="16" t="s">
        <v>22</v>
      </c>
      <c r="B18" s="51">
        <f>SUMIFS(Detalle!$F$2:$F$723,Detalle!$A$2:$A$723,A18)</f>
        <v>35</v>
      </c>
      <c r="C18" s="51">
        <f>COUNTA('Curso 7B'!$A$5:$A$22)</f>
        <v>18</v>
      </c>
      <c r="D18" s="51">
        <f>MAX('Curso 7B'!$B$5:$B$22)</f>
        <v>4</v>
      </c>
      <c r="E18" s="19"/>
    </row>
    <row r="19" spans="1:5" ht="13.5" customHeight="1">
      <c r="A19" s="16" t="s">
        <v>23</v>
      </c>
      <c r="B19" s="51">
        <f>SUMIFS(Detalle!$F$2:$F$723,Detalle!$A$2:$A$723,A19)</f>
        <v>35</v>
      </c>
      <c r="C19" s="51">
        <f>COUNTA('Curso 8°'!$A$5:$A$23)</f>
        <v>19</v>
      </c>
      <c r="D19" s="51">
        <f>MAX('Curso 8°'!$B$5:$B$23)</f>
        <v>4</v>
      </c>
      <c r="E19" s="21" t="s">
        <v>10</v>
      </c>
    </row>
    <row r="20" spans="1:5" ht="13.5" customHeight="1">
      <c r="A20" s="16" t="s">
        <v>24</v>
      </c>
      <c r="B20" s="51">
        <f>SUMIFS(Detalle!$F$2:$F$723,Detalle!$A$2:$A$723,A20)</f>
        <v>35</v>
      </c>
      <c r="C20" s="51">
        <f>COUNTA('Curso 9°'!$A$5:$A$22)</f>
        <v>18</v>
      </c>
      <c r="D20" s="51">
        <f>MAX('Curso 9°'!$B$5:$B$22)</f>
        <v>4</v>
      </c>
      <c r="E20" s="19"/>
    </row>
    <row r="21" spans="1:5" ht="13.5" customHeight="1">
      <c r="A21" s="16" t="s">
        <v>25</v>
      </c>
      <c r="B21" s="51">
        <f>SUMIFS(Detalle!$F$2:$F$723,Detalle!$A$2:$A$723,A21)</f>
        <v>35</v>
      </c>
      <c r="C21" s="51">
        <f>COUNTA('Curso 10°'!$A$5:$A$21)</f>
        <v>17</v>
      </c>
      <c r="D21" s="51">
        <f>MAX('Curso 10°'!$B$5:$B$21)</f>
        <v>5</v>
      </c>
      <c r="E21" s="19"/>
    </row>
    <row r="22" spans="1:5" ht="13.5" customHeight="1">
      <c r="A22" s="16" t="s">
        <v>26</v>
      </c>
      <c r="B22" s="51">
        <f>SUMIFS(Detalle!$F$2:$F$723,Detalle!$A$2:$A$723,A22)</f>
        <v>35</v>
      </c>
      <c r="C22" s="51">
        <f>COUNTA('Curso 11°'!$A$5:$A$21)</f>
        <v>17</v>
      </c>
      <c r="D22" s="51">
        <f>MAX('Curso 11°'!$B$5:$B$21)</f>
        <v>5</v>
      </c>
      <c r="E22" s="19"/>
    </row>
    <row r="23" spans="1:5" ht="13.5" customHeight="1">
      <c r="A23" s="16" t="s">
        <v>27</v>
      </c>
      <c r="B23" s="51">
        <f>SUMIFS(Detalle!$F$2:$F$723,Detalle!$A$2:$A$723,A23)</f>
        <v>22</v>
      </c>
      <c r="C23" s="51">
        <f>COUNTA('Curso IV SEMESTRE'!$A$5:$A$16)</f>
        <v>12</v>
      </c>
      <c r="D23" s="51">
        <f>MAX('Curso IV SEMESTRE'!$B$5:$B$16)</f>
        <v>3</v>
      </c>
      <c r="E23" s="19"/>
    </row>
    <row r="24" spans="1:5" ht="13.5" customHeight="1">
      <c r="A24" s="17" t="s">
        <v>28</v>
      </c>
      <c r="B24" s="52">
        <f>SUM(B3:B23)</f>
        <v>722</v>
      </c>
      <c r="C24" s="52"/>
      <c r="D24" s="52"/>
      <c r="E24" s="20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zoomScale="150" zoomScaleNormal="150" workbookViewId="0">
      <selection activeCell="B3" sqref="B3"/>
    </sheetView>
  </sheetViews>
  <sheetFormatPr baseColWidth="10" defaultColWidth="8.6640625" defaultRowHeight="15"/>
  <cols>
    <col min="1" max="1" width="36" style="1" customWidth="1"/>
    <col min="2" max="2" width="22" style="1" customWidth="1"/>
    <col min="3" max="3" width="20" style="1" customWidth="1"/>
    <col min="4" max="16384" width="8.6640625" style="1"/>
  </cols>
  <sheetData>
    <row r="1" spans="1:3" ht="18.75" customHeight="1">
      <c r="A1" s="73" t="s">
        <v>29</v>
      </c>
      <c r="B1" s="73"/>
      <c r="C1" s="73"/>
    </row>
    <row r="2" spans="1:3" ht="13.5" customHeight="1">
      <c r="A2" s="11" t="s">
        <v>30</v>
      </c>
      <c r="B2" s="12" t="s">
        <v>31</v>
      </c>
      <c r="C2" s="13" t="s">
        <v>32</v>
      </c>
    </row>
    <row r="3" spans="1:3" ht="13.5" customHeight="1">
      <c r="A3" s="15" t="s">
        <v>33</v>
      </c>
      <c r="B3" s="50">
        <f>SUMIFS(Detalle!$F$2:$F$723,Detalle!$E$2:$E$723,A3)</f>
        <v>81</v>
      </c>
      <c r="C3" s="53">
        <f>COUNTIF('Matriz cursos'!B3:V3,"&gt;0")</f>
        <v>20</v>
      </c>
    </row>
    <row r="4" spans="1:3" ht="13.5" customHeight="1">
      <c r="A4" s="16" t="s">
        <v>34</v>
      </c>
      <c r="B4" s="51">
        <f>SUMIFS(Detalle!$F$2:$F$723,Detalle!$E$2:$E$723,A4)</f>
        <v>80</v>
      </c>
      <c r="C4" s="54">
        <f>COUNTIF('Matriz cursos'!B4:V4,"&gt;0")</f>
        <v>19</v>
      </c>
    </row>
    <row r="5" spans="1:3" ht="13.5" customHeight="1">
      <c r="A5" s="16" t="s">
        <v>35</v>
      </c>
      <c r="B5" s="51">
        <f>SUMIFS(Detalle!$F$2:$F$723,Detalle!$E$2:$E$723,A5)</f>
        <v>68</v>
      </c>
      <c r="C5" s="54">
        <f>COUNTIF('Matriz cursos'!B5:V5,"&gt;0")</f>
        <v>17</v>
      </c>
    </row>
    <row r="6" spans="1:3" ht="13.5" customHeight="1">
      <c r="A6" s="16" t="s">
        <v>36</v>
      </c>
      <c r="B6" s="51">
        <f>SUMIFS(Detalle!$F$2:$F$723,Detalle!$E$2:$E$723,A6)</f>
        <v>60</v>
      </c>
      <c r="C6" s="54">
        <f>COUNTIF('Matriz cursos'!B6:V6,"&gt;0")</f>
        <v>15</v>
      </c>
    </row>
    <row r="7" spans="1:3" ht="13.5" customHeight="1">
      <c r="A7" s="16" t="s">
        <v>37</v>
      </c>
      <c r="B7" s="51">
        <f>SUMIFS(Detalle!$F$2:$F$723,Detalle!$E$2:$E$723,A7)</f>
        <v>40</v>
      </c>
      <c r="C7" s="54">
        <f>COUNTIF('Matriz cursos'!B7:V7,"&gt;0")</f>
        <v>20</v>
      </c>
    </row>
    <row r="8" spans="1:3" ht="13.5" customHeight="1">
      <c r="A8" s="16" t="s">
        <v>38</v>
      </c>
      <c r="B8" s="51">
        <f>SUMIFS(Detalle!$F$2:$F$723,Detalle!$E$2:$E$723,A8)</f>
        <v>40</v>
      </c>
      <c r="C8" s="54">
        <f>COUNTIF('Matriz cursos'!B8:V8,"&gt;0")</f>
        <v>20</v>
      </c>
    </row>
    <row r="9" spans="1:3" ht="13.5" customHeight="1">
      <c r="A9" s="16" t="s">
        <v>39</v>
      </c>
      <c r="B9" s="51">
        <f>SUMIFS(Detalle!$F$2:$F$723,Detalle!$E$2:$E$723,A9)</f>
        <v>38</v>
      </c>
      <c r="C9" s="54">
        <f>COUNTIF('Matriz cursos'!B9:V9,"&gt;0")</f>
        <v>19</v>
      </c>
    </row>
    <row r="10" spans="1:3" ht="13.5" customHeight="1">
      <c r="A10" s="16" t="s">
        <v>40</v>
      </c>
      <c r="B10" s="51">
        <f>SUMIFS(Detalle!$F$2:$F$723,Detalle!$E$2:$E$723,A10)</f>
        <v>28</v>
      </c>
      <c r="C10" s="54">
        <f>COUNTIF('Matriz cursos'!B10:V10,"&gt;0")</f>
        <v>7</v>
      </c>
    </row>
    <row r="11" spans="1:3" ht="13.5" customHeight="1">
      <c r="A11" s="16" t="s">
        <v>41</v>
      </c>
      <c r="B11" s="51">
        <f>SUMIFS(Detalle!$F$2:$F$723,Detalle!$E$2:$E$723,A11)</f>
        <v>21</v>
      </c>
      <c r="C11" s="54">
        <f>COUNTIF('Matriz cursos'!B11:V11,"&gt;0")</f>
        <v>21</v>
      </c>
    </row>
    <row r="12" spans="1:3" ht="13.5" customHeight="1">
      <c r="A12" s="16" t="s">
        <v>42</v>
      </c>
      <c r="B12" s="51">
        <f>SUMIFS(Detalle!$F$2:$F$723,Detalle!$E$2:$E$723,A12)</f>
        <v>20</v>
      </c>
      <c r="C12" s="54">
        <f>COUNTIF('Matriz cursos'!B12:V12,"&gt;0")</f>
        <v>20</v>
      </c>
    </row>
    <row r="13" spans="1:3" ht="13.5" customHeight="1">
      <c r="A13" s="16" t="s">
        <v>43</v>
      </c>
      <c r="B13" s="51">
        <f>SUMIFS(Detalle!$F$2:$F$723,Detalle!$E$2:$E$723,A13)</f>
        <v>20</v>
      </c>
      <c r="C13" s="54">
        <f>COUNTIF('Matriz cursos'!B13:V13,"&gt;0")</f>
        <v>10</v>
      </c>
    </row>
    <row r="14" spans="1:3" ht="13.5" customHeight="1">
      <c r="A14" s="16" t="s">
        <v>44</v>
      </c>
      <c r="B14" s="51">
        <f>SUMIFS(Detalle!$F$2:$F$723,Detalle!$E$2:$E$723,A14)</f>
        <v>20</v>
      </c>
      <c r="C14" s="54">
        <f>COUNTIF('Matriz cursos'!B14:V14,"&gt;0")</f>
        <v>10</v>
      </c>
    </row>
    <row r="15" spans="1:3" ht="13.5" customHeight="1">
      <c r="A15" s="16" t="s">
        <v>45</v>
      </c>
      <c r="B15" s="51">
        <f>SUMIFS(Detalle!$F$2:$F$723,Detalle!$E$2:$E$723,A15)</f>
        <v>19</v>
      </c>
      <c r="C15" s="54">
        <f>COUNTIF('Matriz cursos'!B15:V15,"&gt;0")</f>
        <v>19</v>
      </c>
    </row>
    <row r="16" spans="1:3" ht="13.5" customHeight="1">
      <c r="A16" s="16" t="s">
        <v>46</v>
      </c>
      <c r="B16" s="51">
        <f>SUMIFS(Detalle!$F$2:$F$723,Detalle!$E$2:$E$723,A16)</f>
        <v>19</v>
      </c>
      <c r="C16" s="54">
        <f>COUNTIF('Matriz cursos'!B16:V16,"&gt;0")</f>
        <v>19</v>
      </c>
    </row>
    <row r="17" spans="1:3" ht="13.5" customHeight="1">
      <c r="A17" s="16" t="s">
        <v>47</v>
      </c>
      <c r="B17" s="51">
        <f>SUMIFS(Detalle!$F$2:$F$723,Detalle!$E$2:$E$723,A17)</f>
        <v>19</v>
      </c>
      <c r="C17" s="54">
        <f>COUNTIF('Matriz cursos'!B17:V17,"&gt;0")</f>
        <v>19</v>
      </c>
    </row>
    <row r="18" spans="1:3" ht="13.5" customHeight="1">
      <c r="A18" s="16" t="s">
        <v>48</v>
      </c>
      <c r="B18" s="51">
        <f>SUMIFS(Detalle!$F$2:$F$723,Detalle!$E$2:$E$723,A18)</f>
        <v>18</v>
      </c>
      <c r="C18" s="54">
        <f>COUNTIF('Matriz cursos'!B18:V18,"&gt;0")</f>
        <v>18</v>
      </c>
    </row>
    <row r="19" spans="1:3" ht="13.5" customHeight="1">
      <c r="A19" s="16" t="s">
        <v>49</v>
      </c>
      <c r="B19" s="51">
        <f>SUMIFS(Detalle!$F$2:$F$723,Detalle!$E$2:$E$723,A19)</f>
        <v>17</v>
      </c>
      <c r="C19" s="54">
        <f>COUNTIF('Matriz cursos'!B19:V19,"&gt;0")</f>
        <v>17</v>
      </c>
    </row>
    <row r="20" spans="1:3" ht="13.5" customHeight="1">
      <c r="A20" s="16" t="s">
        <v>50</v>
      </c>
      <c r="B20" s="51">
        <f>SUMIFS(Detalle!$F$2:$F$723,Detalle!$E$2:$E$723,A20)</f>
        <v>12</v>
      </c>
      <c r="C20" s="54">
        <f>COUNTIF('Matriz cursos'!B20:V20,"&gt;0")</f>
        <v>12</v>
      </c>
    </row>
    <row r="21" spans="1:3" ht="13.5" customHeight="1">
      <c r="A21" s="16" t="s">
        <v>51</v>
      </c>
      <c r="B21" s="51">
        <f>SUMIFS(Detalle!$F$2:$F$723,Detalle!$E$2:$E$723,A21)</f>
        <v>10</v>
      </c>
      <c r="C21" s="54">
        <f>COUNTIF('Matriz cursos'!B21:V21,"&gt;0")</f>
        <v>10</v>
      </c>
    </row>
    <row r="22" spans="1:3" ht="13.5" customHeight="1">
      <c r="A22" s="16" t="s">
        <v>52</v>
      </c>
      <c r="B22" s="51">
        <f>SUMIFS(Detalle!$F$2:$F$723,Detalle!$E$2:$E$723,A22)</f>
        <v>8</v>
      </c>
      <c r="C22" s="54">
        <f>COUNTIF('Matriz cursos'!B22:V22,"&gt;0")</f>
        <v>2</v>
      </c>
    </row>
    <row r="23" spans="1:3" ht="13.5" customHeight="1">
      <c r="A23" s="16" t="s">
        <v>53</v>
      </c>
      <c r="B23" s="51">
        <f>SUMIFS(Detalle!$F$2:$F$723,Detalle!$E$2:$E$723,A23)</f>
        <v>7</v>
      </c>
      <c r="C23" s="54">
        <f>COUNTIF('Matriz cursos'!B23:V23,"&gt;0")</f>
        <v>1</v>
      </c>
    </row>
    <row r="24" spans="1:3" ht="13.5" customHeight="1">
      <c r="A24" s="16" t="s">
        <v>54</v>
      </c>
      <c r="B24" s="51">
        <f>SUMIFS(Detalle!$F$2:$F$723,Detalle!$E$2:$E$723,A24)</f>
        <v>6</v>
      </c>
      <c r="C24" s="54">
        <f>COUNTIF('Matriz cursos'!B24:V24,"&gt;0")</f>
        <v>1</v>
      </c>
    </row>
    <row r="25" spans="1:3" ht="13.5" customHeight="1">
      <c r="A25" s="16" t="s">
        <v>55</v>
      </c>
      <c r="B25" s="51">
        <f>SUMIFS(Detalle!$F$2:$F$723,Detalle!$E$2:$E$723,A25)</f>
        <v>6</v>
      </c>
      <c r="C25" s="54">
        <f>COUNTIF('Matriz cursos'!B25:V25,"&gt;0")</f>
        <v>2</v>
      </c>
    </row>
    <row r="26" spans="1:3" ht="13.5" customHeight="1">
      <c r="A26" s="16" t="s">
        <v>56</v>
      </c>
      <c r="B26" s="51">
        <f>SUMIFS(Detalle!$F$2:$F$723,Detalle!$E$2:$E$723,A26)</f>
        <v>6</v>
      </c>
      <c r="C26" s="54">
        <f>COUNTIF('Matriz cursos'!B26:V26,"&gt;0")</f>
        <v>2</v>
      </c>
    </row>
    <row r="27" spans="1:3" ht="13.5" customHeight="1">
      <c r="A27" s="16" t="s">
        <v>57</v>
      </c>
      <c r="B27" s="51">
        <f>SUMIFS(Detalle!$F$2:$F$723,Detalle!$E$2:$E$723,A27)</f>
        <v>6</v>
      </c>
      <c r="C27" s="54">
        <f>COUNTIF('Matriz cursos'!B27:V27,"&gt;0")</f>
        <v>6</v>
      </c>
    </row>
    <row r="28" spans="1:3" ht="13.5" customHeight="1">
      <c r="A28" s="16" t="s">
        <v>58</v>
      </c>
      <c r="B28" s="51">
        <f>SUMIFS(Detalle!$F$2:$F$723,Detalle!$E$2:$E$723,A28)</f>
        <v>5</v>
      </c>
      <c r="C28" s="54">
        <f>COUNTIF('Matriz cursos'!B28:V28,"&gt;0")</f>
        <v>1</v>
      </c>
    </row>
    <row r="29" spans="1:3" ht="13.5" customHeight="1">
      <c r="A29" s="16" t="s">
        <v>59</v>
      </c>
      <c r="B29" s="51">
        <f>SUMIFS(Detalle!$F$2:$F$723,Detalle!$E$2:$E$723,A29)</f>
        <v>4</v>
      </c>
      <c r="C29" s="54">
        <f>COUNTIF('Matriz cursos'!B29:V29,"&gt;0")</f>
        <v>2</v>
      </c>
    </row>
    <row r="30" spans="1:3" ht="13.5" customHeight="1">
      <c r="A30" s="16" t="s">
        <v>60</v>
      </c>
      <c r="B30" s="51">
        <f>SUMIFS(Detalle!$F$2:$F$723,Detalle!$E$2:$E$723,A30)</f>
        <v>4</v>
      </c>
      <c r="C30" s="54">
        <f>COUNTIF('Matriz cursos'!B30:V30,"&gt;0")</f>
        <v>2</v>
      </c>
    </row>
    <row r="31" spans="1:3" ht="13.5" customHeight="1">
      <c r="A31" s="16" t="s">
        <v>61</v>
      </c>
      <c r="B31" s="51">
        <f>SUMIFS(Detalle!$F$2:$F$723,Detalle!$E$2:$E$723,A31)</f>
        <v>3</v>
      </c>
      <c r="C31" s="54">
        <f>COUNTIF('Matriz cursos'!B31:V31,"&gt;0")</f>
        <v>1</v>
      </c>
    </row>
    <row r="32" spans="1:3" ht="13.5" customHeight="1">
      <c r="A32" s="16" t="s">
        <v>62</v>
      </c>
      <c r="B32" s="51">
        <f>SUMIFS(Detalle!$F$2:$F$723,Detalle!$E$2:$E$723,A32)</f>
        <v>3</v>
      </c>
      <c r="C32" s="54">
        <f>COUNTIF('Matriz cursos'!B32:V32,"&gt;0")</f>
        <v>1</v>
      </c>
    </row>
    <row r="33" spans="1:3" ht="13.5" customHeight="1">
      <c r="A33" s="16" t="s">
        <v>63</v>
      </c>
      <c r="B33" s="51">
        <f>SUMIFS(Detalle!$F$2:$F$723,Detalle!$E$2:$E$723,A33)</f>
        <v>3</v>
      </c>
      <c r="C33" s="54">
        <f>COUNTIF('Matriz cursos'!B33:V33,"&gt;0")</f>
        <v>1</v>
      </c>
    </row>
    <row r="34" spans="1:3" ht="13.5" customHeight="1">
      <c r="A34" s="16" t="s">
        <v>64</v>
      </c>
      <c r="B34" s="51">
        <f>SUMIFS(Detalle!$F$2:$F$723,Detalle!$E$2:$E$723,A34)</f>
        <v>2</v>
      </c>
      <c r="C34" s="54">
        <f>COUNTIF('Matriz cursos'!B34:V34,"&gt;0")</f>
        <v>1</v>
      </c>
    </row>
    <row r="35" spans="1:3" ht="13.5" customHeight="1">
      <c r="A35" s="16" t="s">
        <v>65</v>
      </c>
      <c r="B35" s="51">
        <f>SUMIFS(Detalle!$F$2:$F$723,Detalle!$E$2:$E$723,A35)</f>
        <v>2</v>
      </c>
      <c r="C35" s="54">
        <f>COUNTIF('Matriz cursos'!B35:V35,"&gt;0")</f>
        <v>2</v>
      </c>
    </row>
    <row r="36" spans="1:3" ht="13.5" customHeight="1">
      <c r="A36" s="16" t="s">
        <v>66</v>
      </c>
      <c r="B36" s="51">
        <f>SUMIFS(Detalle!$F$2:$F$723,Detalle!$E$2:$E$723,A36)</f>
        <v>2</v>
      </c>
      <c r="C36" s="54">
        <f>COUNTIF('Matriz cursos'!B36:V36,"&gt;0")</f>
        <v>1</v>
      </c>
    </row>
    <row r="37" spans="1:3" ht="13.5" customHeight="1">
      <c r="A37" s="16" t="s">
        <v>67</v>
      </c>
      <c r="B37" s="51">
        <f>SUMIFS(Detalle!$F$2:$F$723,Detalle!$E$2:$E$723,A37)</f>
        <v>2</v>
      </c>
      <c r="C37" s="54">
        <f>COUNTIF('Matriz cursos'!B37:V37,"&gt;0")</f>
        <v>1</v>
      </c>
    </row>
    <row r="38" spans="1:3" ht="13.5" customHeight="1">
      <c r="A38" s="16" t="s">
        <v>68</v>
      </c>
      <c r="B38" s="51">
        <f>SUMIFS(Detalle!$F$2:$F$723,Detalle!$E$2:$E$723,A38)</f>
        <v>2</v>
      </c>
      <c r="C38" s="54">
        <f>COUNTIF('Matriz cursos'!B38:V38,"&gt;0")</f>
        <v>1</v>
      </c>
    </row>
    <row r="39" spans="1:3" ht="13.5" customHeight="1">
      <c r="A39" s="16" t="s">
        <v>69</v>
      </c>
      <c r="B39" s="51">
        <f>SUMIFS(Detalle!$F$2:$F$723,Detalle!$E$2:$E$723,A39)</f>
        <v>2</v>
      </c>
      <c r="C39" s="54">
        <f>COUNTIF('Matriz cursos'!B39:V39,"&gt;0")</f>
        <v>1</v>
      </c>
    </row>
    <row r="40" spans="1:3" ht="13.5" customHeight="1">
      <c r="A40" s="16" t="s">
        <v>70</v>
      </c>
      <c r="B40" s="51">
        <f>SUMIFS(Detalle!$F$2:$F$723,Detalle!$E$2:$E$723,A40)</f>
        <v>2</v>
      </c>
      <c r="C40" s="54">
        <f>COUNTIF('Matriz cursos'!B40:V40,"&gt;0")</f>
        <v>1</v>
      </c>
    </row>
    <row r="41" spans="1:3" ht="13.5" customHeight="1">
      <c r="A41" s="16" t="s">
        <v>71</v>
      </c>
      <c r="B41" s="51">
        <f>SUMIFS(Detalle!$F$2:$F$723,Detalle!$E$2:$E$723,A41)</f>
        <v>2</v>
      </c>
      <c r="C41" s="54">
        <f>COUNTIF('Matriz cursos'!B41:V41,"&gt;0")</f>
        <v>1</v>
      </c>
    </row>
    <row r="42" spans="1:3" ht="13.5" customHeight="1">
      <c r="A42" s="16" t="s">
        <v>72</v>
      </c>
      <c r="B42" s="51">
        <f>SUMIFS(Detalle!$F$2:$F$723,Detalle!$E$2:$E$723,A42)</f>
        <v>2</v>
      </c>
      <c r="C42" s="54">
        <f>COUNTIF('Matriz cursos'!B42:V42,"&gt;0")</f>
        <v>2</v>
      </c>
    </row>
    <row r="43" spans="1:3" ht="13.5" customHeight="1">
      <c r="A43" s="16" t="s">
        <v>73</v>
      </c>
      <c r="B43" s="51">
        <f>SUMIFS(Detalle!$F$2:$F$723,Detalle!$E$2:$E$723,A43)</f>
        <v>2</v>
      </c>
      <c r="C43" s="54">
        <f>COUNTIF('Matriz cursos'!B43:V43,"&gt;0")</f>
        <v>1</v>
      </c>
    </row>
    <row r="44" spans="1:3" ht="13.5" customHeight="1">
      <c r="A44" s="16" t="s">
        <v>74</v>
      </c>
      <c r="B44" s="51">
        <f>SUMIFS(Detalle!$F$2:$F$723,Detalle!$E$2:$E$723,A44)</f>
        <v>2</v>
      </c>
      <c r="C44" s="54">
        <f>COUNTIF('Matriz cursos'!B44:V44,"&gt;0")</f>
        <v>1</v>
      </c>
    </row>
    <row r="45" spans="1:3" ht="13.5" customHeight="1">
      <c r="A45" s="16" t="s">
        <v>75</v>
      </c>
      <c r="B45" s="51">
        <f>SUMIFS(Detalle!$F$2:$F$723,Detalle!$E$2:$E$723,A45)</f>
        <v>2</v>
      </c>
      <c r="C45" s="54">
        <f>COUNTIF('Matriz cursos'!B45:V45,"&gt;0")</f>
        <v>1</v>
      </c>
    </row>
    <row r="46" spans="1:3" ht="13.5" customHeight="1">
      <c r="A46" s="16" t="s">
        <v>76</v>
      </c>
      <c r="B46" s="51">
        <f>SUMIFS(Detalle!$F$2:$F$723,Detalle!$E$2:$E$723,A46)</f>
        <v>2</v>
      </c>
      <c r="C46" s="54">
        <f>COUNTIF('Matriz cursos'!B46:V46,"&gt;0")</f>
        <v>1</v>
      </c>
    </row>
    <row r="47" spans="1:3" ht="13.5" customHeight="1">
      <c r="A47" s="16" t="s">
        <v>77</v>
      </c>
      <c r="B47" s="51">
        <f>SUMIFS(Detalle!$F$2:$F$723,Detalle!$E$2:$E$723,A47)</f>
        <v>2</v>
      </c>
      <c r="C47" s="54">
        <f>COUNTIF('Matriz cursos'!B47:V47,"&gt;0")</f>
        <v>1</v>
      </c>
    </row>
    <row r="48" spans="1:3" ht="13.5" customHeight="1">
      <c r="A48" s="16" t="s">
        <v>78</v>
      </c>
      <c r="B48" s="51">
        <f>SUMIFS(Detalle!$F$2:$F$723,Detalle!$E$2:$E$723,A48)</f>
        <v>1</v>
      </c>
      <c r="C48" s="54">
        <f>COUNTIF('Matriz cursos'!B48:V48,"&gt;0")</f>
        <v>1</v>
      </c>
    </row>
    <row r="49" spans="1:3" ht="13.5" customHeight="1">
      <c r="A49" s="16" t="s">
        <v>79</v>
      </c>
      <c r="B49" s="51">
        <f>SUMIFS(Detalle!$F$2:$F$723,Detalle!$E$2:$E$723,A49)</f>
        <v>1</v>
      </c>
      <c r="C49" s="54">
        <f>COUNTIF('Matriz cursos'!B49:V49,"&gt;0")</f>
        <v>1</v>
      </c>
    </row>
    <row r="50" spans="1:3" ht="13.5" customHeight="1">
      <c r="A50" s="16" t="s">
        <v>80</v>
      </c>
      <c r="B50" s="51">
        <f>SUMIFS(Detalle!$F$2:$F$723,Detalle!$E$2:$E$723,A50)</f>
        <v>1</v>
      </c>
      <c r="C50" s="54">
        <f>COUNTIF('Matriz cursos'!B50:V50,"&gt;0")</f>
        <v>1</v>
      </c>
    </row>
    <row r="51" spans="1:3" ht="13.5" customHeight="1">
      <c r="A51" s="17" t="s">
        <v>28</v>
      </c>
      <c r="B51" s="52">
        <f>SUM(B3:B50)</f>
        <v>722</v>
      </c>
      <c r="C51" s="55"/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0"/>
  <sheetViews>
    <sheetView topLeftCell="B1" workbookViewId="0">
      <selection sqref="A1:V1"/>
    </sheetView>
  </sheetViews>
  <sheetFormatPr baseColWidth="10" defaultColWidth="8.6640625" defaultRowHeight="14"/>
  <cols>
    <col min="1" max="1" width="34" customWidth="1"/>
    <col min="2" max="22" width="10" customWidth="1"/>
  </cols>
  <sheetData>
    <row r="1" spans="1:22" s="2" customFormat="1" ht="18.75" customHeight="1">
      <c r="A1" s="73" t="s">
        <v>81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22" s="2" customFormat="1" ht="12.75" customHeight="1">
      <c r="A2" s="11" t="s">
        <v>30</v>
      </c>
      <c r="B2" s="12" t="s">
        <v>6</v>
      </c>
      <c r="C2" s="12" t="s">
        <v>7</v>
      </c>
      <c r="D2" s="12" t="s">
        <v>8</v>
      </c>
      <c r="E2" s="12" t="s">
        <v>9</v>
      </c>
      <c r="F2" s="12" t="s">
        <v>11</v>
      </c>
      <c r="G2" s="12" t="s">
        <v>12</v>
      </c>
      <c r="H2" s="12" t="s">
        <v>13</v>
      </c>
      <c r="I2" s="12" t="s">
        <v>14</v>
      </c>
      <c r="J2" s="12" t="s">
        <v>15</v>
      </c>
      <c r="K2" s="12" t="s">
        <v>16</v>
      </c>
      <c r="L2" s="12" t="s">
        <v>17</v>
      </c>
      <c r="M2" s="12" t="s">
        <v>18</v>
      </c>
      <c r="N2" s="12" t="s">
        <v>19</v>
      </c>
      <c r="O2" s="12" t="s">
        <v>20</v>
      </c>
      <c r="P2" s="12" t="s">
        <v>21</v>
      </c>
      <c r="Q2" s="12" t="s">
        <v>22</v>
      </c>
      <c r="R2" s="12" t="s">
        <v>23</v>
      </c>
      <c r="S2" s="12" t="s">
        <v>24</v>
      </c>
      <c r="T2" s="12" t="s">
        <v>25</v>
      </c>
      <c r="U2" s="12" t="s">
        <v>26</v>
      </c>
      <c r="V2" s="13" t="s">
        <v>27</v>
      </c>
    </row>
    <row r="3" spans="1:22" s="2" customFormat="1" ht="12.75" customHeight="1">
      <c r="A3" s="15" t="s">
        <v>33</v>
      </c>
      <c r="B3" s="50">
        <f>SUMIFS(Detalle!$F$2:$F$723,Detalle!$A$2:$A$723,B$2,Detalle!$E$2:$E$723,$A3)</f>
        <v>3</v>
      </c>
      <c r="C3" s="50">
        <f>SUMIFS(Detalle!$F$2:$F$723,Detalle!$A$2:$A$723,C$2,Detalle!$E$2:$E$723,$A3)</f>
        <v>4</v>
      </c>
      <c r="D3" s="50">
        <f>SUMIFS(Detalle!$F$2:$F$723,Detalle!$A$2:$A$723,D$2,Detalle!$E$2:$E$723,$A3)</f>
        <v>4</v>
      </c>
      <c r="E3" s="50">
        <f>SUMIFS(Detalle!$F$2:$F$723,Detalle!$A$2:$A$723,E$2,Detalle!$E$2:$E$723,$A3)</f>
        <v>4</v>
      </c>
      <c r="F3" s="50">
        <f>SUMIFS(Detalle!$F$2:$F$723,Detalle!$A$2:$A$723,F$2,Detalle!$E$2:$E$723,$A3)</f>
        <v>4</v>
      </c>
      <c r="G3" s="50">
        <f>SUMIFS(Detalle!$F$2:$F$723,Detalle!$A$2:$A$723,G$2,Detalle!$E$2:$E$723,$A3)</f>
        <v>4</v>
      </c>
      <c r="H3" s="50">
        <f>SUMIFS(Detalle!$F$2:$F$723,Detalle!$A$2:$A$723,H$2,Detalle!$E$2:$E$723,$A3)</f>
        <v>4</v>
      </c>
      <c r="I3" s="50">
        <f>SUMIFS(Detalle!$F$2:$F$723,Detalle!$A$2:$A$723,I$2,Detalle!$E$2:$E$723,$A3)</f>
        <v>4</v>
      </c>
      <c r="J3" s="50">
        <f>SUMIFS(Detalle!$F$2:$F$723,Detalle!$A$2:$A$723,J$2,Detalle!$E$2:$E$723,$A3)</f>
        <v>4</v>
      </c>
      <c r="K3" s="50">
        <f>SUMIFS(Detalle!$F$2:$F$723,Detalle!$A$2:$A$723,K$2,Detalle!$E$2:$E$723,$A3)</f>
        <v>4</v>
      </c>
      <c r="L3" s="50">
        <f>SUMIFS(Detalle!$F$2:$F$723,Detalle!$A$2:$A$723,L$2,Detalle!$E$2:$E$723,$A3)</f>
        <v>4</v>
      </c>
      <c r="M3" s="50">
        <f>SUMIFS(Detalle!$F$2:$F$723,Detalle!$A$2:$A$723,M$2,Detalle!$E$2:$E$723,$A3)</f>
        <v>4</v>
      </c>
      <c r="N3" s="50">
        <f>SUMIFS(Detalle!$F$2:$F$723,Detalle!$A$2:$A$723,N$2,Detalle!$E$2:$E$723,$A3)</f>
        <v>4</v>
      </c>
      <c r="O3" s="50">
        <f>SUMIFS(Detalle!$F$2:$F$723,Detalle!$A$2:$A$723,O$2,Detalle!$E$2:$E$723,$A3)</f>
        <v>4</v>
      </c>
      <c r="P3" s="50">
        <f>SUMIFS(Detalle!$F$2:$F$723,Detalle!$A$2:$A$723,P$2,Detalle!$E$2:$E$723,$A3)</f>
        <v>4</v>
      </c>
      <c r="Q3" s="50">
        <f>SUMIFS(Detalle!$F$2:$F$723,Detalle!$A$2:$A$723,Q$2,Detalle!$E$2:$E$723,$A3)</f>
        <v>4</v>
      </c>
      <c r="R3" s="50">
        <f>SUMIFS(Detalle!$F$2:$F$723,Detalle!$A$2:$A$723,R$2,Detalle!$E$2:$E$723,$A3)</f>
        <v>4</v>
      </c>
      <c r="S3" s="50">
        <f>SUMIFS(Detalle!$F$2:$F$723,Detalle!$A$2:$A$723,S$2,Detalle!$E$2:$E$723,$A3)</f>
        <v>4</v>
      </c>
      <c r="T3" s="50">
        <f>SUMIFS(Detalle!$F$2:$F$723,Detalle!$A$2:$A$723,T$2,Detalle!$E$2:$E$723,$A3)</f>
        <v>5</v>
      </c>
      <c r="U3" s="50">
        <f>SUMIFS(Detalle!$F$2:$F$723,Detalle!$A$2:$A$723,U$2,Detalle!$E$2:$E$723,$A3)</f>
        <v>5</v>
      </c>
      <c r="V3" s="53">
        <f>SUMIFS(Detalle!$F$2:$F$723,Detalle!$A$2:$A$723,V$2,Detalle!$E$2:$E$723,$A3)</f>
        <v>0</v>
      </c>
    </row>
    <row r="4" spans="1:22" s="2" customFormat="1" ht="12.75" customHeight="1">
      <c r="A4" s="16" t="s">
        <v>34</v>
      </c>
      <c r="B4" s="51">
        <f>SUMIFS(Detalle!$F$2:$F$723,Detalle!$A$2:$A$723,B$2,Detalle!$E$2:$E$723,$A4)</f>
        <v>0</v>
      </c>
      <c r="C4" s="51">
        <f>SUMIFS(Detalle!$F$2:$F$723,Detalle!$A$2:$A$723,C$2,Detalle!$E$2:$E$723,$A4)</f>
        <v>5</v>
      </c>
      <c r="D4" s="51">
        <f>SUMIFS(Detalle!$F$2:$F$723,Detalle!$A$2:$A$723,D$2,Detalle!$E$2:$E$723,$A4)</f>
        <v>5</v>
      </c>
      <c r="E4" s="51">
        <f>SUMIFS(Detalle!$F$2:$F$723,Detalle!$A$2:$A$723,E$2,Detalle!$E$2:$E$723,$A4)</f>
        <v>5</v>
      </c>
      <c r="F4" s="51">
        <f>SUMIFS(Detalle!$F$2:$F$723,Detalle!$A$2:$A$723,F$2,Detalle!$E$2:$E$723,$A4)</f>
        <v>5</v>
      </c>
      <c r="G4" s="51">
        <f>SUMIFS(Detalle!$F$2:$F$723,Detalle!$A$2:$A$723,G$2,Detalle!$E$2:$E$723,$A4)</f>
        <v>5</v>
      </c>
      <c r="H4" s="51">
        <f>SUMIFS(Detalle!$F$2:$F$723,Detalle!$A$2:$A$723,H$2,Detalle!$E$2:$E$723,$A4)</f>
        <v>5</v>
      </c>
      <c r="I4" s="51">
        <f>SUMIFS(Detalle!$F$2:$F$723,Detalle!$A$2:$A$723,I$2,Detalle!$E$2:$E$723,$A4)</f>
        <v>5</v>
      </c>
      <c r="J4" s="51">
        <f>SUMIFS(Detalle!$F$2:$F$723,Detalle!$A$2:$A$723,J$2,Detalle!$E$2:$E$723,$A4)</f>
        <v>4</v>
      </c>
      <c r="K4" s="51">
        <f>SUMIFS(Detalle!$F$2:$F$723,Detalle!$A$2:$A$723,K$2,Detalle!$E$2:$E$723,$A4)</f>
        <v>4</v>
      </c>
      <c r="L4" s="51">
        <f>SUMIFS(Detalle!$F$2:$F$723,Detalle!$A$2:$A$723,L$2,Detalle!$E$2:$E$723,$A4)</f>
        <v>4</v>
      </c>
      <c r="M4" s="51">
        <f>SUMIFS(Detalle!$F$2:$F$723,Detalle!$A$2:$A$723,M$2,Detalle!$E$2:$E$723,$A4)</f>
        <v>4</v>
      </c>
      <c r="N4" s="51">
        <f>SUMIFS(Detalle!$F$2:$F$723,Detalle!$A$2:$A$723,N$2,Detalle!$E$2:$E$723,$A4)</f>
        <v>4</v>
      </c>
      <c r="O4" s="51">
        <f>SUMIFS(Detalle!$F$2:$F$723,Detalle!$A$2:$A$723,O$2,Detalle!$E$2:$E$723,$A4)</f>
        <v>4</v>
      </c>
      <c r="P4" s="51">
        <f>SUMIFS(Detalle!$F$2:$F$723,Detalle!$A$2:$A$723,P$2,Detalle!$E$2:$E$723,$A4)</f>
        <v>4</v>
      </c>
      <c r="Q4" s="51">
        <f>SUMIFS(Detalle!$F$2:$F$723,Detalle!$A$2:$A$723,Q$2,Detalle!$E$2:$E$723,$A4)</f>
        <v>4</v>
      </c>
      <c r="R4" s="51">
        <f>SUMIFS(Detalle!$F$2:$F$723,Detalle!$A$2:$A$723,R$2,Detalle!$E$2:$E$723,$A4)</f>
        <v>3</v>
      </c>
      <c r="S4" s="51">
        <f>SUMIFS(Detalle!$F$2:$F$723,Detalle!$A$2:$A$723,S$2,Detalle!$E$2:$E$723,$A4)</f>
        <v>4</v>
      </c>
      <c r="T4" s="51">
        <f>SUMIFS(Detalle!$F$2:$F$723,Detalle!$A$2:$A$723,T$2,Detalle!$E$2:$E$723,$A4)</f>
        <v>3</v>
      </c>
      <c r="U4" s="51">
        <f>SUMIFS(Detalle!$F$2:$F$723,Detalle!$A$2:$A$723,U$2,Detalle!$E$2:$E$723,$A4)</f>
        <v>3</v>
      </c>
      <c r="V4" s="54">
        <f>SUMIFS(Detalle!$F$2:$F$723,Detalle!$A$2:$A$723,V$2,Detalle!$E$2:$E$723,$A4)</f>
        <v>0</v>
      </c>
    </row>
    <row r="5" spans="1:22" s="2" customFormat="1" ht="12.75" customHeight="1">
      <c r="A5" s="16" t="s">
        <v>35</v>
      </c>
      <c r="B5" s="51">
        <f>SUMIFS(Detalle!$F$2:$F$723,Detalle!$A$2:$A$723,B$2,Detalle!$E$2:$E$723,$A5)</f>
        <v>0</v>
      </c>
      <c r="C5" s="51">
        <f>SUMIFS(Detalle!$F$2:$F$723,Detalle!$A$2:$A$723,C$2,Detalle!$E$2:$E$723,$A5)</f>
        <v>4</v>
      </c>
      <c r="D5" s="51">
        <f>SUMIFS(Detalle!$F$2:$F$723,Detalle!$A$2:$A$723,D$2,Detalle!$E$2:$E$723,$A5)</f>
        <v>4</v>
      </c>
      <c r="E5" s="51">
        <f>SUMIFS(Detalle!$F$2:$F$723,Detalle!$A$2:$A$723,E$2,Detalle!$E$2:$E$723,$A5)</f>
        <v>4</v>
      </c>
      <c r="F5" s="51">
        <f>SUMIFS(Detalle!$F$2:$F$723,Detalle!$A$2:$A$723,F$2,Detalle!$E$2:$E$723,$A5)</f>
        <v>4</v>
      </c>
      <c r="G5" s="51">
        <f>SUMIFS(Detalle!$F$2:$F$723,Detalle!$A$2:$A$723,G$2,Detalle!$E$2:$E$723,$A5)</f>
        <v>4</v>
      </c>
      <c r="H5" s="51">
        <f>SUMIFS(Detalle!$F$2:$F$723,Detalle!$A$2:$A$723,H$2,Detalle!$E$2:$E$723,$A5)</f>
        <v>4</v>
      </c>
      <c r="I5" s="51">
        <f>SUMIFS(Detalle!$F$2:$F$723,Detalle!$A$2:$A$723,I$2,Detalle!$E$2:$E$723,$A5)</f>
        <v>4</v>
      </c>
      <c r="J5" s="51">
        <f>SUMIFS(Detalle!$F$2:$F$723,Detalle!$A$2:$A$723,J$2,Detalle!$E$2:$E$723,$A5)</f>
        <v>4</v>
      </c>
      <c r="K5" s="51">
        <f>SUMIFS(Detalle!$F$2:$F$723,Detalle!$A$2:$A$723,K$2,Detalle!$E$2:$E$723,$A5)</f>
        <v>4</v>
      </c>
      <c r="L5" s="51">
        <f>SUMIFS(Detalle!$F$2:$F$723,Detalle!$A$2:$A$723,L$2,Detalle!$E$2:$E$723,$A5)</f>
        <v>4</v>
      </c>
      <c r="M5" s="51">
        <f>SUMIFS(Detalle!$F$2:$F$723,Detalle!$A$2:$A$723,M$2,Detalle!$E$2:$E$723,$A5)</f>
        <v>4</v>
      </c>
      <c r="N5" s="51">
        <f>SUMIFS(Detalle!$F$2:$F$723,Detalle!$A$2:$A$723,N$2,Detalle!$E$2:$E$723,$A5)</f>
        <v>4</v>
      </c>
      <c r="O5" s="51">
        <f>SUMIFS(Detalle!$F$2:$F$723,Detalle!$A$2:$A$723,O$2,Detalle!$E$2:$E$723,$A5)</f>
        <v>4</v>
      </c>
      <c r="P5" s="51">
        <f>SUMIFS(Detalle!$F$2:$F$723,Detalle!$A$2:$A$723,P$2,Detalle!$E$2:$E$723,$A5)</f>
        <v>4</v>
      </c>
      <c r="Q5" s="51">
        <f>SUMIFS(Detalle!$F$2:$F$723,Detalle!$A$2:$A$723,Q$2,Detalle!$E$2:$E$723,$A5)</f>
        <v>4</v>
      </c>
      <c r="R5" s="51">
        <f>SUMIFS(Detalle!$F$2:$F$723,Detalle!$A$2:$A$723,R$2,Detalle!$E$2:$E$723,$A5)</f>
        <v>4</v>
      </c>
      <c r="S5" s="51">
        <f>SUMIFS(Detalle!$F$2:$F$723,Detalle!$A$2:$A$723,S$2,Detalle!$E$2:$E$723,$A5)</f>
        <v>4</v>
      </c>
      <c r="T5" s="51">
        <f>SUMIFS(Detalle!$F$2:$F$723,Detalle!$A$2:$A$723,T$2,Detalle!$E$2:$E$723,$A5)</f>
        <v>0</v>
      </c>
      <c r="U5" s="51">
        <f>SUMIFS(Detalle!$F$2:$F$723,Detalle!$A$2:$A$723,U$2,Detalle!$E$2:$E$723,$A5)</f>
        <v>0</v>
      </c>
      <c r="V5" s="54">
        <f>SUMIFS(Detalle!$F$2:$F$723,Detalle!$A$2:$A$723,V$2,Detalle!$E$2:$E$723,$A5)</f>
        <v>0</v>
      </c>
    </row>
    <row r="6" spans="1:22" s="2" customFormat="1" ht="12.75" customHeight="1">
      <c r="A6" s="16" t="s">
        <v>36</v>
      </c>
      <c r="B6" s="51">
        <f>SUMIFS(Detalle!$F$2:$F$723,Detalle!$A$2:$A$723,B$2,Detalle!$E$2:$E$723,$A6)</f>
        <v>0</v>
      </c>
      <c r="C6" s="51">
        <f>SUMIFS(Detalle!$F$2:$F$723,Detalle!$A$2:$A$723,C$2,Detalle!$E$2:$E$723,$A6)</f>
        <v>4</v>
      </c>
      <c r="D6" s="51">
        <f>SUMIFS(Detalle!$F$2:$F$723,Detalle!$A$2:$A$723,D$2,Detalle!$E$2:$E$723,$A6)</f>
        <v>4</v>
      </c>
      <c r="E6" s="51">
        <f>SUMIFS(Detalle!$F$2:$F$723,Detalle!$A$2:$A$723,E$2,Detalle!$E$2:$E$723,$A6)</f>
        <v>4</v>
      </c>
      <c r="F6" s="51">
        <f>SUMIFS(Detalle!$F$2:$F$723,Detalle!$A$2:$A$723,F$2,Detalle!$E$2:$E$723,$A6)</f>
        <v>4</v>
      </c>
      <c r="G6" s="51">
        <f>SUMIFS(Detalle!$F$2:$F$723,Detalle!$A$2:$A$723,G$2,Detalle!$E$2:$E$723,$A6)</f>
        <v>4</v>
      </c>
      <c r="H6" s="51">
        <f>SUMIFS(Detalle!$F$2:$F$723,Detalle!$A$2:$A$723,H$2,Detalle!$E$2:$E$723,$A6)</f>
        <v>4</v>
      </c>
      <c r="I6" s="51">
        <f>SUMIFS(Detalle!$F$2:$F$723,Detalle!$A$2:$A$723,I$2,Detalle!$E$2:$E$723,$A6)</f>
        <v>4</v>
      </c>
      <c r="J6" s="51">
        <f>SUMIFS(Detalle!$F$2:$F$723,Detalle!$A$2:$A$723,J$2,Detalle!$E$2:$E$723,$A6)</f>
        <v>4</v>
      </c>
      <c r="K6" s="51">
        <f>SUMIFS(Detalle!$F$2:$F$723,Detalle!$A$2:$A$723,K$2,Detalle!$E$2:$E$723,$A6)</f>
        <v>4</v>
      </c>
      <c r="L6" s="51">
        <f>SUMIFS(Detalle!$F$2:$F$723,Detalle!$A$2:$A$723,L$2,Detalle!$E$2:$E$723,$A6)</f>
        <v>4</v>
      </c>
      <c r="M6" s="51">
        <f>SUMIFS(Detalle!$F$2:$F$723,Detalle!$A$2:$A$723,M$2,Detalle!$E$2:$E$723,$A6)</f>
        <v>4</v>
      </c>
      <c r="N6" s="51">
        <f>SUMIFS(Detalle!$F$2:$F$723,Detalle!$A$2:$A$723,N$2,Detalle!$E$2:$E$723,$A6)</f>
        <v>4</v>
      </c>
      <c r="O6" s="51">
        <f>SUMIFS(Detalle!$F$2:$F$723,Detalle!$A$2:$A$723,O$2,Detalle!$E$2:$E$723,$A6)</f>
        <v>4</v>
      </c>
      <c r="P6" s="51">
        <f>SUMIFS(Detalle!$F$2:$F$723,Detalle!$A$2:$A$723,P$2,Detalle!$E$2:$E$723,$A6)</f>
        <v>4</v>
      </c>
      <c r="Q6" s="51">
        <f>SUMIFS(Detalle!$F$2:$F$723,Detalle!$A$2:$A$723,Q$2,Detalle!$E$2:$E$723,$A6)</f>
        <v>4</v>
      </c>
      <c r="R6" s="51">
        <f>SUMIFS(Detalle!$F$2:$F$723,Detalle!$A$2:$A$723,R$2,Detalle!$E$2:$E$723,$A6)</f>
        <v>0</v>
      </c>
      <c r="S6" s="51">
        <f>SUMIFS(Detalle!$F$2:$F$723,Detalle!$A$2:$A$723,S$2,Detalle!$E$2:$E$723,$A6)</f>
        <v>0</v>
      </c>
      <c r="T6" s="51">
        <f>SUMIFS(Detalle!$F$2:$F$723,Detalle!$A$2:$A$723,T$2,Detalle!$E$2:$E$723,$A6)</f>
        <v>0</v>
      </c>
      <c r="U6" s="51">
        <f>SUMIFS(Detalle!$F$2:$F$723,Detalle!$A$2:$A$723,U$2,Detalle!$E$2:$E$723,$A6)</f>
        <v>0</v>
      </c>
      <c r="V6" s="54">
        <f>SUMIFS(Detalle!$F$2:$F$723,Detalle!$A$2:$A$723,V$2,Detalle!$E$2:$E$723,$A6)</f>
        <v>0</v>
      </c>
    </row>
    <row r="7" spans="1:22" s="2" customFormat="1" ht="12.75" customHeight="1">
      <c r="A7" s="16" t="s">
        <v>37</v>
      </c>
      <c r="B7" s="51">
        <f>SUMIFS(Detalle!$F$2:$F$723,Detalle!$A$2:$A$723,B$2,Detalle!$E$2:$E$723,$A7)</f>
        <v>1</v>
      </c>
      <c r="C7" s="51">
        <f>SUMIFS(Detalle!$F$2:$F$723,Detalle!$A$2:$A$723,C$2,Detalle!$E$2:$E$723,$A7)</f>
        <v>2</v>
      </c>
      <c r="D7" s="51">
        <f>SUMIFS(Detalle!$F$2:$F$723,Detalle!$A$2:$A$723,D$2,Detalle!$E$2:$E$723,$A7)</f>
        <v>2</v>
      </c>
      <c r="E7" s="51">
        <f>SUMIFS(Detalle!$F$2:$F$723,Detalle!$A$2:$A$723,E$2,Detalle!$E$2:$E$723,$A7)</f>
        <v>2</v>
      </c>
      <c r="F7" s="51">
        <f>SUMIFS(Detalle!$F$2:$F$723,Detalle!$A$2:$A$723,F$2,Detalle!$E$2:$E$723,$A7)</f>
        <v>3</v>
      </c>
      <c r="G7" s="51">
        <f>SUMIFS(Detalle!$F$2:$F$723,Detalle!$A$2:$A$723,G$2,Detalle!$E$2:$E$723,$A7)</f>
        <v>2</v>
      </c>
      <c r="H7" s="51">
        <f>SUMIFS(Detalle!$F$2:$F$723,Detalle!$A$2:$A$723,H$2,Detalle!$E$2:$E$723,$A7)</f>
        <v>2</v>
      </c>
      <c r="I7" s="51">
        <f>SUMIFS(Detalle!$F$2:$F$723,Detalle!$A$2:$A$723,I$2,Detalle!$E$2:$E$723,$A7)</f>
        <v>2</v>
      </c>
      <c r="J7" s="51">
        <f>SUMIFS(Detalle!$F$2:$F$723,Detalle!$A$2:$A$723,J$2,Detalle!$E$2:$E$723,$A7)</f>
        <v>2</v>
      </c>
      <c r="K7" s="51">
        <f>SUMIFS(Detalle!$F$2:$F$723,Detalle!$A$2:$A$723,K$2,Detalle!$E$2:$E$723,$A7)</f>
        <v>2</v>
      </c>
      <c r="L7" s="51">
        <f>SUMIFS(Detalle!$F$2:$F$723,Detalle!$A$2:$A$723,L$2,Detalle!$E$2:$E$723,$A7)</f>
        <v>2</v>
      </c>
      <c r="M7" s="51">
        <f>SUMIFS(Detalle!$F$2:$F$723,Detalle!$A$2:$A$723,M$2,Detalle!$E$2:$E$723,$A7)</f>
        <v>2</v>
      </c>
      <c r="N7" s="51">
        <f>SUMIFS(Detalle!$F$2:$F$723,Detalle!$A$2:$A$723,N$2,Detalle!$E$2:$E$723,$A7)</f>
        <v>2</v>
      </c>
      <c r="O7" s="51">
        <f>SUMIFS(Detalle!$F$2:$F$723,Detalle!$A$2:$A$723,O$2,Detalle!$E$2:$E$723,$A7)</f>
        <v>2</v>
      </c>
      <c r="P7" s="51">
        <f>SUMIFS(Detalle!$F$2:$F$723,Detalle!$A$2:$A$723,P$2,Detalle!$E$2:$E$723,$A7)</f>
        <v>2</v>
      </c>
      <c r="Q7" s="51">
        <f>SUMIFS(Detalle!$F$2:$F$723,Detalle!$A$2:$A$723,Q$2,Detalle!$E$2:$E$723,$A7)</f>
        <v>2</v>
      </c>
      <c r="R7" s="51">
        <f>SUMIFS(Detalle!$F$2:$F$723,Detalle!$A$2:$A$723,R$2,Detalle!$E$2:$E$723,$A7)</f>
        <v>2</v>
      </c>
      <c r="S7" s="51">
        <f>SUMIFS(Detalle!$F$2:$F$723,Detalle!$A$2:$A$723,S$2,Detalle!$E$2:$E$723,$A7)</f>
        <v>2</v>
      </c>
      <c r="T7" s="51">
        <f>SUMIFS(Detalle!$F$2:$F$723,Detalle!$A$2:$A$723,T$2,Detalle!$E$2:$E$723,$A7)</f>
        <v>2</v>
      </c>
      <c r="U7" s="51">
        <f>SUMIFS(Detalle!$F$2:$F$723,Detalle!$A$2:$A$723,U$2,Detalle!$E$2:$E$723,$A7)</f>
        <v>2</v>
      </c>
      <c r="V7" s="54">
        <f>SUMIFS(Detalle!$F$2:$F$723,Detalle!$A$2:$A$723,V$2,Detalle!$E$2:$E$723,$A7)</f>
        <v>0</v>
      </c>
    </row>
    <row r="8" spans="1:22" s="2" customFormat="1" ht="12.75" customHeight="1">
      <c r="A8" s="16" t="s">
        <v>38</v>
      </c>
      <c r="B8" s="51">
        <f>SUMIFS(Detalle!$F$2:$F$723,Detalle!$A$2:$A$723,B$2,Detalle!$E$2:$E$723,$A8)</f>
        <v>2</v>
      </c>
      <c r="C8" s="51">
        <f>SUMIFS(Detalle!$F$2:$F$723,Detalle!$A$2:$A$723,C$2,Detalle!$E$2:$E$723,$A8)</f>
        <v>2</v>
      </c>
      <c r="D8" s="51">
        <f>SUMIFS(Detalle!$F$2:$F$723,Detalle!$A$2:$A$723,D$2,Detalle!$E$2:$E$723,$A8)</f>
        <v>2</v>
      </c>
      <c r="E8" s="51">
        <f>SUMIFS(Detalle!$F$2:$F$723,Detalle!$A$2:$A$723,E$2,Detalle!$E$2:$E$723,$A8)</f>
        <v>2</v>
      </c>
      <c r="F8" s="51">
        <f>SUMIFS(Detalle!$F$2:$F$723,Detalle!$A$2:$A$723,F$2,Detalle!$E$2:$E$723,$A8)</f>
        <v>2</v>
      </c>
      <c r="G8" s="51">
        <f>SUMIFS(Detalle!$F$2:$F$723,Detalle!$A$2:$A$723,G$2,Detalle!$E$2:$E$723,$A8)</f>
        <v>2</v>
      </c>
      <c r="H8" s="51">
        <f>SUMIFS(Detalle!$F$2:$F$723,Detalle!$A$2:$A$723,H$2,Detalle!$E$2:$E$723,$A8)</f>
        <v>2</v>
      </c>
      <c r="I8" s="51">
        <f>SUMIFS(Detalle!$F$2:$F$723,Detalle!$A$2:$A$723,I$2,Detalle!$E$2:$E$723,$A8)</f>
        <v>2</v>
      </c>
      <c r="J8" s="51">
        <f>SUMIFS(Detalle!$F$2:$F$723,Detalle!$A$2:$A$723,J$2,Detalle!$E$2:$E$723,$A8)</f>
        <v>2</v>
      </c>
      <c r="K8" s="51">
        <f>SUMIFS(Detalle!$F$2:$F$723,Detalle!$A$2:$A$723,K$2,Detalle!$E$2:$E$723,$A8)</f>
        <v>2</v>
      </c>
      <c r="L8" s="51">
        <f>SUMIFS(Detalle!$F$2:$F$723,Detalle!$A$2:$A$723,L$2,Detalle!$E$2:$E$723,$A8)</f>
        <v>2</v>
      </c>
      <c r="M8" s="51">
        <f>SUMIFS(Detalle!$F$2:$F$723,Detalle!$A$2:$A$723,M$2,Detalle!$E$2:$E$723,$A8)</f>
        <v>2</v>
      </c>
      <c r="N8" s="51">
        <f>SUMIFS(Detalle!$F$2:$F$723,Detalle!$A$2:$A$723,N$2,Detalle!$E$2:$E$723,$A8)</f>
        <v>2</v>
      </c>
      <c r="O8" s="51">
        <f>SUMIFS(Detalle!$F$2:$F$723,Detalle!$A$2:$A$723,O$2,Detalle!$E$2:$E$723,$A8)</f>
        <v>2</v>
      </c>
      <c r="P8" s="51">
        <f>SUMIFS(Detalle!$F$2:$F$723,Detalle!$A$2:$A$723,P$2,Detalle!$E$2:$E$723,$A8)</f>
        <v>2</v>
      </c>
      <c r="Q8" s="51">
        <f>SUMIFS(Detalle!$F$2:$F$723,Detalle!$A$2:$A$723,Q$2,Detalle!$E$2:$E$723,$A8)</f>
        <v>2</v>
      </c>
      <c r="R8" s="51">
        <f>SUMIFS(Detalle!$F$2:$F$723,Detalle!$A$2:$A$723,R$2,Detalle!$E$2:$E$723,$A8)</f>
        <v>2</v>
      </c>
      <c r="S8" s="51">
        <f>SUMIFS(Detalle!$F$2:$F$723,Detalle!$A$2:$A$723,S$2,Detalle!$E$2:$E$723,$A8)</f>
        <v>2</v>
      </c>
      <c r="T8" s="51">
        <f>SUMIFS(Detalle!$F$2:$F$723,Detalle!$A$2:$A$723,T$2,Detalle!$E$2:$E$723,$A8)</f>
        <v>2</v>
      </c>
      <c r="U8" s="51">
        <f>SUMIFS(Detalle!$F$2:$F$723,Detalle!$A$2:$A$723,U$2,Detalle!$E$2:$E$723,$A8)</f>
        <v>2</v>
      </c>
      <c r="V8" s="54">
        <f>SUMIFS(Detalle!$F$2:$F$723,Detalle!$A$2:$A$723,V$2,Detalle!$E$2:$E$723,$A8)</f>
        <v>0</v>
      </c>
    </row>
    <row r="9" spans="1:22" s="2" customFormat="1" ht="12.75" customHeight="1">
      <c r="A9" s="16" t="s">
        <v>39</v>
      </c>
      <c r="B9" s="51">
        <f>SUMIFS(Detalle!$F$2:$F$723,Detalle!$A$2:$A$723,B$2,Detalle!$E$2:$E$723,$A9)</f>
        <v>2</v>
      </c>
      <c r="C9" s="51">
        <f>SUMIFS(Detalle!$F$2:$F$723,Detalle!$A$2:$A$723,C$2,Detalle!$E$2:$E$723,$A9)</f>
        <v>2</v>
      </c>
      <c r="D9" s="51">
        <f>SUMIFS(Detalle!$F$2:$F$723,Detalle!$A$2:$A$723,D$2,Detalle!$E$2:$E$723,$A9)</f>
        <v>2</v>
      </c>
      <c r="E9" s="51">
        <f>SUMIFS(Detalle!$F$2:$F$723,Detalle!$A$2:$A$723,E$2,Detalle!$E$2:$E$723,$A9)</f>
        <v>2</v>
      </c>
      <c r="F9" s="51">
        <f>SUMIFS(Detalle!$F$2:$F$723,Detalle!$A$2:$A$723,F$2,Detalle!$E$2:$E$723,$A9)</f>
        <v>2</v>
      </c>
      <c r="G9" s="51">
        <f>SUMIFS(Detalle!$F$2:$F$723,Detalle!$A$2:$A$723,G$2,Detalle!$E$2:$E$723,$A9)</f>
        <v>2</v>
      </c>
      <c r="H9" s="51">
        <f>SUMIFS(Detalle!$F$2:$F$723,Detalle!$A$2:$A$723,H$2,Detalle!$E$2:$E$723,$A9)</f>
        <v>2</v>
      </c>
      <c r="I9" s="51">
        <f>SUMIFS(Detalle!$F$2:$F$723,Detalle!$A$2:$A$723,I$2,Detalle!$E$2:$E$723,$A9)</f>
        <v>2</v>
      </c>
      <c r="J9" s="51">
        <f>SUMIFS(Detalle!$F$2:$F$723,Detalle!$A$2:$A$723,J$2,Detalle!$E$2:$E$723,$A9)</f>
        <v>2</v>
      </c>
      <c r="K9" s="51">
        <f>SUMIFS(Detalle!$F$2:$F$723,Detalle!$A$2:$A$723,K$2,Detalle!$E$2:$E$723,$A9)</f>
        <v>2</v>
      </c>
      <c r="L9" s="51">
        <f>SUMIFS(Detalle!$F$2:$F$723,Detalle!$A$2:$A$723,L$2,Detalle!$E$2:$E$723,$A9)</f>
        <v>2</v>
      </c>
      <c r="M9" s="51">
        <f>SUMIFS(Detalle!$F$2:$F$723,Detalle!$A$2:$A$723,M$2,Detalle!$E$2:$E$723,$A9)</f>
        <v>2</v>
      </c>
      <c r="N9" s="51">
        <f>SUMIFS(Detalle!$F$2:$F$723,Detalle!$A$2:$A$723,N$2,Detalle!$E$2:$E$723,$A9)</f>
        <v>2</v>
      </c>
      <c r="O9" s="51">
        <f>SUMIFS(Detalle!$F$2:$F$723,Detalle!$A$2:$A$723,O$2,Detalle!$E$2:$E$723,$A9)</f>
        <v>2</v>
      </c>
      <c r="P9" s="51">
        <f>SUMIFS(Detalle!$F$2:$F$723,Detalle!$A$2:$A$723,P$2,Detalle!$E$2:$E$723,$A9)</f>
        <v>2</v>
      </c>
      <c r="Q9" s="51">
        <f>SUMIFS(Detalle!$F$2:$F$723,Detalle!$A$2:$A$723,Q$2,Detalle!$E$2:$E$723,$A9)</f>
        <v>2</v>
      </c>
      <c r="R9" s="51">
        <f>SUMIFS(Detalle!$F$2:$F$723,Detalle!$A$2:$A$723,R$2,Detalle!$E$2:$E$723,$A9)</f>
        <v>2</v>
      </c>
      <c r="S9" s="51">
        <f>SUMIFS(Detalle!$F$2:$F$723,Detalle!$A$2:$A$723,S$2,Detalle!$E$2:$E$723,$A9)</f>
        <v>2</v>
      </c>
      <c r="T9" s="51">
        <f>SUMIFS(Detalle!$F$2:$F$723,Detalle!$A$2:$A$723,T$2,Detalle!$E$2:$E$723,$A9)</f>
        <v>0</v>
      </c>
      <c r="U9" s="51">
        <f>SUMIFS(Detalle!$F$2:$F$723,Detalle!$A$2:$A$723,U$2,Detalle!$E$2:$E$723,$A9)</f>
        <v>2</v>
      </c>
      <c r="V9" s="54">
        <f>SUMIFS(Detalle!$F$2:$F$723,Detalle!$A$2:$A$723,V$2,Detalle!$E$2:$E$723,$A9)</f>
        <v>0</v>
      </c>
    </row>
    <row r="10" spans="1:22" s="2" customFormat="1" ht="12.75" customHeight="1">
      <c r="A10" s="16" t="s">
        <v>40</v>
      </c>
      <c r="B10" s="51">
        <f>SUMIFS(Detalle!$F$2:$F$723,Detalle!$A$2:$A$723,B$2,Detalle!$E$2:$E$723,$A10)</f>
        <v>0</v>
      </c>
      <c r="C10" s="51">
        <f>SUMIFS(Detalle!$F$2:$F$723,Detalle!$A$2:$A$723,C$2,Detalle!$E$2:$E$723,$A10)</f>
        <v>4</v>
      </c>
      <c r="D10" s="51">
        <f>SUMIFS(Detalle!$F$2:$F$723,Detalle!$A$2:$A$723,D$2,Detalle!$E$2:$E$723,$A10)</f>
        <v>4</v>
      </c>
      <c r="E10" s="51">
        <f>SUMIFS(Detalle!$F$2:$F$723,Detalle!$A$2:$A$723,E$2,Detalle!$E$2:$E$723,$A10)</f>
        <v>4</v>
      </c>
      <c r="F10" s="51">
        <f>SUMIFS(Detalle!$F$2:$F$723,Detalle!$A$2:$A$723,F$2,Detalle!$E$2:$E$723,$A10)</f>
        <v>4</v>
      </c>
      <c r="G10" s="51">
        <f>SUMIFS(Detalle!$F$2:$F$723,Detalle!$A$2:$A$723,G$2,Detalle!$E$2:$E$723,$A10)</f>
        <v>4</v>
      </c>
      <c r="H10" s="51">
        <f>SUMIFS(Detalle!$F$2:$F$723,Detalle!$A$2:$A$723,H$2,Detalle!$E$2:$E$723,$A10)</f>
        <v>4</v>
      </c>
      <c r="I10" s="51">
        <f>SUMIFS(Detalle!$F$2:$F$723,Detalle!$A$2:$A$723,I$2,Detalle!$E$2:$E$723,$A10)</f>
        <v>4</v>
      </c>
      <c r="J10" s="51">
        <f>SUMIFS(Detalle!$F$2:$F$723,Detalle!$A$2:$A$723,J$2,Detalle!$E$2:$E$723,$A10)</f>
        <v>0</v>
      </c>
      <c r="K10" s="51">
        <f>SUMIFS(Detalle!$F$2:$F$723,Detalle!$A$2:$A$723,K$2,Detalle!$E$2:$E$723,$A10)</f>
        <v>0</v>
      </c>
      <c r="L10" s="51">
        <f>SUMIFS(Detalle!$F$2:$F$723,Detalle!$A$2:$A$723,L$2,Detalle!$E$2:$E$723,$A10)</f>
        <v>0</v>
      </c>
      <c r="M10" s="51">
        <f>SUMIFS(Detalle!$F$2:$F$723,Detalle!$A$2:$A$723,M$2,Detalle!$E$2:$E$723,$A10)</f>
        <v>0</v>
      </c>
      <c r="N10" s="51">
        <f>SUMIFS(Detalle!$F$2:$F$723,Detalle!$A$2:$A$723,N$2,Detalle!$E$2:$E$723,$A10)</f>
        <v>0</v>
      </c>
      <c r="O10" s="51">
        <f>SUMIFS(Detalle!$F$2:$F$723,Detalle!$A$2:$A$723,O$2,Detalle!$E$2:$E$723,$A10)</f>
        <v>0</v>
      </c>
      <c r="P10" s="51">
        <f>SUMIFS(Detalle!$F$2:$F$723,Detalle!$A$2:$A$723,P$2,Detalle!$E$2:$E$723,$A10)</f>
        <v>0</v>
      </c>
      <c r="Q10" s="51">
        <f>SUMIFS(Detalle!$F$2:$F$723,Detalle!$A$2:$A$723,Q$2,Detalle!$E$2:$E$723,$A10)</f>
        <v>0</v>
      </c>
      <c r="R10" s="51">
        <f>SUMIFS(Detalle!$F$2:$F$723,Detalle!$A$2:$A$723,R$2,Detalle!$E$2:$E$723,$A10)</f>
        <v>0</v>
      </c>
      <c r="S10" s="51">
        <f>SUMIFS(Detalle!$F$2:$F$723,Detalle!$A$2:$A$723,S$2,Detalle!$E$2:$E$723,$A10)</f>
        <v>0</v>
      </c>
      <c r="T10" s="51">
        <f>SUMIFS(Detalle!$F$2:$F$723,Detalle!$A$2:$A$723,T$2,Detalle!$E$2:$E$723,$A10)</f>
        <v>0</v>
      </c>
      <c r="U10" s="51">
        <f>SUMIFS(Detalle!$F$2:$F$723,Detalle!$A$2:$A$723,U$2,Detalle!$E$2:$E$723,$A10)</f>
        <v>0</v>
      </c>
      <c r="V10" s="54">
        <f>SUMIFS(Detalle!$F$2:$F$723,Detalle!$A$2:$A$723,V$2,Detalle!$E$2:$E$723,$A10)</f>
        <v>0</v>
      </c>
    </row>
    <row r="11" spans="1:22" s="2" customFormat="1" ht="12.75" customHeight="1">
      <c r="A11" s="16" t="s">
        <v>41</v>
      </c>
      <c r="B11" s="51">
        <f>SUMIFS(Detalle!$F$2:$F$723,Detalle!$A$2:$A$723,B$2,Detalle!$E$2:$E$723,$A11)</f>
        <v>1</v>
      </c>
      <c r="C11" s="51">
        <f>SUMIFS(Detalle!$F$2:$F$723,Detalle!$A$2:$A$723,C$2,Detalle!$E$2:$E$723,$A11)</f>
        <v>1</v>
      </c>
      <c r="D11" s="51">
        <f>SUMIFS(Detalle!$F$2:$F$723,Detalle!$A$2:$A$723,D$2,Detalle!$E$2:$E$723,$A11)</f>
        <v>1</v>
      </c>
      <c r="E11" s="51">
        <f>SUMIFS(Detalle!$F$2:$F$723,Detalle!$A$2:$A$723,E$2,Detalle!$E$2:$E$723,$A11)</f>
        <v>1</v>
      </c>
      <c r="F11" s="51">
        <f>SUMIFS(Detalle!$F$2:$F$723,Detalle!$A$2:$A$723,F$2,Detalle!$E$2:$E$723,$A11)</f>
        <v>1</v>
      </c>
      <c r="G11" s="51">
        <f>SUMIFS(Detalle!$F$2:$F$723,Detalle!$A$2:$A$723,G$2,Detalle!$E$2:$E$723,$A11)</f>
        <v>1</v>
      </c>
      <c r="H11" s="51">
        <f>SUMIFS(Detalle!$F$2:$F$723,Detalle!$A$2:$A$723,H$2,Detalle!$E$2:$E$723,$A11)</f>
        <v>1</v>
      </c>
      <c r="I11" s="51">
        <f>SUMIFS(Detalle!$F$2:$F$723,Detalle!$A$2:$A$723,I$2,Detalle!$E$2:$E$723,$A11)</f>
        <v>1</v>
      </c>
      <c r="J11" s="51">
        <f>SUMIFS(Detalle!$F$2:$F$723,Detalle!$A$2:$A$723,J$2,Detalle!$E$2:$E$723,$A11)</f>
        <v>1</v>
      </c>
      <c r="K11" s="51">
        <f>SUMIFS(Detalle!$F$2:$F$723,Detalle!$A$2:$A$723,K$2,Detalle!$E$2:$E$723,$A11)</f>
        <v>1</v>
      </c>
      <c r="L11" s="51">
        <f>SUMIFS(Detalle!$F$2:$F$723,Detalle!$A$2:$A$723,L$2,Detalle!$E$2:$E$723,$A11)</f>
        <v>1</v>
      </c>
      <c r="M11" s="51">
        <f>SUMIFS(Detalle!$F$2:$F$723,Detalle!$A$2:$A$723,M$2,Detalle!$E$2:$E$723,$A11)</f>
        <v>1</v>
      </c>
      <c r="N11" s="51">
        <f>SUMIFS(Detalle!$F$2:$F$723,Detalle!$A$2:$A$723,N$2,Detalle!$E$2:$E$723,$A11)</f>
        <v>1</v>
      </c>
      <c r="O11" s="51">
        <f>SUMIFS(Detalle!$F$2:$F$723,Detalle!$A$2:$A$723,O$2,Detalle!$E$2:$E$723,$A11)</f>
        <v>1</v>
      </c>
      <c r="P11" s="51">
        <f>SUMIFS(Detalle!$F$2:$F$723,Detalle!$A$2:$A$723,P$2,Detalle!$E$2:$E$723,$A11)</f>
        <v>1</v>
      </c>
      <c r="Q11" s="51">
        <f>SUMIFS(Detalle!$F$2:$F$723,Detalle!$A$2:$A$723,Q$2,Detalle!$E$2:$E$723,$A11)</f>
        <v>1</v>
      </c>
      <c r="R11" s="51">
        <f>SUMIFS(Detalle!$F$2:$F$723,Detalle!$A$2:$A$723,R$2,Detalle!$E$2:$E$723,$A11)</f>
        <v>1</v>
      </c>
      <c r="S11" s="51">
        <f>SUMIFS(Detalle!$F$2:$F$723,Detalle!$A$2:$A$723,S$2,Detalle!$E$2:$E$723,$A11)</f>
        <v>1</v>
      </c>
      <c r="T11" s="51">
        <f>SUMIFS(Detalle!$F$2:$F$723,Detalle!$A$2:$A$723,T$2,Detalle!$E$2:$E$723,$A11)</f>
        <v>1</v>
      </c>
      <c r="U11" s="51">
        <f>SUMIFS(Detalle!$F$2:$F$723,Detalle!$A$2:$A$723,U$2,Detalle!$E$2:$E$723,$A11)</f>
        <v>1</v>
      </c>
      <c r="V11" s="54">
        <f>SUMIFS(Detalle!$F$2:$F$723,Detalle!$A$2:$A$723,V$2,Detalle!$E$2:$E$723,$A11)</f>
        <v>1</v>
      </c>
    </row>
    <row r="12" spans="1:22" s="2" customFormat="1" ht="12.75" customHeight="1">
      <c r="A12" s="16" t="s">
        <v>42</v>
      </c>
      <c r="B12" s="51">
        <f>SUMIFS(Detalle!$F$2:$F$723,Detalle!$A$2:$A$723,B$2,Detalle!$E$2:$E$723,$A12)</f>
        <v>1</v>
      </c>
      <c r="C12" s="51">
        <f>SUMIFS(Detalle!$F$2:$F$723,Detalle!$A$2:$A$723,C$2,Detalle!$E$2:$E$723,$A12)</f>
        <v>1</v>
      </c>
      <c r="D12" s="51">
        <f>SUMIFS(Detalle!$F$2:$F$723,Detalle!$A$2:$A$723,D$2,Detalle!$E$2:$E$723,$A12)</f>
        <v>1</v>
      </c>
      <c r="E12" s="51">
        <f>SUMIFS(Detalle!$F$2:$F$723,Detalle!$A$2:$A$723,E$2,Detalle!$E$2:$E$723,$A12)</f>
        <v>1</v>
      </c>
      <c r="F12" s="51">
        <f>SUMIFS(Detalle!$F$2:$F$723,Detalle!$A$2:$A$723,F$2,Detalle!$E$2:$E$723,$A12)</f>
        <v>1</v>
      </c>
      <c r="G12" s="51">
        <f>SUMIFS(Detalle!$F$2:$F$723,Detalle!$A$2:$A$723,G$2,Detalle!$E$2:$E$723,$A12)</f>
        <v>1</v>
      </c>
      <c r="H12" s="51">
        <f>SUMIFS(Detalle!$F$2:$F$723,Detalle!$A$2:$A$723,H$2,Detalle!$E$2:$E$723,$A12)</f>
        <v>1</v>
      </c>
      <c r="I12" s="51">
        <f>SUMIFS(Detalle!$F$2:$F$723,Detalle!$A$2:$A$723,I$2,Detalle!$E$2:$E$723,$A12)</f>
        <v>1</v>
      </c>
      <c r="J12" s="51">
        <f>SUMIFS(Detalle!$F$2:$F$723,Detalle!$A$2:$A$723,J$2,Detalle!$E$2:$E$723,$A12)</f>
        <v>1</v>
      </c>
      <c r="K12" s="51">
        <f>SUMIFS(Detalle!$F$2:$F$723,Detalle!$A$2:$A$723,K$2,Detalle!$E$2:$E$723,$A12)</f>
        <v>1</v>
      </c>
      <c r="L12" s="51">
        <f>SUMIFS(Detalle!$F$2:$F$723,Detalle!$A$2:$A$723,L$2,Detalle!$E$2:$E$723,$A12)</f>
        <v>1</v>
      </c>
      <c r="M12" s="51">
        <f>SUMIFS(Detalle!$F$2:$F$723,Detalle!$A$2:$A$723,M$2,Detalle!$E$2:$E$723,$A12)</f>
        <v>1</v>
      </c>
      <c r="N12" s="51">
        <f>SUMIFS(Detalle!$F$2:$F$723,Detalle!$A$2:$A$723,N$2,Detalle!$E$2:$E$723,$A12)</f>
        <v>1</v>
      </c>
      <c r="O12" s="51">
        <f>SUMIFS(Detalle!$F$2:$F$723,Detalle!$A$2:$A$723,O$2,Detalle!$E$2:$E$723,$A12)</f>
        <v>1</v>
      </c>
      <c r="P12" s="51">
        <f>SUMIFS(Detalle!$F$2:$F$723,Detalle!$A$2:$A$723,P$2,Detalle!$E$2:$E$723,$A12)</f>
        <v>1</v>
      </c>
      <c r="Q12" s="51">
        <f>SUMIFS(Detalle!$F$2:$F$723,Detalle!$A$2:$A$723,Q$2,Detalle!$E$2:$E$723,$A12)</f>
        <v>1</v>
      </c>
      <c r="R12" s="51">
        <f>SUMIFS(Detalle!$F$2:$F$723,Detalle!$A$2:$A$723,R$2,Detalle!$E$2:$E$723,$A12)</f>
        <v>1</v>
      </c>
      <c r="S12" s="51">
        <f>SUMIFS(Detalle!$F$2:$F$723,Detalle!$A$2:$A$723,S$2,Detalle!$E$2:$E$723,$A12)</f>
        <v>1</v>
      </c>
      <c r="T12" s="51">
        <f>SUMIFS(Detalle!$F$2:$F$723,Detalle!$A$2:$A$723,T$2,Detalle!$E$2:$E$723,$A12)</f>
        <v>1</v>
      </c>
      <c r="U12" s="51">
        <f>SUMIFS(Detalle!$F$2:$F$723,Detalle!$A$2:$A$723,U$2,Detalle!$E$2:$E$723,$A12)</f>
        <v>1</v>
      </c>
      <c r="V12" s="54">
        <f>SUMIFS(Detalle!$F$2:$F$723,Detalle!$A$2:$A$723,V$2,Detalle!$E$2:$E$723,$A12)</f>
        <v>0</v>
      </c>
    </row>
    <row r="13" spans="1:22" s="2" customFormat="1" ht="12.75" customHeight="1">
      <c r="A13" s="16" t="s">
        <v>43</v>
      </c>
      <c r="B13" s="51">
        <f>SUMIFS(Detalle!$F$2:$F$723,Detalle!$A$2:$A$723,B$2,Detalle!$E$2:$E$723,$A13)</f>
        <v>0</v>
      </c>
      <c r="C13" s="51">
        <f>SUMIFS(Detalle!$F$2:$F$723,Detalle!$A$2:$A$723,C$2,Detalle!$E$2:$E$723,$A13)</f>
        <v>0</v>
      </c>
      <c r="D13" s="51">
        <f>SUMIFS(Detalle!$F$2:$F$723,Detalle!$A$2:$A$723,D$2,Detalle!$E$2:$E$723,$A13)</f>
        <v>0</v>
      </c>
      <c r="E13" s="51">
        <f>SUMIFS(Detalle!$F$2:$F$723,Detalle!$A$2:$A$723,E$2,Detalle!$E$2:$E$723,$A13)</f>
        <v>0</v>
      </c>
      <c r="F13" s="51">
        <f>SUMIFS(Detalle!$F$2:$F$723,Detalle!$A$2:$A$723,F$2,Detalle!$E$2:$E$723,$A13)</f>
        <v>0</v>
      </c>
      <c r="G13" s="51">
        <f>SUMIFS(Detalle!$F$2:$F$723,Detalle!$A$2:$A$723,G$2,Detalle!$E$2:$E$723,$A13)</f>
        <v>0</v>
      </c>
      <c r="H13" s="51">
        <f>SUMIFS(Detalle!$F$2:$F$723,Detalle!$A$2:$A$723,H$2,Detalle!$E$2:$E$723,$A13)</f>
        <v>0</v>
      </c>
      <c r="I13" s="51">
        <f>SUMIFS(Detalle!$F$2:$F$723,Detalle!$A$2:$A$723,I$2,Detalle!$E$2:$E$723,$A13)</f>
        <v>0</v>
      </c>
      <c r="J13" s="51">
        <f>SUMIFS(Detalle!$F$2:$F$723,Detalle!$A$2:$A$723,J$2,Detalle!$E$2:$E$723,$A13)</f>
        <v>2</v>
      </c>
      <c r="K13" s="51">
        <f>SUMIFS(Detalle!$F$2:$F$723,Detalle!$A$2:$A$723,K$2,Detalle!$E$2:$E$723,$A13)</f>
        <v>2</v>
      </c>
      <c r="L13" s="51">
        <f>SUMIFS(Detalle!$F$2:$F$723,Detalle!$A$2:$A$723,L$2,Detalle!$E$2:$E$723,$A13)</f>
        <v>2</v>
      </c>
      <c r="M13" s="51">
        <f>SUMIFS(Detalle!$F$2:$F$723,Detalle!$A$2:$A$723,M$2,Detalle!$E$2:$E$723,$A13)</f>
        <v>2</v>
      </c>
      <c r="N13" s="51">
        <f>SUMIFS(Detalle!$F$2:$F$723,Detalle!$A$2:$A$723,N$2,Detalle!$E$2:$E$723,$A13)</f>
        <v>2</v>
      </c>
      <c r="O13" s="51">
        <f>SUMIFS(Detalle!$F$2:$F$723,Detalle!$A$2:$A$723,O$2,Detalle!$E$2:$E$723,$A13)</f>
        <v>2</v>
      </c>
      <c r="P13" s="51">
        <f>SUMIFS(Detalle!$F$2:$F$723,Detalle!$A$2:$A$723,P$2,Detalle!$E$2:$E$723,$A13)</f>
        <v>2</v>
      </c>
      <c r="Q13" s="51">
        <f>SUMIFS(Detalle!$F$2:$F$723,Detalle!$A$2:$A$723,Q$2,Detalle!$E$2:$E$723,$A13)</f>
        <v>2</v>
      </c>
      <c r="R13" s="51">
        <f>SUMIFS(Detalle!$F$2:$F$723,Detalle!$A$2:$A$723,R$2,Detalle!$E$2:$E$723,$A13)</f>
        <v>2</v>
      </c>
      <c r="S13" s="51">
        <f>SUMIFS(Detalle!$F$2:$F$723,Detalle!$A$2:$A$723,S$2,Detalle!$E$2:$E$723,$A13)</f>
        <v>2</v>
      </c>
      <c r="T13" s="51">
        <f>SUMIFS(Detalle!$F$2:$F$723,Detalle!$A$2:$A$723,T$2,Detalle!$E$2:$E$723,$A13)</f>
        <v>0</v>
      </c>
      <c r="U13" s="51">
        <f>SUMIFS(Detalle!$F$2:$F$723,Detalle!$A$2:$A$723,U$2,Detalle!$E$2:$E$723,$A13)</f>
        <v>0</v>
      </c>
      <c r="V13" s="54">
        <f>SUMIFS(Detalle!$F$2:$F$723,Detalle!$A$2:$A$723,V$2,Detalle!$E$2:$E$723,$A13)</f>
        <v>0</v>
      </c>
    </row>
    <row r="14" spans="1:22" s="2" customFormat="1" ht="12.75" customHeight="1">
      <c r="A14" s="16" t="s">
        <v>44</v>
      </c>
      <c r="B14" s="51">
        <f>SUMIFS(Detalle!$F$2:$F$723,Detalle!$A$2:$A$723,B$2,Detalle!$E$2:$E$723,$A14)</f>
        <v>0</v>
      </c>
      <c r="C14" s="51">
        <f>SUMIFS(Detalle!$F$2:$F$723,Detalle!$A$2:$A$723,C$2,Detalle!$E$2:$E$723,$A14)</f>
        <v>0</v>
      </c>
      <c r="D14" s="51">
        <f>SUMIFS(Detalle!$F$2:$F$723,Detalle!$A$2:$A$723,D$2,Detalle!$E$2:$E$723,$A14)</f>
        <v>0</v>
      </c>
      <c r="E14" s="51">
        <f>SUMIFS(Detalle!$F$2:$F$723,Detalle!$A$2:$A$723,E$2,Detalle!$E$2:$E$723,$A14)</f>
        <v>0</v>
      </c>
      <c r="F14" s="51">
        <f>SUMIFS(Detalle!$F$2:$F$723,Detalle!$A$2:$A$723,F$2,Detalle!$E$2:$E$723,$A14)</f>
        <v>0</v>
      </c>
      <c r="G14" s="51">
        <f>SUMIFS(Detalle!$F$2:$F$723,Detalle!$A$2:$A$723,G$2,Detalle!$E$2:$E$723,$A14)</f>
        <v>0</v>
      </c>
      <c r="H14" s="51">
        <f>SUMIFS(Detalle!$F$2:$F$723,Detalle!$A$2:$A$723,H$2,Detalle!$E$2:$E$723,$A14)</f>
        <v>0</v>
      </c>
      <c r="I14" s="51">
        <f>SUMIFS(Detalle!$F$2:$F$723,Detalle!$A$2:$A$723,I$2,Detalle!$E$2:$E$723,$A14)</f>
        <v>0</v>
      </c>
      <c r="J14" s="51">
        <f>SUMIFS(Detalle!$F$2:$F$723,Detalle!$A$2:$A$723,J$2,Detalle!$E$2:$E$723,$A14)</f>
        <v>2</v>
      </c>
      <c r="K14" s="51">
        <f>SUMIFS(Detalle!$F$2:$F$723,Detalle!$A$2:$A$723,K$2,Detalle!$E$2:$E$723,$A14)</f>
        <v>2</v>
      </c>
      <c r="L14" s="51">
        <f>SUMIFS(Detalle!$F$2:$F$723,Detalle!$A$2:$A$723,L$2,Detalle!$E$2:$E$723,$A14)</f>
        <v>2</v>
      </c>
      <c r="M14" s="51">
        <f>SUMIFS(Detalle!$F$2:$F$723,Detalle!$A$2:$A$723,M$2,Detalle!$E$2:$E$723,$A14)</f>
        <v>2</v>
      </c>
      <c r="N14" s="51">
        <f>SUMIFS(Detalle!$F$2:$F$723,Detalle!$A$2:$A$723,N$2,Detalle!$E$2:$E$723,$A14)</f>
        <v>2</v>
      </c>
      <c r="O14" s="51">
        <f>SUMIFS(Detalle!$F$2:$F$723,Detalle!$A$2:$A$723,O$2,Detalle!$E$2:$E$723,$A14)</f>
        <v>2</v>
      </c>
      <c r="P14" s="51">
        <f>SUMIFS(Detalle!$F$2:$F$723,Detalle!$A$2:$A$723,P$2,Detalle!$E$2:$E$723,$A14)</f>
        <v>2</v>
      </c>
      <c r="Q14" s="51">
        <f>SUMIFS(Detalle!$F$2:$F$723,Detalle!$A$2:$A$723,Q$2,Detalle!$E$2:$E$723,$A14)</f>
        <v>2</v>
      </c>
      <c r="R14" s="51">
        <f>SUMIFS(Detalle!$F$2:$F$723,Detalle!$A$2:$A$723,R$2,Detalle!$E$2:$E$723,$A14)</f>
        <v>2</v>
      </c>
      <c r="S14" s="51">
        <f>SUMIFS(Detalle!$F$2:$F$723,Detalle!$A$2:$A$723,S$2,Detalle!$E$2:$E$723,$A14)</f>
        <v>2</v>
      </c>
      <c r="T14" s="51">
        <f>SUMIFS(Detalle!$F$2:$F$723,Detalle!$A$2:$A$723,T$2,Detalle!$E$2:$E$723,$A14)</f>
        <v>0</v>
      </c>
      <c r="U14" s="51">
        <f>SUMIFS(Detalle!$F$2:$F$723,Detalle!$A$2:$A$723,U$2,Detalle!$E$2:$E$723,$A14)</f>
        <v>0</v>
      </c>
      <c r="V14" s="54">
        <f>SUMIFS(Detalle!$F$2:$F$723,Detalle!$A$2:$A$723,V$2,Detalle!$E$2:$E$723,$A14)</f>
        <v>0</v>
      </c>
    </row>
    <row r="15" spans="1:22" s="2" customFormat="1" ht="12.75" customHeight="1">
      <c r="A15" s="16" t="s">
        <v>45</v>
      </c>
      <c r="B15" s="51">
        <f>SUMIFS(Detalle!$F$2:$F$723,Detalle!$A$2:$A$723,B$2,Detalle!$E$2:$E$723,$A15)</f>
        <v>1</v>
      </c>
      <c r="C15" s="51">
        <f>SUMIFS(Detalle!$F$2:$F$723,Detalle!$A$2:$A$723,C$2,Detalle!$E$2:$E$723,$A15)</f>
        <v>1</v>
      </c>
      <c r="D15" s="51">
        <f>SUMIFS(Detalle!$F$2:$F$723,Detalle!$A$2:$A$723,D$2,Detalle!$E$2:$E$723,$A15)</f>
        <v>1</v>
      </c>
      <c r="E15" s="51">
        <f>SUMIFS(Detalle!$F$2:$F$723,Detalle!$A$2:$A$723,E$2,Detalle!$E$2:$E$723,$A15)</f>
        <v>1</v>
      </c>
      <c r="F15" s="51">
        <f>SUMIFS(Detalle!$F$2:$F$723,Detalle!$A$2:$A$723,F$2,Detalle!$E$2:$E$723,$A15)</f>
        <v>0</v>
      </c>
      <c r="G15" s="51">
        <f>SUMIFS(Detalle!$F$2:$F$723,Detalle!$A$2:$A$723,G$2,Detalle!$E$2:$E$723,$A15)</f>
        <v>1</v>
      </c>
      <c r="H15" s="51">
        <f>SUMIFS(Detalle!$F$2:$F$723,Detalle!$A$2:$A$723,H$2,Detalle!$E$2:$E$723,$A15)</f>
        <v>1</v>
      </c>
      <c r="I15" s="51">
        <f>SUMIFS(Detalle!$F$2:$F$723,Detalle!$A$2:$A$723,I$2,Detalle!$E$2:$E$723,$A15)</f>
        <v>1</v>
      </c>
      <c r="J15" s="51">
        <f>SUMIFS(Detalle!$F$2:$F$723,Detalle!$A$2:$A$723,J$2,Detalle!$E$2:$E$723,$A15)</f>
        <v>1</v>
      </c>
      <c r="K15" s="51">
        <f>SUMIFS(Detalle!$F$2:$F$723,Detalle!$A$2:$A$723,K$2,Detalle!$E$2:$E$723,$A15)</f>
        <v>1</v>
      </c>
      <c r="L15" s="51">
        <f>SUMIFS(Detalle!$F$2:$F$723,Detalle!$A$2:$A$723,L$2,Detalle!$E$2:$E$723,$A15)</f>
        <v>1</v>
      </c>
      <c r="M15" s="51">
        <f>SUMIFS(Detalle!$F$2:$F$723,Detalle!$A$2:$A$723,M$2,Detalle!$E$2:$E$723,$A15)</f>
        <v>1</v>
      </c>
      <c r="N15" s="51">
        <f>SUMIFS(Detalle!$F$2:$F$723,Detalle!$A$2:$A$723,N$2,Detalle!$E$2:$E$723,$A15)</f>
        <v>1</v>
      </c>
      <c r="O15" s="51">
        <f>SUMIFS(Detalle!$F$2:$F$723,Detalle!$A$2:$A$723,O$2,Detalle!$E$2:$E$723,$A15)</f>
        <v>1</v>
      </c>
      <c r="P15" s="51">
        <f>SUMIFS(Detalle!$F$2:$F$723,Detalle!$A$2:$A$723,P$2,Detalle!$E$2:$E$723,$A15)</f>
        <v>1</v>
      </c>
      <c r="Q15" s="51">
        <f>SUMIFS(Detalle!$F$2:$F$723,Detalle!$A$2:$A$723,Q$2,Detalle!$E$2:$E$723,$A15)</f>
        <v>1</v>
      </c>
      <c r="R15" s="51">
        <f>SUMIFS(Detalle!$F$2:$F$723,Detalle!$A$2:$A$723,R$2,Detalle!$E$2:$E$723,$A15)</f>
        <v>1</v>
      </c>
      <c r="S15" s="51">
        <f>SUMIFS(Detalle!$F$2:$F$723,Detalle!$A$2:$A$723,S$2,Detalle!$E$2:$E$723,$A15)</f>
        <v>1</v>
      </c>
      <c r="T15" s="51">
        <f>SUMIFS(Detalle!$F$2:$F$723,Detalle!$A$2:$A$723,T$2,Detalle!$E$2:$E$723,$A15)</f>
        <v>1</v>
      </c>
      <c r="U15" s="51">
        <f>SUMIFS(Detalle!$F$2:$F$723,Detalle!$A$2:$A$723,U$2,Detalle!$E$2:$E$723,$A15)</f>
        <v>1</v>
      </c>
      <c r="V15" s="54">
        <f>SUMIFS(Detalle!$F$2:$F$723,Detalle!$A$2:$A$723,V$2,Detalle!$E$2:$E$723,$A15)</f>
        <v>0</v>
      </c>
    </row>
    <row r="16" spans="1:22" s="2" customFormat="1" ht="12.75" customHeight="1">
      <c r="A16" s="16" t="s">
        <v>46</v>
      </c>
      <c r="B16" s="51">
        <f>SUMIFS(Detalle!$F$2:$F$723,Detalle!$A$2:$A$723,B$2,Detalle!$E$2:$E$723,$A16)</f>
        <v>1</v>
      </c>
      <c r="C16" s="51">
        <f>SUMIFS(Detalle!$F$2:$F$723,Detalle!$A$2:$A$723,C$2,Detalle!$E$2:$E$723,$A16)</f>
        <v>1</v>
      </c>
      <c r="D16" s="51">
        <f>SUMIFS(Detalle!$F$2:$F$723,Detalle!$A$2:$A$723,D$2,Detalle!$E$2:$E$723,$A16)</f>
        <v>1</v>
      </c>
      <c r="E16" s="51">
        <f>SUMIFS(Detalle!$F$2:$F$723,Detalle!$A$2:$A$723,E$2,Detalle!$E$2:$E$723,$A16)</f>
        <v>1</v>
      </c>
      <c r="F16" s="51">
        <f>SUMIFS(Detalle!$F$2:$F$723,Detalle!$A$2:$A$723,F$2,Detalle!$E$2:$E$723,$A16)</f>
        <v>1</v>
      </c>
      <c r="G16" s="51">
        <f>SUMIFS(Detalle!$F$2:$F$723,Detalle!$A$2:$A$723,G$2,Detalle!$E$2:$E$723,$A16)</f>
        <v>1</v>
      </c>
      <c r="H16" s="51">
        <f>SUMIFS(Detalle!$F$2:$F$723,Detalle!$A$2:$A$723,H$2,Detalle!$E$2:$E$723,$A16)</f>
        <v>1</v>
      </c>
      <c r="I16" s="51">
        <f>SUMIFS(Detalle!$F$2:$F$723,Detalle!$A$2:$A$723,I$2,Detalle!$E$2:$E$723,$A16)</f>
        <v>1</v>
      </c>
      <c r="J16" s="51">
        <f>SUMIFS(Detalle!$F$2:$F$723,Detalle!$A$2:$A$723,J$2,Detalle!$E$2:$E$723,$A16)</f>
        <v>1</v>
      </c>
      <c r="K16" s="51">
        <f>SUMIFS(Detalle!$F$2:$F$723,Detalle!$A$2:$A$723,K$2,Detalle!$E$2:$E$723,$A16)</f>
        <v>1</v>
      </c>
      <c r="L16" s="51">
        <f>SUMIFS(Detalle!$F$2:$F$723,Detalle!$A$2:$A$723,L$2,Detalle!$E$2:$E$723,$A16)</f>
        <v>1</v>
      </c>
      <c r="M16" s="51">
        <f>SUMIFS(Detalle!$F$2:$F$723,Detalle!$A$2:$A$723,M$2,Detalle!$E$2:$E$723,$A16)</f>
        <v>1</v>
      </c>
      <c r="N16" s="51">
        <f>SUMIFS(Detalle!$F$2:$F$723,Detalle!$A$2:$A$723,N$2,Detalle!$E$2:$E$723,$A16)</f>
        <v>1</v>
      </c>
      <c r="O16" s="51">
        <f>SUMIFS(Detalle!$F$2:$F$723,Detalle!$A$2:$A$723,O$2,Detalle!$E$2:$E$723,$A16)</f>
        <v>1</v>
      </c>
      <c r="P16" s="51">
        <f>SUMIFS(Detalle!$F$2:$F$723,Detalle!$A$2:$A$723,P$2,Detalle!$E$2:$E$723,$A16)</f>
        <v>1</v>
      </c>
      <c r="Q16" s="51">
        <f>SUMIFS(Detalle!$F$2:$F$723,Detalle!$A$2:$A$723,Q$2,Detalle!$E$2:$E$723,$A16)</f>
        <v>1</v>
      </c>
      <c r="R16" s="51">
        <f>SUMIFS(Detalle!$F$2:$F$723,Detalle!$A$2:$A$723,R$2,Detalle!$E$2:$E$723,$A16)</f>
        <v>1</v>
      </c>
      <c r="S16" s="51">
        <f>SUMIFS(Detalle!$F$2:$F$723,Detalle!$A$2:$A$723,S$2,Detalle!$E$2:$E$723,$A16)</f>
        <v>1</v>
      </c>
      <c r="T16" s="51">
        <f>SUMIFS(Detalle!$F$2:$F$723,Detalle!$A$2:$A$723,T$2,Detalle!$E$2:$E$723,$A16)</f>
        <v>1</v>
      </c>
      <c r="U16" s="51">
        <f>SUMIFS(Detalle!$F$2:$F$723,Detalle!$A$2:$A$723,U$2,Detalle!$E$2:$E$723,$A16)</f>
        <v>0</v>
      </c>
      <c r="V16" s="54">
        <f>SUMIFS(Detalle!$F$2:$F$723,Detalle!$A$2:$A$723,V$2,Detalle!$E$2:$E$723,$A16)</f>
        <v>0</v>
      </c>
    </row>
    <row r="17" spans="1:22" s="2" customFormat="1" ht="12.75" customHeight="1">
      <c r="A17" s="16" t="s">
        <v>47</v>
      </c>
      <c r="B17" s="51">
        <f>SUMIFS(Detalle!$F$2:$F$723,Detalle!$A$2:$A$723,B$2,Detalle!$E$2:$E$723,$A17)</f>
        <v>0</v>
      </c>
      <c r="C17" s="51">
        <f>SUMIFS(Detalle!$F$2:$F$723,Detalle!$A$2:$A$723,C$2,Detalle!$E$2:$E$723,$A17)</f>
        <v>1</v>
      </c>
      <c r="D17" s="51">
        <f>SUMIFS(Detalle!$F$2:$F$723,Detalle!$A$2:$A$723,D$2,Detalle!$E$2:$E$723,$A17)</f>
        <v>1</v>
      </c>
      <c r="E17" s="51">
        <f>SUMIFS(Detalle!$F$2:$F$723,Detalle!$A$2:$A$723,E$2,Detalle!$E$2:$E$723,$A17)</f>
        <v>1</v>
      </c>
      <c r="F17" s="51">
        <f>SUMIFS(Detalle!$F$2:$F$723,Detalle!$A$2:$A$723,F$2,Detalle!$E$2:$E$723,$A17)</f>
        <v>1</v>
      </c>
      <c r="G17" s="51">
        <f>SUMIFS(Detalle!$F$2:$F$723,Detalle!$A$2:$A$723,G$2,Detalle!$E$2:$E$723,$A17)</f>
        <v>1</v>
      </c>
      <c r="H17" s="51">
        <f>SUMIFS(Detalle!$F$2:$F$723,Detalle!$A$2:$A$723,H$2,Detalle!$E$2:$E$723,$A17)</f>
        <v>1</v>
      </c>
      <c r="I17" s="51">
        <f>SUMIFS(Detalle!$F$2:$F$723,Detalle!$A$2:$A$723,I$2,Detalle!$E$2:$E$723,$A17)</f>
        <v>1</v>
      </c>
      <c r="J17" s="51">
        <f>SUMIFS(Detalle!$F$2:$F$723,Detalle!$A$2:$A$723,J$2,Detalle!$E$2:$E$723,$A17)</f>
        <v>1</v>
      </c>
      <c r="K17" s="51">
        <f>SUMIFS(Detalle!$F$2:$F$723,Detalle!$A$2:$A$723,K$2,Detalle!$E$2:$E$723,$A17)</f>
        <v>1</v>
      </c>
      <c r="L17" s="51">
        <f>SUMIFS(Detalle!$F$2:$F$723,Detalle!$A$2:$A$723,L$2,Detalle!$E$2:$E$723,$A17)</f>
        <v>1</v>
      </c>
      <c r="M17" s="51">
        <f>SUMIFS(Detalle!$F$2:$F$723,Detalle!$A$2:$A$723,M$2,Detalle!$E$2:$E$723,$A17)</f>
        <v>1</v>
      </c>
      <c r="N17" s="51">
        <f>SUMIFS(Detalle!$F$2:$F$723,Detalle!$A$2:$A$723,N$2,Detalle!$E$2:$E$723,$A17)</f>
        <v>1</v>
      </c>
      <c r="O17" s="51">
        <f>SUMIFS(Detalle!$F$2:$F$723,Detalle!$A$2:$A$723,O$2,Detalle!$E$2:$E$723,$A17)</f>
        <v>1</v>
      </c>
      <c r="P17" s="51">
        <f>SUMIFS(Detalle!$F$2:$F$723,Detalle!$A$2:$A$723,P$2,Detalle!$E$2:$E$723,$A17)</f>
        <v>1</v>
      </c>
      <c r="Q17" s="51">
        <f>SUMIFS(Detalle!$F$2:$F$723,Detalle!$A$2:$A$723,Q$2,Detalle!$E$2:$E$723,$A17)</f>
        <v>1</v>
      </c>
      <c r="R17" s="51">
        <f>SUMIFS(Detalle!$F$2:$F$723,Detalle!$A$2:$A$723,R$2,Detalle!$E$2:$E$723,$A17)</f>
        <v>1</v>
      </c>
      <c r="S17" s="51">
        <f>SUMIFS(Detalle!$F$2:$F$723,Detalle!$A$2:$A$723,S$2,Detalle!$E$2:$E$723,$A17)</f>
        <v>1</v>
      </c>
      <c r="T17" s="51">
        <f>SUMIFS(Detalle!$F$2:$F$723,Detalle!$A$2:$A$723,T$2,Detalle!$E$2:$E$723,$A17)</f>
        <v>1</v>
      </c>
      <c r="U17" s="51">
        <f>SUMIFS(Detalle!$F$2:$F$723,Detalle!$A$2:$A$723,U$2,Detalle!$E$2:$E$723,$A17)</f>
        <v>1</v>
      </c>
      <c r="V17" s="54">
        <f>SUMIFS(Detalle!$F$2:$F$723,Detalle!$A$2:$A$723,V$2,Detalle!$E$2:$E$723,$A17)</f>
        <v>0</v>
      </c>
    </row>
    <row r="18" spans="1:22" s="2" customFormat="1" ht="12.75" customHeight="1">
      <c r="A18" s="16" t="s">
        <v>48</v>
      </c>
      <c r="B18" s="51">
        <f>SUMIFS(Detalle!$F$2:$F$723,Detalle!$A$2:$A$723,B$2,Detalle!$E$2:$E$723,$A18)</f>
        <v>1</v>
      </c>
      <c r="C18" s="51">
        <f>SUMIFS(Detalle!$F$2:$F$723,Detalle!$A$2:$A$723,C$2,Detalle!$E$2:$E$723,$A18)</f>
        <v>1</v>
      </c>
      <c r="D18" s="51">
        <f>SUMIFS(Detalle!$F$2:$F$723,Detalle!$A$2:$A$723,D$2,Detalle!$E$2:$E$723,$A18)</f>
        <v>1</v>
      </c>
      <c r="E18" s="51">
        <f>SUMIFS(Detalle!$F$2:$F$723,Detalle!$A$2:$A$723,E$2,Detalle!$E$2:$E$723,$A18)</f>
        <v>1</v>
      </c>
      <c r="F18" s="51">
        <f>SUMIFS(Detalle!$F$2:$F$723,Detalle!$A$2:$A$723,F$2,Detalle!$E$2:$E$723,$A18)</f>
        <v>1</v>
      </c>
      <c r="G18" s="51">
        <f>SUMIFS(Detalle!$F$2:$F$723,Detalle!$A$2:$A$723,G$2,Detalle!$E$2:$E$723,$A18)</f>
        <v>1</v>
      </c>
      <c r="H18" s="51">
        <f>SUMIFS(Detalle!$F$2:$F$723,Detalle!$A$2:$A$723,H$2,Detalle!$E$2:$E$723,$A18)</f>
        <v>1</v>
      </c>
      <c r="I18" s="51">
        <f>SUMIFS(Detalle!$F$2:$F$723,Detalle!$A$2:$A$723,I$2,Detalle!$E$2:$E$723,$A18)</f>
        <v>1</v>
      </c>
      <c r="J18" s="51">
        <f>SUMIFS(Detalle!$F$2:$F$723,Detalle!$A$2:$A$723,J$2,Detalle!$E$2:$E$723,$A18)</f>
        <v>1</v>
      </c>
      <c r="K18" s="51">
        <f>SUMIFS(Detalle!$F$2:$F$723,Detalle!$A$2:$A$723,K$2,Detalle!$E$2:$E$723,$A18)</f>
        <v>1</v>
      </c>
      <c r="L18" s="51">
        <f>SUMIFS(Detalle!$F$2:$F$723,Detalle!$A$2:$A$723,L$2,Detalle!$E$2:$E$723,$A18)</f>
        <v>1</v>
      </c>
      <c r="M18" s="51">
        <f>SUMIFS(Detalle!$F$2:$F$723,Detalle!$A$2:$A$723,M$2,Detalle!$E$2:$E$723,$A18)</f>
        <v>1</v>
      </c>
      <c r="N18" s="51">
        <f>SUMIFS(Detalle!$F$2:$F$723,Detalle!$A$2:$A$723,N$2,Detalle!$E$2:$E$723,$A18)</f>
        <v>1</v>
      </c>
      <c r="O18" s="51">
        <f>SUMIFS(Detalle!$F$2:$F$723,Detalle!$A$2:$A$723,O$2,Detalle!$E$2:$E$723,$A18)</f>
        <v>1</v>
      </c>
      <c r="P18" s="51">
        <f>SUMIFS(Detalle!$F$2:$F$723,Detalle!$A$2:$A$723,P$2,Detalle!$E$2:$E$723,$A18)</f>
        <v>1</v>
      </c>
      <c r="Q18" s="51">
        <f>SUMIFS(Detalle!$F$2:$F$723,Detalle!$A$2:$A$723,Q$2,Detalle!$E$2:$E$723,$A18)</f>
        <v>1</v>
      </c>
      <c r="R18" s="51">
        <f>SUMIFS(Detalle!$F$2:$F$723,Detalle!$A$2:$A$723,R$2,Detalle!$E$2:$E$723,$A18)</f>
        <v>1</v>
      </c>
      <c r="S18" s="51">
        <f>SUMIFS(Detalle!$F$2:$F$723,Detalle!$A$2:$A$723,S$2,Detalle!$E$2:$E$723,$A18)</f>
        <v>1</v>
      </c>
      <c r="T18" s="51">
        <f>SUMIFS(Detalle!$F$2:$F$723,Detalle!$A$2:$A$723,T$2,Detalle!$E$2:$E$723,$A18)</f>
        <v>0</v>
      </c>
      <c r="U18" s="51">
        <f>SUMIFS(Detalle!$F$2:$F$723,Detalle!$A$2:$A$723,U$2,Detalle!$E$2:$E$723,$A18)</f>
        <v>0</v>
      </c>
      <c r="V18" s="54">
        <f>SUMIFS(Detalle!$F$2:$F$723,Detalle!$A$2:$A$723,V$2,Detalle!$E$2:$E$723,$A18)</f>
        <v>0</v>
      </c>
    </row>
    <row r="19" spans="1:22" s="2" customFormat="1" ht="12.75" customHeight="1">
      <c r="A19" s="16" t="s">
        <v>49</v>
      </c>
      <c r="B19" s="51">
        <f>SUMIFS(Detalle!$F$2:$F$723,Detalle!$A$2:$A$723,B$2,Detalle!$E$2:$E$723,$A19)</f>
        <v>0</v>
      </c>
      <c r="C19" s="51">
        <f>SUMIFS(Detalle!$F$2:$F$723,Detalle!$A$2:$A$723,C$2,Detalle!$E$2:$E$723,$A19)</f>
        <v>1</v>
      </c>
      <c r="D19" s="51">
        <f>SUMIFS(Detalle!$F$2:$F$723,Detalle!$A$2:$A$723,D$2,Detalle!$E$2:$E$723,$A19)</f>
        <v>1</v>
      </c>
      <c r="E19" s="51">
        <f>SUMIFS(Detalle!$F$2:$F$723,Detalle!$A$2:$A$723,E$2,Detalle!$E$2:$E$723,$A19)</f>
        <v>1</v>
      </c>
      <c r="F19" s="51">
        <f>SUMIFS(Detalle!$F$2:$F$723,Detalle!$A$2:$A$723,F$2,Detalle!$E$2:$E$723,$A19)</f>
        <v>1</v>
      </c>
      <c r="G19" s="51">
        <f>SUMIFS(Detalle!$F$2:$F$723,Detalle!$A$2:$A$723,G$2,Detalle!$E$2:$E$723,$A19)</f>
        <v>1</v>
      </c>
      <c r="H19" s="51">
        <f>SUMIFS(Detalle!$F$2:$F$723,Detalle!$A$2:$A$723,H$2,Detalle!$E$2:$E$723,$A19)</f>
        <v>1</v>
      </c>
      <c r="I19" s="51">
        <f>SUMIFS(Detalle!$F$2:$F$723,Detalle!$A$2:$A$723,I$2,Detalle!$E$2:$E$723,$A19)</f>
        <v>1</v>
      </c>
      <c r="J19" s="51">
        <f>SUMIFS(Detalle!$F$2:$F$723,Detalle!$A$2:$A$723,J$2,Detalle!$E$2:$E$723,$A19)</f>
        <v>1</v>
      </c>
      <c r="K19" s="51">
        <f>SUMIFS(Detalle!$F$2:$F$723,Detalle!$A$2:$A$723,K$2,Detalle!$E$2:$E$723,$A19)</f>
        <v>1</v>
      </c>
      <c r="L19" s="51">
        <f>SUMIFS(Detalle!$F$2:$F$723,Detalle!$A$2:$A$723,L$2,Detalle!$E$2:$E$723,$A19)</f>
        <v>1</v>
      </c>
      <c r="M19" s="51">
        <f>SUMIFS(Detalle!$F$2:$F$723,Detalle!$A$2:$A$723,M$2,Detalle!$E$2:$E$723,$A19)</f>
        <v>1</v>
      </c>
      <c r="N19" s="51">
        <f>SUMIFS(Detalle!$F$2:$F$723,Detalle!$A$2:$A$723,N$2,Detalle!$E$2:$E$723,$A19)</f>
        <v>1</v>
      </c>
      <c r="O19" s="51">
        <f>SUMIFS(Detalle!$F$2:$F$723,Detalle!$A$2:$A$723,O$2,Detalle!$E$2:$E$723,$A19)</f>
        <v>1</v>
      </c>
      <c r="P19" s="51">
        <f>SUMIFS(Detalle!$F$2:$F$723,Detalle!$A$2:$A$723,P$2,Detalle!$E$2:$E$723,$A19)</f>
        <v>1</v>
      </c>
      <c r="Q19" s="51">
        <f>SUMIFS(Detalle!$F$2:$F$723,Detalle!$A$2:$A$723,Q$2,Detalle!$E$2:$E$723,$A19)</f>
        <v>1</v>
      </c>
      <c r="R19" s="51">
        <f>SUMIFS(Detalle!$F$2:$F$723,Detalle!$A$2:$A$723,R$2,Detalle!$E$2:$E$723,$A19)</f>
        <v>1</v>
      </c>
      <c r="S19" s="51">
        <f>SUMIFS(Detalle!$F$2:$F$723,Detalle!$A$2:$A$723,S$2,Detalle!$E$2:$E$723,$A19)</f>
        <v>1</v>
      </c>
      <c r="T19" s="51">
        <f>SUMIFS(Detalle!$F$2:$F$723,Detalle!$A$2:$A$723,T$2,Detalle!$E$2:$E$723,$A19)</f>
        <v>0</v>
      </c>
      <c r="U19" s="51">
        <f>SUMIFS(Detalle!$F$2:$F$723,Detalle!$A$2:$A$723,U$2,Detalle!$E$2:$E$723,$A19)</f>
        <v>0</v>
      </c>
      <c r="V19" s="54">
        <f>SUMIFS(Detalle!$F$2:$F$723,Detalle!$A$2:$A$723,V$2,Detalle!$E$2:$E$723,$A19)</f>
        <v>0</v>
      </c>
    </row>
    <row r="20" spans="1:22" s="2" customFormat="1" ht="12.75" customHeight="1">
      <c r="A20" s="16" t="s">
        <v>50</v>
      </c>
      <c r="B20" s="51">
        <f>SUMIFS(Detalle!$F$2:$F$723,Detalle!$A$2:$A$723,B$2,Detalle!$E$2:$E$723,$A20)</f>
        <v>1</v>
      </c>
      <c r="C20" s="51">
        <f>SUMIFS(Detalle!$F$2:$F$723,Detalle!$A$2:$A$723,C$2,Detalle!$E$2:$E$723,$A20)</f>
        <v>1</v>
      </c>
      <c r="D20" s="51">
        <f>SUMIFS(Detalle!$F$2:$F$723,Detalle!$A$2:$A$723,D$2,Detalle!$E$2:$E$723,$A20)</f>
        <v>1</v>
      </c>
      <c r="E20" s="51">
        <f>SUMIFS(Detalle!$F$2:$F$723,Detalle!$A$2:$A$723,E$2,Detalle!$E$2:$E$723,$A20)</f>
        <v>1</v>
      </c>
      <c r="F20" s="51">
        <f>SUMIFS(Detalle!$F$2:$F$723,Detalle!$A$2:$A$723,F$2,Detalle!$E$2:$E$723,$A20)</f>
        <v>1</v>
      </c>
      <c r="G20" s="51">
        <f>SUMIFS(Detalle!$F$2:$F$723,Detalle!$A$2:$A$723,G$2,Detalle!$E$2:$E$723,$A20)</f>
        <v>1</v>
      </c>
      <c r="H20" s="51">
        <f>SUMIFS(Detalle!$F$2:$F$723,Detalle!$A$2:$A$723,H$2,Detalle!$E$2:$E$723,$A20)</f>
        <v>1</v>
      </c>
      <c r="I20" s="51">
        <f>SUMIFS(Detalle!$F$2:$F$723,Detalle!$A$2:$A$723,I$2,Detalle!$E$2:$E$723,$A20)</f>
        <v>1</v>
      </c>
      <c r="J20" s="51">
        <f>SUMIFS(Detalle!$F$2:$F$723,Detalle!$A$2:$A$723,J$2,Detalle!$E$2:$E$723,$A20)</f>
        <v>1</v>
      </c>
      <c r="K20" s="51">
        <f>SUMIFS(Detalle!$F$2:$F$723,Detalle!$A$2:$A$723,K$2,Detalle!$E$2:$E$723,$A20)</f>
        <v>1</v>
      </c>
      <c r="L20" s="51">
        <f>SUMIFS(Detalle!$F$2:$F$723,Detalle!$A$2:$A$723,L$2,Detalle!$E$2:$E$723,$A20)</f>
        <v>1</v>
      </c>
      <c r="M20" s="51">
        <f>SUMIFS(Detalle!$F$2:$F$723,Detalle!$A$2:$A$723,M$2,Detalle!$E$2:$E$723,$A20)</f>
        <v>1</v>
      </c>
      <c r="N20" s="51">
        <f>SUMIFS(Detalle!$F$2:$F$723,Detalle!$A$2:$A$723,N$2,Detalle!$E$2:$E$723,$A20)</f>
        <v>0</v>
      </c>
      <c r="O20" s="51">
        <f>SUMIFS(Detalle!$F$2:$F$723,Detalle!$A$2:$A$723,O$2,Detalle!$E$2:$E$723,$A20)</f>
        <v>0</v>
      </c>
      <c r="P20" s="51">
        <f>SUMIFS(Detalle!$F$2:$F$723,Detalle!$A$2:$A$723,P$2,Detalle!$E$2:$E$723,$A20)</f>
        <v>0</v>
      </c>
      <c r="Q20" s="51">
        <f>SUMIFS(Detalle!$F$2:$F$723,Detalle!$A$2:$A$723,Q$2,Detalle!$E$2:$E$723,$A20)</f>
        <v>0</v>
      </c>
      <c r="R20" s="51">
        <f>SUMIFS(Detalle!$F$2:$F$723,Detalle!$A$2:$A$723,R$2,Detalle!$E$2:$E$723,$A20)</f>
        <v>0</v>
      </c>
      <c r="S20" s="51">
        <f>SUMIFS(Detalle!$F$2:$F$723,Detalle!$A$2:$A$723,S$2,Detalle!$E$2:$E$723,$A20)</f>
        <v>0</v>
      </c>
      <c r="T20" s="51">
        <f>SUMIFS(Detalle!$F$2:$F$723,Detalle!$A$2:$A$723,T$2,Detalle!$E$2:$E$723,$A20)</f>
        <v>0</v>
      </c>
      <c r="U20" s="51">
        <f>SUMIFS(Detalle!$F$2:$F$723,Detalle!$A$2:$A$723,U$2,Detalle!$E$2:$E$723,$A20)</f>
        <v>0</v>
      </c>
      <c r="V20" s="54">
        <f>SUMIFS(Detalle!$F$2:$F$723,Detalle!$A$2:$A$723,V$2,Detalle!$E$2:$E$723,$A20)</f>
        <v>0</v>
      </c>
    </row>
    <row r="21" spans="1:22" s="2" customFormat="1" ht="12.75" customHeight="1">
      <c r="A21" s="16" t="s">
        <v>51</v>
      </c>
      <c r="B21" s="51">
        <f>SUMIFS(Detalle!$F$2:$F$723,Detalle!$A$2:$A$723,B$2,Detalle!$E$2:$E$723,$A21)</f>
        <v>0</v>
      </c>
      <c r="C21" s="51">
        <f>SUMIFS(Detalle!$F$2:$F$723,Detalle!$A$2:$A$723,C$2,Detalle!$E$2:$E$723,$A21)</f>
        <v>0</v>
      </c>
      <c r="D21" s="51">
        <f>SUMIFS(Detalle!$F$2:$F$723,Detalle!$A$2:$A$723,D$2,Detalle!$E$2:$E$723,$A21)</f>
        <v>0</v>
      </c>
      <c r="E21" s="51">
        <f>SUMIFS(Detalle!$F$2:$F$723,Detalle!$A$2:$A$723,E$2,Detalle!$E$2:$E$723,$A21)</f>
        <v>0</v>
      </c>
      <c r="F21" s="51">
        <f>SUMIFS(Detalle!$F$2:$F$723,Detalle!$A$2:$A$723,F$2,Detalle!$E$2:$E$723,$A21)</f>
        <v>0</v>
      </c>
      <c r="G21" s="51">
        <f>SUMIFS(Detalle!$F$2:$F$723,Detalle!$A$2:$A$723,G$2,Detalle!$E$2:$E$723,$A21)</f>
        <v>0</v>
      </c>
      <c r="H21" s="51">
        <f>SUMIFS(Detalle!$F$2:$F$723,Detalle!$A$2:$A$723,H$2,Detalle!$E$2:$E$723,$A21)</f>
        <v>0</v>
      </c>
      <c r="I21" s="51">
        <f>SUMIFS(Detalle!$F$2:$F$723,Detalle!$A$2:$A$723,I$2,Detalle!$E$2:$E$723,$A21)</f>
        <v>0</v>
      </c>
      <c r="J21" s="51">
        <f>SUMIFS(Detalle!$F$2:$F$723,Detalle!$A$2:$A$723,J$2,Detalle!$E$2:$E$723,$A21)</f>
        <v>1</v>
      </c>
      <c r="K21" s="51">
        <f>SUMIFS(Detalle!$F$2:$F$723,Detalle!$A$2:$A$723,K$2,Detalle!$E$2:$E$723,$A21)</f>
        <v>1</v>
      </c>
      <c r="L21" s="51">
        <f>SUMIFS(Detalle!$F$2:$F$723,Detalle!$A$2:$A$723,L$2,Detalle!$E$2:$E$723,$A21)</f>
        <v>1</v>
      </c>
      <c r="M21" s="51">
        <f>SUMIFS(Detalle!$F$2:$F$723,Detalle!$A$2:$A$723,M$2,Detalle!$E$2:$E$723,$A21)</f>
        <v>1</v>
      </c>
      <c r="N21" s="51">
        <f>SUMIFS(Detalle!$F$2:$F$723,Detalle!$A$2:$A$723,N$2,Detalle!$E$2:$E$723,$A21)</f>
        <v>1</v>
      </c>
      <c r="O21" s="51">
        <f>SUMIFS(Detalle!$F$2:$F$723,Detalle!$A$2:$A$723,O$2,Detalle!$E$2:$E$723,$A21)</f>
        <v>1</v>
      </c>
      <c r="P21" s="51">
        <f>SUMIFS(Detalle!$F$2:$F$723,Detalle!$A$2:$A$723,P$2,Detalle!$E$2:$E$723,$A21)</f>
        <v>1</v>
      </c>
      <c r="Q21" s="51">
        <f>SUMIFS(Detalle!$F$2:$F$723,Detalle!$A$2:$A$723,Q$2,Detalle!$E$2:$E$723,$A21)</f>
        <v>1</v>
      </c>
      <c r="R21" s="51">
        <f>SUMIFS(Detalle!$F$2:$F$723,Detalle!$A$2:$A$723,R$2,Detalle!$E$2:$E$723,$A21)</f>
        <v>1</v>
      </c>
      <c r="S21" s="51">
        <f>SUMIFS(Detalle!$F$2:$F$723,Detalle!$A$2:$A$723,S$2,Detalle!$E$2:$E$723,$A21)</f>
        <v>1</v>
      </c>
      <c r="T21" s="51">
        <f>SUMIFS(Detalle!$F$2:$F$723,Detalle!$A$2:$A$723,T$2,Detalle!$E$2:$E$723,$A21)</f>
        <v>0</v>
      </c>
      <c r="U21" s="51">
        <f>SUMIFS(Detalle!$F$2:$F$723,Detalle!$A$2:$A$723,U$2,Detalle!$E$2:$E$723,$A21)</f>
        <v>0</v>
      </c>
      <c r="V21" s="54">
        <f>SUMIFS(Detalle!$F$2:$F$723,Detalle!$A$2:$A$723,V$2,Detalle!$E$2:$E$723,$A21)</f>
        <v>0</v>
      </c>
    </row>
    <row r="22" spans="1:22" s="2" customFormat="1" ht="12.75" customHeight="1">
      <c r="A22" s="16" t="s">
        <v>52</v>
      </c>
      <c r="B22" s="51">
        <f>SUMIFS(Detalle!$F$2:$F$723,Detalle!$A$2:$A$723,B$2,Detalle!$E$2:$E$723,$A22)</f>
        <v>0</v>
      </c>
      <c r="C22" s="51">
        <f>SUMIFS(Detalle!$F$2:$F$723,Detalle!$A$2:$A$723,C$2,Detalle!$E$2:$E$723,$A22)</f>
        <v>0</v>
      </c>
      <c r="D22" s="51">
        <f>SUMIFS(Detalle!$F$2:$F$723,Detalle!$A$2:$A$723,D$2,Detalle!$E$2:$E$723,$A22)</f>
        <v>0</v>
      </c>
      <c r="E22" s="51">
        <f>SUMIFS(Detalle!$F$2:$F$723,Detalle!$A$2:$A$723,E$2,Detalle!$E$2:$E$723,$A22)</f>
        <v>0</v>
      </c>
      <c r="F22" s="51">
        <f>SUMIFS(Detalle!$F$2:$F$723,Detalle!$A$2:$A$723,F$2,Detalle!$E$2:$E$723,$A22)</f>
        <v>0</v>
      </c>
      <c r="G22" s="51">
        <f>SUMIFS(Detalle!$F$2:$F$723,Detalle!$A$2:$A$723,G$2,Detalle!$E$2:$E$723,$A22)</f>
        <v>0</v>
      </c>
      <c r="H22" s="51">
        <f>SUMIFS(Detalle!$F$2:$F$723,Detalle!$A$2:$A$723,H$2,Detalle!$E$2:$E$723,$A22)</f>
        <v>0</v>
      </c>
      <c r="I22" s="51">
        <f>SUMIFS(Detalle!$F$2:$F$723,Detalle!$A$2:$A$723,I$2,Detalle!$E$2:$E$723,$A22)</f>
        <v>0</v>
      </c>
      <c r="J22" s="51">
        <f>SUMIFS(Detalle!$F$2:$F$723,Detalle!$A$2:$A$723,J$2,Detalle!$E$2:$E$723,$A22)</f>
        <v>0</v>
      </c>
      <c r="K22" s="51">
        <f>SUMIFS(Detalle!$F$2:$F$723,Detalle!$A$2:$A$723,K$2,Detalle!$E$2:$E$723,$A22)</f>
        <v>0</v>
      </c>
      <c r="L22" s="51">
        <f>SUMIFS(Detalle!$F$2:$F$723,Detalle!$A$2:$A$723,L$2,Detalle!$E$2:$E$723,$A22)</f>
        <v>0</v>
      </c>
      <c r="M22" s="51">
        <f>SUMIFS(Detalle!$F$2:$F$723,Detalle!$A$2:$A$723,M$2,Detalle!$E$2:$E$723,$A22)</f>
        <v>0</v>
      </c>
      <c r="N22" s="51">
        <f>SUMIFS(Detalle!$F$2:$F$723,Detalle!$A$2:$A$723,N$2,Detalle!$E$2:$E$723,$A22)</f>
        <v>0</v>
      </c>
      <c r="O22" s="51">
        <f>SUMIFS(Detalle!$F$2:$F$723,Detalle!$A$2:$A$723,O$2,Detalle!$E$2:$E$723,$A22)</f>
        <v>0</v>
      </c>
      <c r="P22" s="51">
        <f>SUMIFS(Detalle!$F$2:$F$723,Detalle!$A$2:$A$723,P$2,Detalle!$E$2:$E$723,$A22)</f>
        <v>0</v>
      </c>
      <c r="Q22" s="51">
        <f>SUMIFS(Detalle!$F$2:$F$723,Detalle!$A$2:$A$723,Q$2,Detalle!$E$2:$E$723,$A22)</f>
        <v>0</v>
      </c>
      <c r="R22" s="51">
        <f>SUMIFS(Detalle!$F$2:$F$723,Detalle!$A$2:$A$723,R$2,Detalle!$E$2:$E$723,$A22)</f>
        <v>4</v>
      </c>
      <c r="S22" s="51">
        <f>SUMIFS(Detalle!$F$2:$F$723,Detalle!$A$2:$A$723,S$2,Detalle!$E$2:$E$723,$A22)</f>
        <v>4</v>
      </c>
      <c r="T22" s="51">
        <f>SUMIFS(Detalle!$F$2:$F$723,Detalle!$A$2:$A$723,T$2,Detalle!$E$2:$E$723,$A22)</f>
        <v>0</v>
      </c>
      <c r="U22" s="51">
        <f>SUMIFS(Detalle!$F$2:$F$723,Detalle!$A$2:$A$723,U$2,Detalle!$E$2:$E$723,$A22)</f>
        <v>0</v>
      </c>
      <c r="V22" s="54">
        <f>SUMIFS(Detalle!$F$2:$F$723,Detalle!$A$2:$A$723,V$2,Detalle!$E$2:$E$723,$A22)</f>
        <v>0</v>
      </c>
    </row>
    <row r="23" spans="1:22" s="2" customFormat="1" ht="12.75" customHeight="1">
      <c r="A23" s="16" t="s">
        <v>53</v>
      </c>
      <c r="B23" s="51">
        <f>SUMIFS(Detalle!$F$2:$F$723,Detalle!$A$2:$A$723,B$2,Detalle!$E$2:$E$723,$A23)</f>
        <v>7</v>
      </c>
      <c r="C23" s="51">
        <f>SUMIFS(Detalle!$F$2:$F$723,Detalle!$A$2:$A$723,C$2,Detalle!$E$2:$E$723,$A23)</f>
        <v>0</v>
      </c>
      <c r="D23" s="51">
        <f>SUMIFS(Detalle!$F$2:$F$723,Detalle!$A$2:$A$723,D$2,Detalle!$E$2:$E$723,$A23)</f>
        <v>0</v>
      </c>
      <c r="E23" s="51">
        <f>SUMIFS(Detalle!$F$2:$F$723,Detalle!$A$2:$A$723,E$2,Detalle!$E$2:$E$723,$A23)</f>
        <v>0</v>
      </c>
      <c r="F23" s="51">
        <f>SUMIFS(Detalle!$F$2:$F$723,Detalle!$A$2:$A$723,F$2,Detalle!$E$2:$E$723,$A23)</f>
        <v>0</v>
      </c>
      <c r="G23" s="51">
        <f>SUMIFS(Detalle!$F$2:$F$723,Detalle!$A$2:$A$723,G$2,Detalle!$E$2:$E$723,$A23)</f>
        <v>0</v>
      </c>
      <c r="H23" s="51">
        <f>SUMIFS(Detalle!$F$2:$F$723,Detalle!$A$2:$A$723,H$2,Detalle!$E$2:$E$723,$A23)</f>
        <v>0</v>
      </c>
      <c r="I23" s="51">
        <f>SUMIFS(Detalle!$F$2:$F$723,Detalle!$A$2:$A$723,I$2,Detalle!$E$2:$E$723,$A23)</f>
        <v>0</v>
      </c>
      <c r="J23" s="51">
        <f>SUMIFS(Detalle!$F$2:$F$723,Detalle!$A$2:$A$723,J$2,Detalle!$E$2:$E$723,$A23)</f>
        <v>0</v>
      </c>
      <c r="K23" s="51">
        <f>SUMIFS(Detalle!$F$2:$F$723,Detalle!$A$2:$A$723,K$2,Detalle!$E$2:$E$723,$A23)</f>
        <v>0</v>
      </c>
      <c r="L23" s="51">
        <f>SUMIFS(Detalle!$F$2:$F$723,Detalle!$A$2:$A$723,L$2,Detalle!$E$2:$E$723,$A23)</f>
        <v>0</v>
      </c>
      <c r="M23" s="51">
        <f>SUMIFS(Detalle!$F$2:$F$723,Detalle!$A$2:$A$723,M$2,Detalle!$E$2:$E$723,$A23)</f>
        <v>0</v>
      </c>
      <c r="N23" s="51">
        <f>SUMIFS(Detalle!$F$2:$F$723,Detalle!$A$2:$A$723,N$2,Detalle!$E$2:$E$723,$A23)</f>
        <v>0</v>
      </c>
      <c r="O23" s="51">
        <f>SUMIFS(Detalle!$F$2:$F$723,Detalle!$A$2:$A$723,O$2,Detalle!$E$2:$E$723,$A23)</f>
        <v>0</v>
      </c>
      <c r="P23" s="51">
        <f>SUMIFS(Detalle!$F$2:$F$723,Detalle!$A$2:$A$723,P$2,Detalle!$E$2:$E$723,$A23)</f>
        <v>0</v>
      </c>
      <c r="Q23" s="51">
        <f>SUMIFS(Detalle!$F$2:$F$723,Detalle!$A$2:$A$723,Q$2,Detalle!$E$2:$E$723,$A23)</f>
        <v>0</v>
      </c>
      <c r="R23" s="51">
        <f>SUMIFS(Detalle!$F$2:$F$723,Detalle!$A$2:$A$723,R$2,Detalle!$E$2:$E$723,$A23)</f>
        <v>0</v>
      </c>
      <c r="S23" s="51">
        <f>SUMIFS(Detalle!$F$2:$F$723,Detalle!$A$2:$A$723,S$2,Detalle!$E$2:$E$723,$A23)</f>
        <v>0</v>
      </c>
      <c r="T23" s="51">
        <f>SUMIFS(Detalle!$F$2:$F$723,Detalle!$A$2:$A$723,T$2,Detalle!$E$2:$E$723,$A23)</f>
        <v>0</v>
      </c>
      <c r="U23" s="51">
        <f>SUMIFS(Detalle!$F$2:$F$723,Detalle!$A$2:$A$723,U$2,Detalle!$E$2:$E$723,$A23)</f>
        <v>0</v>
      </c>
      <c r="V23" s="54">
        <f>SUMIFS(Detalle!$F$2:$F$723,Detalle!$A$2:$A$723,V$2,Detalle!$E$2:$E$723,$A23)</f>
        <v>0</v>
      </c>
    </row>
    <row r="24" spans="1:22" s="2" customFormat="1" ht="12.75" customHeight="1">
      <c r="A24" s="16" t="s">
        <v>54</v>
      </c>
      <c r="B24" s="51">
        <f>SUMIFS(Detalle!$F$2:$F$723,Detalle!$A$2:$A$723,B$2,Detalle!$E$2:$E$723,$A24)</f>
        <v>6</v>
      </c>
      <c r="C24" s="51">
        <f>SUMIFS(Detalle!$F$2:$F$723,Detalle!$A$2:$A$723,C$2,Detalle!$E$2:$E$723,$A24)</f>
        <v>0</v>
      </c>
      <c r="D24" s="51">
        <f>SUMIFS(Detalle!$F$2:$F$723,Detalle!$A$2:$A$723,D$2,Detalle!$E$2:$E$723,$A24)</f>
        <v>0</v>
      </c>
      <c r="E24" s="51">
        <f>SUMIFS(Detalle!$F$2:$F$723,Detalle!$A$2:$A$723,E$2,Detalle!$E$2:$E$723,$A24)</f>
        <v>0</v>
      </c>
      <c r="F24" s="51">
        <f>SUMIFS(Detalle!$F$2:$F$723,Detalle!$A$2:$A$723,F$2,Detalle!$E$2:$E$723,$A24)</f>
        <v>0</v>
      </c>
      <c r="G24" s="51">
        <f>SUMIFS(Detalle!$F$2:$F$723,Detalle!$A$2:$A$723,G$2,Detalle!$E$2:$E$723,$A24)</f>
        <v>0</v>
      </c>
      <c r="H24" s="51">
        <f>SUMIFS(Detalle!$F$2:$F$723,Detalle!$A$2:$A$723,H$2,Detalle!$E$2:$E$723,$A24)</f>
        <v>0</v>
      </c>
      <c r="I24" s="51">
        <f>SUMIFS(Detalle!$F$2:$F$723,Detalle!$A$2:$A$723,I$2,Detalle!$E$2:$E$723,$A24)</f>
        <v>0</v>
      </c>
      <c r="J24" s="51">
        <f>SUMIFS(Detalle!$F$2:$F$723,Detalle!$A$2:$A$723,J$2,Detalle!$E$2:$E$723,$A24)</f>
        <v>0</v>
      </c>
      <c r="K24" s="51">
        <f>SUMIFS(Detalle!$F$2:$F$723,Detalle!$A$2:$A$723,K$2,Detalle!$E$2:$E$723,$A24)</f>
        <v>0</v>
      </c>
      <c r="L24" s="51">
        <f>SUMIFS(Detalle!$F$2:$F$723,Detalle!$A$2:$A$723,L$2,Detalle!$E$2:$E$723,$A24)</f>
        <v>0</v>
      </c>
      <c r="M24" s="51">
        <f>SUMIFS(Detalle!$F$2:$F$723,Detalle!$A$2:$A$723,M$2,Detalle!$E$2:$E$723,$A24)</f>
        <v>0</v>
      </c>
      <c r="N24" s="51">
        <f>SUMIFS(Detalle!$F$2:$F$723,Detalle!$A$2:$A$723,N$2,Detalle!$E$2:$E$723,$A24)</f>
        <v>0</v>
      </c>
      <c r="O24" s="51">
        <f>SUMIFS(Detalle!$F$2:$F$723,Detalle!$A$2:$A$723,O$2,Detalle!$E$2:$E$723,$A24)</f>
        <v>0</v>
      </c>
      <c r="P24" s="51">
        <f>SUMIFS(Detalle!$F$2:$F$723,Detalle!$A$2:$A$723,P$2,Detalle!$E$2:$E$723,$A24)</f>
        <v>0</v>
      </c>
      <c r="Q24" s="51">
        <f>SUMIFS(Detalle!$F$2:$F$723,Detalle!$A$2:$A$723,Q$2,Detalle!$E$2:$E$723,$A24)</f>
        <v>0</v>
      </c>
      <c r="R24" s="51">
        <f>SUMIFS(Detalle!$F$2:$F$723,Detalle!$A$2:$A$723,R$2,Detalle!$E$2:$E$723,$A24)</f>
        <v>0</v>
      </c>
      <c r="S24" s="51">
        <f>SUMIFS(Detalle!$F$2:$F$723,Detalle!$A$2:$A$723,S$2,Detalle!$E$2:$E$723,$A24)</f>
        <v>0</v>
      </c>
      <c r="T24" s="51">
        <f>SUMIFS(Detalle!$F$2:$F$723,Detalle!$A$2:$A$723,T$2,Detalle!$E$2:$E$723,$A24)</f>
        <v>0</v>
      </c>
      <c r="U24" s="51">
        <f>SUMIFS(Detalle!$F$2:$F$723,Detalle!$A$2:$A$723,U$2,Detalle!$E$2:$E$723,$A24)</f>
        <v>0</v>
      </c>
      <c r="V24" s="54">
        <f>SUMIFS(Detalle!$F$2:$F$723,Detalle!$A$2:$A$723,V$2,Detalle!$E$2:$E$723,$A24)</f>
        <v>0</v>
      </c>
    </row>
    <row r="25" spans="1:22" s="2" customFormat="1" ht="12.75" customHeight="1">
      <c r="A25" s="16" t="s">
        <v>55</v>
      </c>
      <c r="B25" s="51">
        <f>SUMIFS(Detalle!$F$2:$F$723,Detalle!$A$2:$A$723,B$2,Detalle!$E$2:$E$723,$A25)</f>
        <v>0</v>
      </c>
      <c r="C25" s="51">
        <f>SUMIFS(Detalle!$F$2:$F$723,Detalle!$A$2:$A$723,C$2,Detalle!$E$2:$E$723,$A25)</f>
        <v>0</v>
      </c>
      <c r="D25" s="51">
        <f>SUMIFS(Detalle!$F$2:$F$723,Detalle!$A$2:$A$723,D$2,Detalle!$E$2:$E$723,$A25)</f>
        <v>0</v>
      </c>
      <c r="E25" s="51">
        <f>SUMIFS(Detalle!$F$2:$F$723,Detalle!$A$2:$A$723,E$2,Detalle!$E$2:$E$723,$A25)</f>
        <v>0</v>
      </c>
      <c r="F25" s="51">
        <f>SUMIFS(Detalle!$F$2:$F$723,Detalle!$A$2:$A$723,F$2,Detalle!$E$2:$E$723,$A25)</f>
        <v>0</v>
      </c>
      <c r="G25" s="51">
        <f>SUMIFS(Detalle!$F$2:$F$723,Detalle!$A$2:$A$723,G$2,Detalle!$E$2:$E$723,$A25)</f>
        <v>0</v>
      </c>
      <c r="H25" s="51">
        <f>SUMIFS(Detalle!$F$2:$F$723,Detalle!$A$2:$A$723,H$2,Detalle!$E$2:$E$723,$A25)</f>
        <v>0</v>
      </c>
      <c r="I25" s="51">
        <f>SUMIFS(Detalle!$F$2:$F$723,Detalle!$A$2:$A$723,I$2,Detalle!$E$2:$E$723,$A25)</f>
        <v>0</v>
      </c>
      <c r="J25" s="51">
        <f>SUMIFS(Detalle!$F$2:$F$723,Detalle!$A$2:$A$723,J$2,Detalle!$E$2:$E$723,$A25)</f>
        <v>0</v>
      </c>
      <c r="K25" s="51">
        <f>SUMIFS(Detalle!$F$2:$F$723,Detalle!$A$2:$A$723,K$2,Detalle!$E$2:$E$723,$A25)</f>
        <v>0</v>
      </c>
      <c r="L25" s="51">
        <f>SUMIFS(Detalle!$F$2:$F$723,Detalle!$A$2:$A$723,L$2,Detalle!$E$2:$E$723,$A25)</f>
        <v>0</v>
      </c>
      <c r="M25" s="51">
        <f>SUMIFS(Detalle!$F$2:$F$723,Detalle!$A$2:$A$723,M$2,Detalle!$E$2:$E$723,$A25)</f>
        <v>0</v>
      </c>
      <c r="N25" s="51">
        <f>SUMIFS(Detalle!$F$2:$F$723,Detalle!$A$2:$A$723,N$2,Detalle!$E$2:$E$723,$A25)</f>
        <v>0</v>
      </c>
      <c r="O25" s="51">
        <f>SUMIFS(Detalle!$F$2:$F$723,Detalle!$A$2:$A$723,O$2,Detalle!$E$2:$E$723,$A25)</f>
        <v>0</v>
      </c>
      <c r="P25" s="51">
        <f>SUMIFS(Detalle!$F$2:$F$723,Detalle!$A$2:$A$723,P$2,Detalle!$E$2:$E$723,$A25)</f>
        <v>0</v>
      </c>
      <c r="Q25" s="51">
        <f>SUMIFS(Detalle!$F$2:$F$723,Detalle!$A$2:$A$723,Q$2,Detalle!$E$2:$E$723,$A25)</f>
        <v>0</v>
      </c>
      <c r="R25" s="51">
        <f>SUMIFS(Detalle!$F$2:$F$723,Detalle!$A$2:$A$723,R$2,Detalle!$E$2:$E$723,$A25)</f>
        <v>0</v>
      </c>
      <c r="S25" s="51">
        <f>SUMIFS(Detalle!$F$2:$F$723,Detalle!$A$2:$A$723,S$2,Detalle!$E$2:$E$723,$A25)</f>
        <v>0</v>
      </c>
      <c r="T25" s="51">
        <f>SUMIFS(Detalle!$F$2:$F$723,Detalle!$A$2:$A$723,T$2,Detalle!$E$2:$E$723,$A25)</f>
        <v>3</v>
      </c>
      <c r="U25" s="51">
        <f>SUMIFS(Detalle!$F$2:$F$723,Detalle!$A$2:$A$723,U$2,Detalle!$E$2:$E$723,$A25)</f>
        <v>3</v>
      </c>
      <c r="V25" s="54">
        <f>SUMIFS(Detalle!$F$2:$F$723,Detalle!$A$2:$A$723,V$2,Detalle!$E$2:$E$723,$A25)</f>
        <v>0</v>
      </c>
    </row>
    <row r="26" spans="1:22" s="2" customFormat="1" ht="12.75" customHeight="1">
      <c r="A26" s="16" t="s">
        <v>56</v>
      </c>
      <c r="B26" s="51">
        <f>SUMIFS(Detalle!$F$2:$F$723,Detalle!$A$2:$A$723,B$2,Detalle!$E$2:$E$723,$A26)</f>
        <v>0</v>
      </c>
      <c r="C26" s="51">
        <f>SUMIFS(Detalle!$F$2:$F$723,Detalle!$A$2:$A$723,C$2,Detalle!$E$2:$E$723,$A26)</f>
        <v>0</v>
      </c>
      <c r="D26" s="51">
        <f>SUMIFS(Detalle!$F$2:$F$723,Detalle!$A$2:$A$723,D$2,Detalle!$E$2:$E$723,$A26)</f>
        <v>0</v>
      </c>
      <c r="E26" s="51">
        <f>SUMIFS(Detalle!$F$2:$F$723,Detalle!$A$2:$A$723,E$2,Detalle!$E$2:$E$723,$A26)</f>
        <v>0</v>
      </c>
      <c r="F26" s="51">
        <f>SUMIFS(Detalle!$F$2:$F$723,Detalle!$A$2:$A$723,F$2,Detalle!$E$2:$E$723,$A26)</f>
        <v>0</v>
      </c>
      <c r="G26" s="51">
        <f>SUMIFS(Detalle!$F$2:$F$723,Detalle!$A$2:$A$723,G$2,Detalle!$E$2:$E$723,$A26)</f>
        <v>0</v>
      </c>
      <c r="H26" s="51">
        <f>SUMIFS(Detalle!$F$2:$F$723,Detalle!$A$2:$A$723,H$2,Detalle!$E$2:$E$723,$A26)</f>
        <v>0</v>
      </c>
      <c r="I26" s="51">
        <f>SUMIFS(Detalle!$F$2:$F$723,Detalle!$A$2:$A$723,I$2,Detalle!$E$2:$E$723,$A26)</f>
        <v>0</v>
      </c>
      <c r="J26" s="51">
        <f>SUMIFS(Detalle!$F$2:$F$723,Detalle!$A$2:$A$723,J$2,Detalle!$E$2:$E$723,$A26)</f>
        <v>0</v>
      </c>
      <c r="K26" s="51">
        <f>SUMIFS(Detalle!$F$2:$F$723,Detalle!$A$2:$A$723,K$2,Detalle!$E$2:$E$723,$A26)</f>
        <v>0</v>
      </c>
      <c r="L26" s="51">
        <f>SUMIFS(Detalle!$F$2:$F$723,Detalle!$A$2:$A$723,L$2,Detalle!$E$2:$E$723,$A26)</f>
        <v>0</v>
      </c>
      <c r="M26" s="51">
        <f>SUMIFS(Detalle!$F$2:$F$723,Detalle!$A$2:$A$723,M$2,Detalle!$E$2:$E$723,$A26)</f>
        <v>0</v>
      </c>
      <c r="N26" s="51">
        <f>SUMIFS(Detalle!$F$2:$F$723,Detalle!$A$2:$A$723,N$2,Detalle!$E$2:$E$723,$A26)</f>
        <v>0</v>
      </c>
      <c r="O26" s="51">
        <f>SUMIFS(Detalle!$F$2:$F$723,Detalle!$A$2:$A$723,O$2,Detalle!$E$2:$E$723,$A26)</f>
        <v>0</v>
      </c>
      <c r="P26" s="51">
        <f>SUMIFS(Detalle!$F$2:$F$723,Detalle!$A$2:$A$723,P$2,Detalle!$E$2:$E$723,$A26)</f>
        <v>0</v>
      </c>
      <c r="Q26" s="51">
        <f>SUMIFS(Detalle!$F$2:$F$723,Detalle!$A$2:$A$723,Q$2,Detalle!$E$2:$E$723,$A26)</f>
        <v>0</v>
      </c>
      <c r="R26" s="51">
        <f>SUMIFS(Detalle!$F$2:$F$723,Detalle!$A$2:$A$723,R$2,Detalle!$E$2:$E$723,$A26)</f>
        <v>0</v>
      </c>
      <c r="S26" s="51">
        <f>SUMIFS(Detalle!$F$2:$F$723,Detalle!$A$2:$A$723,S$2,Detalle!$E$2:$E$723,$A26)</f>
        <v>0</v>
      </c>
      <c r="T26" s="51">
        <f>SUMIFS(Detalle!$F$2:$F$723,Detalle!$A$2:$A$723,T$2,Detalle!$E$2:$E$723,$A26)</f>
        <v>3</v>
      </c>
      <c r="U26" s="51">
        <f>SUMIFS(Detalle!$F$2:$F$723,Detalle!$A$2:$A$723,U$2,Detalle!$E$2:$E$723,$A26)</f>
        <v>3</v>
      </c>
      <c r="V26" s="54">
        <f>SUMIFS(Detalle!$F$2:$F$723,Detalle!$A$2:$A$723,V$2,Detalle!$E$2:$E$723,$A26)</f>
        <v>0</v>
      </c>
    </row>
    <row r="27" spans="1:22" s="2" customFormat="1" ht="12.75" customHeight="1">
      <c r="A27" s="16" t="s">
        <v>57</v>
      </c>
      <c r="B27" s="51">
        <f>SUMIFS(Detalle!$F$2:$F$723,Detalle!$A$2:$A$723,B$2,Detalle!$E$2:$E$723,$A27)</f>
        <v>0</v>
      </c>
      <c r="C27" s="51">
        <f>SUMIFS(Detalle!$F$2:$F$723,Detalle!$A$2:$A$723,C$2,Detalle!$E$2:$E$723,$A27)</f>
        <v>0</v>
      </c>
      <c r="D27" s="51">
        <f>SUMIFS(Detalle!$F$2:$F$723,Detalle!$A$2:$A$723,D$2,Detalle!$E$2:$E$723,$A27)</f>
        <v>0</v>
      </c>
      <c r="E27" s="51">
        <f>SUMIFS(Detalle!$F$2:$F$723,Detalle!$A$2:$A$723,E$2,Detalle!$E$2:$E$723,$A27)</f>
        <v>0</v>
      </c>
      <c r="F27" s="51">
        <f>SUMIFS(Detalle!$F$2:$F$723,Detalle!$A$2:$A$723,F$2,Detalle!$E$2:$E$723,$A27)</f>
        <v>0</v>
      </c>
      <c r="G27" s="51">
        <f>SUMIFS(Detalle!$F$2:$F$723,Detalle!$A$2:$A$723,G$2,Detalle!$E$2:$E$723,$A27)</f>
        <v>0</v>
      </c>
      <c r="H27" s="51">
        <f>SUMIFS(Detalle!$F$2:$F$723,Detalle!$A$2:$A$723,H$2,Detalle!$E$2:$E$723,$A27)</f>
        <v>0</v>
      </c>
      <c r="I27" s="51">
        <f>SUMIFS(Detalle!$F$2:$F$723,Detalle!$A$2:$A$723,I$2,Detalle!$E$2:$E$723,$A27)</f>
        <v>0</v>
      </c>
      <c r="J27" s="51">
        <f>SUMIFS(Detalle!$F$2:$F$723,Detalle!$A$2:$A$723,J$2,Detalle!$E$2:$E$723,$A27)</f>
        <v>0</v>
      </c>
      <c r="K27" s="51">
        <f>SUMIFS(Detalle!$F$2:$F$723,Detalle!$A$2:$A$723,K$2,Detalle!$E$2:$E$723,$A27)</f>
        <v>0</v>
      </c>
      <c r="L27" s="51">
        <f>SUMIFS(Detalle!$F$2:$F$723,Detalle!$A$2:$A$723,L$2,Detalle!$E$2:$E$723,$A27)</f>
        <v>0</v>
      </c>
      <c r="M27" s="51">
        <f>SUMIFS(Detalle!$F$2:$F$723,Detalle!$A$2:$A$723,M$2,Detalle!$E$2:$E$723,$A27)</f>
        <v>0</v>
      </c>
      <c r="N27" s="51">
        <f>SUMIFS(Detalle!$F$2:$F$723,Detalle!$A$2:$A$723,N$2,Detalle!$E$2:$E$723,$A27)</f>
        <v>1</v>
      </c>
      <c r="O27" s="51">
        <f>SUMIFS(Detalle!$F$2:$F$723,Detalle!$A$2:$A$723,O$2,Detalle!$E$2:$E$723,$A27)</f>
        <v>1</v>
      </c>
      <c r="P27" s="51">
        <f>SUMIFS(Detalle!$F$2:$F$723,Detalle!$A$2:$A$723,P$2,Detalle!$E$2:$E$723,$A27)</f>
        <v>1</v>
      </c>
      <c r="Q27" s="51">
        <f>SUMIFS(Detalle!$F$2:$F$723,Detalle!$A$2:$A$723,Q$2,Detalle!$E$2:$E$723,$A27)</f>
        <v>1</v>
      </c>
      <c r="R27" s="51">
        <f>SUMIFS(Detalle!$F$2:$F$723,Detalle!$A$2:$A$723,R$2,Detalle!$E$2:$E$723,$A27)</f>
        <v>1</v>
      </c>
      <c r="S27" s="51">
        <f>SUMIFS(Detalle!$F$2:$F$723,Detalle!$A$2:$A$723,S$2,Detalle!$E$2:$E$723,$A27)</f>
        <v>1</v>
      </c>
      <c r="T27" s="51">
        <f>SUMIFS(Detalle!$F$2:$F$723,Detalle!$A$2:$A$723,T$2,Detalle!$E$2:$E$723,$A27)</f>
        <v>0</v>
      </c>
      <c r="U27" s="51">
        <f>SUMIFS(Detalle!$F$2:$F$723,Detalle!$A$2:$A$723,U$2,Detalle!$E$2:$E$723,$A27)</f>
        <v>0</v>
      </c>
      <c r="V27" s="54">
        <f>SUMIFS(Detalle!$F$2:$F$723,Detalle!$A$2:$A$723,V$2,Detalle!$E$2:$E$723,$A27)</f>
        <v>0</v>
      </c>
    </row>
    <row r="28" spans="1:22" s="2" customFormat="1" ht="12.75" customHeight="1">
      <c r="A28" s="16" t="s">
        <v>58</v>
      </c>
      <c r="B28" s="51">
        <f>SUMIFS(Detalle!$F$2:$F$723,Detalle!$A$2:$A$723,B$2,Detalle!$E$2:$E$723,$A28)</f>
        <v>5</v>
      </c>
      <c r="C28" s="51">
        <f>SUMIFS(Detalle!$F$2:$F$723,Detalle!$A$2:$A$723,C$2,Detalle!$E$2:$E$723,$A28)</f>
        <v>0</v>
      </c>
      <c r="D28" s="51">
        <f>SUMIFS(Detalle!$F$2:$F$723,Detalle!$A$2:$A$723,D$2,Detalle!$E$2:$E$723,$A28)</f>
        <v>0</v>
      </c>
      <c r="E28" s="51">
        <f>SUMIFS(Detalle!$F$2:$F$723,Detalle!$A$2:$A$723,E$2,Detalle!$E$2:$E$723,$A28)</f>
        <v>0</v>
      </c>
      <c r="F28" s="51">
        <f>SUMIFS(Detalle!$F$2:$F$723,Detalle!$A$2:$A$723,F$2,Detalle!$E$2:$E$723,$A28)</f>
        <v>0</v>
      </c>
      <c r="G28" s="51">
        <f>SUMIFS(Detalle!$F$2:$F$723,Detalle!$A$2:$A$723,G$2,Detalle!$E$2:$E$723,$A28)</f>
        <v>0</v>
      </c>
      <c r="H28" s="51">
        <f>SUMIFS(Detalle!$F$2:$F$723,Detalle!$A$2:$A$723,H$2,Detalle!$E$2:$E$723,$A28)</f>
        <v>0</v>
      </c>
      <c r="I28" s="51">
        <f>SUMIFS(Detalle!$F$2:$F$723,Detalle!$A$2:$A$723,I$2,Detalle!$E$2:$E$723,$A28)</f>
        <v>0</v>
      </c>
      <c r="J28" s="51">
        <f>SUMIFS(Detalle!$F$2:$F$723,Detalle!$A$2:$A$723,J$2,Detalle!$E$2:$E$723,$A28)</f>
        <v>0</v>
      </c>
      <c r="K28" s="51">
        <f>SUMIFS(Detalle!$F$2:$F$723,Detalle!$A$2:$A$723,K$2,Detalle!$E$2:$E$723,$A28)</f>
        <v>0</v>
      </c>
      <c r="L28" s="51">
        <f>SUMIFS(Detalle!$F$2:$F$723,Detalle!$A$2:$A$723,L$2,Detalle!$E$2:$E$723,$A28)</f>
        <v>0</v>
      </c>
      <c r="M28" s="51">
        <f>SUMIFS(Detalle!$F$2:$F$723,Detalle!$A$2:$A$723,M$2,Detalle!$E$2:$E$723,$A28)</f>
        <v>0</v>
      </c>
      <c r="N28" s="51">
        <f>SUMIFS(Detalle!$F$2:$F$723,Detalle!$A$2:$A$723,N$2,Detalle!$E$2:$E$723,$A28)</f>
        <v>0</v>
      </c>
      <c r="O28" s="51">
        <f>SUMIFS(Detalle!$F$2:$F$723,Detalle!$A$2:$A$723,O$2,Detalle!$E$2:$E$723,$A28)</f>
        <v>0</v>
      </c>
      <c r="P28" s="51">
        <f>SUMIFS(Detalle!$F$2:$F$723,Detalle!$A$2:$A$723,P$2,Detalle!$E$2:$E$723,$A28)</f>
        <v>0</v>
      </c>
      <c r="Q28" s="51">
        <f>SUMIFS(Detalle!$F$2:$F$723,Detalle!$A$2:$A$723,Q$2,Detalle!$E$2:$E$723,$A28)</f>
        <v>0</v>
      </c>
      <c r="R28" s="51">
        <f>SUMIFS(Detalle!$F$2:$F$723,Detalle!$A$2:$A$723,R$2,Detalle!$E$2:$E$723,$A28)</f>
        <v>0</v>
      </c>
      <c r="S28" s="51">
        <f>SUMIFS(Detalle!$F$2:$F$723,Detalle!$A$2:$A$723,S$2,Detalle!$E$2:$E$723,$A28)</f>
        <v>0</v>
      </c>
      <c r="T28" s="51">
        <f>SUMIFS(Detalle!$F$2:$F$723,Detalle!$A$2:$A$723,T$2,Detalle!$E$2:$E$723,$A28)</f>
        <v>0</v>
      </c>
      <c r="U28" s="51">
        <f>SUMIFS(Detalle!$F$2:$F$723,Detalle!$A$2:$A$723,U$2,Detalle!$E$2:$E$723,$A28)</f>
        <v>0</v>
      </c>
      <c r="V28" s="54">
        <f>SUMIFS(Detalle!$F$2:$F$723,Detalle!$A$2:$A$723,V$2,Detalle!$E$2:$E$723,$A28)</f>
        <v>0</v>
      </c>
    </row>
    <row r="29" spans="1:22" s="2" customFormat="1" ht="12.75" customHeight="1">
      <c r="A29" s="16" t="s">
        <v>59</v>
      </c>
      <c r="B29" s="51">
        <f>SUMIFS(Detalle!$F$2:$F$723,Detalle!$A$2:$A$723,B$2,Detalle!$E$2:$E$723,$A29)</f>
        <v>0</v>
      </c>
      <c r="C29" s="51">
        <f>SUMIFS(Detalle!$F$2:$F$723,Detalle!$A$2:$A$723,C$2,Detalle!$E$2:$E$723,$A29)</f>
        <v>0</v>
      </c>
      <c r="D29" s="51">
        <f>SUMIFS(Detalle!$F$2:$F$723,Detalle!$A$2:$A$723,D$2,Detalle!$E$2:$E$723,$A29)</f>
        <v>0</v>
      </c>
      <c r="E29" s="51">
        <f>SUMIFS(Detalle!$F$2:$F$723,Detalle!$A$2:$A$723,E$2,Detalle!$E$2:$E$723,$A29)</f>
        <v>0</v>
      </c>
      <c r="F29" s="51">
        <f>SUMIFS(Detalle!$F$2:$F$723,Detalle!$A$2:$A$723,F$2,Detalle!$E$2:$E$723,$A29)</f>
        <v>0</v>
      </c>
      <c r="G29" s="51">
        <f>SUMIFS(Detalle!$F$2:$F$723,Detalle!$A$2:$A$723,G$2,Detalle!$E$2:$E$723,$A29)</f>
        <v>0</v>
      </c>
      <c r="H29" s="51">
        <f>SUMIFS(Detalle!$F$2:$F$723,Detalle!$A$2:$A$723,H$2,Detalle!$E$2:$E$723,$A29)</f>
        <v>0</v>
      </c>
      <c r="I29" s="51">
        <f>SUMIFS(Detalle!$F$2:$F$723,Detalle!$A$2:$A$723,I$2,Detalle!$E$2:$E$723,$A29)</f>
        <v>0</v>
      </c>
      <c r="J29" s="51">
        <f>SUMIFS(Detalle!$F$2:$F$723,Detalle!$A$2:$A$723,J$2,Detalle!$E$2:$E$723,$A29)</f>
        <v>0</v>
      </c>
      <c r="K29" s="51">
        <f>SUMIFS(Detalle!$F$2:$F$723,Detalle!$A$2:$A$723,K$2,Detalle!$E$2:$E$723,$A29)</f>
        <v>0</v>
      </c>
      <c r="L29" s="51">
        <f>SUMIFS(Detalle!$F$2:$F$723,Detalle!$A$2:$A$723,L$2,Detalle!$E$2:$E$723,$A29)</f>
        <v>0</v>
      </c>
      <c r="M29" s="51">
        <f>SUMIFS(Detalle!$F$2:$F$723,Detalle!$A$2:$A$723,M$2,Detalle!$E$2:$E$723,$A29)</f>
        <v>0</v>
      </c>
      <c r="N29" s="51">
        <f>SUMIFS(Detalle!$F$2:$F$723,Detalle!$A$2:$A$723,N$2,Detalle!$E$2:$E$723,$A29)</f>
        <v>0</v>
      </c>
      <c r="O29" s="51">
        <f>SUMIFS(Detalle!$F$2:$F$723,Detalle!$A$2:$A$723,O$2,Detalle!$E$2:$E$723,$A29)</f>
        <v>0</v>
      </c>
      <c r="P29" s="51">
        <f>SUMIFS(Detalle!$F$2:$F$723,Detalle!$A$2:$A$723,P$2,Detalle!$E$2:$E$723,$A29)</f>
        <v>0</v>
      </c>
      <c r="Q29" s="51">
        <f>SUMIFS(Detalle!$F$2:$F$723,Detalle!$A$2:$A$723,Q$2,Detalle!$E$2:$E$723,$A29)</f>
        <v>0</v>
      </c>
      <c r="R29" s="51">
        <f>SUMIFS(Detalle!$F$2:$F$723,Detalle!$A$2:$A$723,R$2,Detalle!$E$2:$E$723,$A29)</f>
        <v>0</v>
      </c>
      <c r="S29" s="51">
        <f>SUMIFS(Detalle!$F$2:$F$723,Detalle!$A$2:$A$723,S$2,Detalle!$E$2:$E$723,$A29)</f>
        <v>0</v>
      </c>
      <c r="T29" s="51">
        <f>SUMIFS(Detalle!$F$2:$F$723,Detalle!$A$2:$A$723,T$2,Detalle!$E$2:$E$723,$A29)</f>
        <v>2</v>
      </c>
      <c r="U29" s="51">
        <f>SUMIFS(Detalle!$F$2:$F$723,Detalle!$A$2:$A$723,U$2,Detalle!$E$2:$E$723,$A29)</f>
        <v>2</v>
      </c>
      <c r="V29" s="54">
        <f>SUMIFS(Detalle!$F$2:$F$723,Detalle!$A$2:$A$723,V$2,Detalle!$E$2:$E$723,$A29)</f>
        <v>0</v>
      </c>
    </row>
    <row r="30" spans="1:22" s="2" customFormat="1" ht="12.75" customHeight="1">
      <c r="A30" s="16" t="s">
        <v>60</v>
      </c>
      <c r="B30" s="51">
        <f>SUMIFS(Detalle!$F$2:$F$723,Detalle!$A$2:$A$723,B$2,Detalle!$E$2:$E$723,$A30)</f>
        <v>0</v>
      </c>
      <c r="C30" s="51">
        <f>SUMIFS(Detalle!$F$2:$F$723,Detalle!$A$2:$A$723,C$2,Detalle!$E$2:$E$723,$A30)</f>
        <v>0</v>
      </c>
      <c r="D30" s="51">
        <f>SUMIFS(Detalle!$F$2:$F$723,Detalle!$A$2:$A$723,D$2,Detalle!$E$2:$E$723,$A30)</f>
        <v>0</v>
      </c>
      <c r="E30" s="51">
        <f>SUMIFS(Detalle!$F$2:$F$723,Detalle!$A$2:$A$723,E$2,Detalle!$E$2:$E$723,$A30)</f>
        <v>0</v>
      </c>
      <c r="F30" s="51">
        <f>SUMIFS(Detalle!$F$2:$F$723,Detalle!$A$2:$A$723,F$2,Detalle!$E$2:$E$723,$A30)</f>
        <v>0</v>
      </c>
      <c r="G30" s="51">
        <f>SUMIFS(Detalle!$F$2:$F$723,Detalle!$A$2:$A$723,G$2,Detalle!$E$2:$E$723,$A30)</f>
        <v>0</v>
      </c>
      <c r="H30" s="51">
        <f>SUMIFS(Detalle!$F$2:$F$723,Detalle!$A$2:$A$723,H$2,Detalle!$E$2:$E$723,$A30)</f>
        <v>0</v>
      </c>
      <c r="I30" s="51">
        <f>SUMIFS(Detalle!$F$2:$F$723,Detalle!$A$2:$A$723,I$2,Detalle!$E$2:$E$723,$A30)</f>
        <v>0</v>
      </c>
      <c r="J30" s="51">
        <f>SUMIFS(Detalle!$F$2:$F$723,Detalle!$A$2:$A$723,J$2,Detalle!$E$2:$E$723,$A30)</f>
        <v>0</v>
      </c>
      <c r="K30" s="51">
        <f>SUMIFS(Detalle!$F$2:$F$723,Detalle!$A$2:$A$723,K$2,Detalle!$E$2:$E$723,$A30)</f>
        <v>0</v>
      </c>
      <c r="L30" s="51">
        <f>SUMIFS(Detalle!$F$2:$F$723,Detalle!$A$2:$A$723,L$2,Detalle!$E$2:$E$723,$A30)</f>
        <v>0</v>
      </c>
      <c r="M30" s="51">
        <f>SUMIFS(Detalle!$F$2:$F$723,Detalle!$A$2:$A$723,M$2,Detalle!$E$2:$E$723,$A30)</f>
        <v>0</v>
      </c>
      <c r="N30" s="51">
        <f>SUMIFS(Detalle!$F$2:$F$723,Detalle!$A$2:$A$723,N$2,Detalle!$E$2:$E$723,$A30)</f>
        <v>0</v>
      </c>
      <c r="O30" s="51">
        <f>SUMIFS(Detalle!$F$2:$F$723,Detalle!$A$2:$A$723,O$2,Detalle!$E$2:$E$723,$A30)</f>
        <v>0</v>
      </c>
      <c r="P30" s="51">
        <f>SUMIFS(Detalle!$F$2:$F$723,Detalle!$A$2:$A$723,P$2,Detalle!$E$2:$E$723,$A30)</f>
        <v>0</v>
      </c>
      <c r="Q30" s="51">
        <f>SUMIFS(Detalle!$F$2:$F$723,Detalle!$A$2:$A$723,Q$2,Detalle!$E$2:$E$723,$A30)</f>
        <v>0</v>
      </c>
      <c r="R30" s="51">
        <f>SUMIFS(Detalle!$F$2:$F$723,Detalle!$A$2:$A$723,R$2,Detalle!$E$2:$E$723,$A30)</f>
        <v>0</v>
      </c>
      <c r="S30" s="51">
        <f>SUMIFS(Detalle!$F$2:$F$723,Detalle!$A$2:$A$723,S$2,Detalle!$E$2:$E$723,$A30)</f>
        <v>0</v>
      </c>
      <c r="T30" s="51">
        <f>SUMIFS(Detalle!$F$2:$F$723,Detalle!$A$2:$A$723,T$2,Detalle!$E$2:$E$723,$A30)</f>
        <v>2</v>
      </c>
      <c r="U30" s="51">
        <f>SUMIFS(Detalle!$F$2:$F$723,Detalle!$A$2:$A$723,U$2,Detalle!$E$2:$E$723,$A30)</f>
        <v>2</v>
      </c>
      <c r="V30" s="54">
        <f>SUMIFS(Detalle!$F$2:$F$723,Detalle!$A$2:$A$723,V$2,Detalle!$E$2:$E$723,$A30)</f>
        <v>0</v>
      </c>
    </row>
    <row r="31" spans="1:22" s="2" customFormat="1" ht="12.75" customHeight="1">
      <c r="A31" s="16" t="s">
        <v>61</v>
      </c>
      <c r="B31" s="51">
        <f>SUMIFS(Detalle!$F$2:$F$723,Detalle!$A$2:$A$723,B$2,Detalle!$E$2:$E$723,$A31)</f>
        <v>0</v>
      </c>
      <c r="C31" s="51">
        <f>SUMIFS(Detalle!$F$2:$F$723,Detalle!$A$2:$A$723,C$2,Detalle!$E$2:$E$723,$A31)</f>
        <v>0</v>
      </c>
      <c r="D31" s="51">
        <f>SUMIFS(Detalle!$F$2:$F$723,Detalle!$A$2:$A$723,D$2,Detalle!$E$2:$E$723,$A31)</f>
        <v>0</v>
      </c>
      <c r="E31" s="51">
        <f>SUMIFS(Detalle!$F$2:$F$723,Detalle!$A$2:$A$723,E$2,Detalle!$E$2:$E$723,$A31)</f>
        <v>0</v>
      </c>
      <c r="F31" s="51">
        <f>SUMIFS(Detalle!$F$2:$F$723,Detalle!$A$2:$A$723,F$2,Detalle!$E$2:$E$723,$A31)</f>
        <v>0</v>
      </c>
      <c r="G31" s="51">
        <f>SUMIFS(Detalle!$F$2:$F$723,Detalle!$A$2:$A$723,G$2,Detalle!$E$2:$E$723,$A31)</f>
        <v>0</v>
      </c>
      <c r="H31" s="51">
        <f>SUMIFS(Detalle!$F$2:$F$723,Detalle!$A$2:$A$723,H$2,Detalle!$E$2:$E$723,$A31)</f>
        <v>0</v>
      </c>
      <c r="I31" s="51">
        <f>SUMIFS(Detalle!$F$2:$F$723,Detalle!$A$2:$A$723,I$2,Detalle!$E$2:$E$723,$A31)</f>
        <v>0</v>
      </c>
      <c r="J31" s="51">
        <f>SUMIFS(Detalle!$F$2:$F$723,Detalle!$A$2:$A$723,J$2,Detalle!$E$2:$E$723,$A31)</f>
        <v>0</v>
      </c>
      <c r="K31" s="51">
        <f>SUMIFS(Detalle!$F$2:$F$723,Detalle!$A$2:$A$723,K$2,Detalle!$E$2:$E$723,$A31)</f>
        <v>0</v>
      </c>
      <c r="L31" s="51">
        <f>SUMIFS(Detalle!$F$2:$F$723,Detalle!$A$2:$A$723,L$2,Detalle!$E$2:$E$723,$A31)</f>
        <v>0</v>
      </c>
      <c r="M31" s="51">
        <f>SUMIFS(Detalle!$F$2:$F$723,Detalle!$A$2:$A$723,M$2,Detalle!$E$2:$E$723,$A31)</f>
        <v>0</v>
      </c>
      <c r="N31" s="51">
        <f>SUMIFS(Detalle!$F$2:$F$723,Detalle!$A$2:$A$723,N$2,Detalle!$E$2:$E$723,$A31)</f>
        <v>0</v>
      </c>
      <c r="O31" s="51">
        <f>SUMIFS(Detalle!$F$2:$F$723,Detalle!$A$2:$A$723,O$2,Detalle!$E$2:$E$723,$A31)</f>
        <v>0</v>
      </c>
      <c r="P31" s="51">
        <f>SUMIFS(Detalle!$F$2:$F$723,Detalle!$A$2:$A$723,P$2,Detalle!$E$2:$E$723,$A31)</f>
        <v>0</v>
      </c>
      <c r="Q31" s="51">
        <f>SUMIFS(Detalle!$F$2:$F$723,Detalle!$A$2:$A$723,Q$2,Detalle!$E$2:$E$723,$A31)</f>
        <v>0</v>
      </c>
      <c r="R31" s="51">
        <f>SUMIFS(Detalle!$F$2:$F$723,Detalle!$A$2:$A$723,R$2,Detalle!$E$2:$E$723,$A31)</f>
        <v>0</v>
      </c>
      <c r="S31" s="51">
        <f>SUMIFS(Detalle!$F$2:$F$723,Detalle!$A$2:$A$723,S$2,Detalle!$E$2:$E$723,$A31)</f>
        <v>0</v>
      </c>
      <c r="T31" s="51">
        <f>SUMIFS(Detalle!$F$2:$F$723,Detalle!$A$2:$A$723,T$2,Detalle!$E$2:$E$723,$A31)</f>
        <v>0</v>
      </c>
      <c r="U31" s="51">
        <f>SUMIFS(Detalle!$F$2:$F$723,Detalle!$A$2:$A$723,U$2,Detalle!$E$2:$E$723,$A31)</f>
        <v>3</v>
      </c>
      <c r="V31" s="54">
        <f>SUMIFS(Detalle!$F$2:$F$723,Detalle!$A$2:$A$723,V$2,Detalle!$E$2:$E$723,$A31)</f>
        <v>0</v>
      </c>
    </row>
    <row r="32" spans="1:22" s="2" customFormat="1" ht="12.75" customHeight="1">
      <c r="A32" s="16" t="s">
        <v>62</v>
      </c>
      <c r="B32" s="51">
        <f>SUMIFS(Detalle!$F$2:$F$723,Detalle!$A$2:$A$723,B$2,Detalle!$E$2:$E$723,$A32)</f>
        <v>0</v>
      </c>
      <c r="C32" s="51">
        <f>SUMIFS(Detalle!$F$2:$F$723,Detalle!$A$2:$A$723,C$2,Detalle!$E$2:$E$723,$A32)</f>
        <v>0</v>
      </c>
      <c r="D32" s="51">
        <f>SUMIFS(Detalle!$F$2:$F$723,Detalle!$A$2:$A$723,D$2,Detalle!$E$2:$E$723,$A32)</f>
        <v>0</v>
      </c>
      <c r="E32" s="51">
        <f>SUMIFS(Detalle!$F$2:$F$723,Detalle!$A$2:$A$723,E$2,Detalle!$E$2:$E$723,$A32)</f>
        <v>0</v>
      </c>
      <c r="F32" s="51">
        <f>SUMIFS(Detalle!$F$2:$F$723,Detalle!$A$2:$A$723,F$2,Detalle!$E$2:$E$723,$A32)</f>
        <v>0</v>
      </c>
      <c r="G32" s="51">
        <f>SUMIFS(Detalle!$F$2:$F$723,Detalle!$A$2:$A$723,G$2,Detalle!$E$2:$E$723,$A32)</f>
        <v>0</v>
      </c>
      <c r="H32" s="51">
        <f>SUMIFS(Detalle!$F$2:$F$723,Detalle!$A$2:$A$723,H$2,Detalle!$E$2:$E$723,$A32)</f>
        <v>0</v>
      </c>
      <c r="I32" s="51">
        <f>SUMIFS(Detalle!$F$2:$F$723,Detalle!$A$2:$A$723,I$2,Detalle!$E$2:$E$723,$A32)</f>
        <v>0</v>
      </c>
      <c r="J32" s="51">
        <f>SUMIFS(Detalle!$F$2:$F$723,Detalle!$A$2:$A$723,J$2,Detalle!$E$2:$E$723,$A32)</f>
        <v>0</v>
      </c>
      <c r="K32" s="51">
        <f>SUMIFS(Detalle!$F$2:$F$723,Detalle!$A$2:$A$723,K$2,Detalle!$E$2:$E$723,$A32)</f>
        <v>0</v>
      </c>
      <c r="L32" s="51">
        <f>SUMIFS(Detalle!$F$2:$F$723,Detalle!$A$2:$A$723,L$2,Detalle!$E$2:$E$723,$A32)</f>
        <v>0</v>
      </c>
      <c r="M32" s="51">
        <f>SUMIFS(Detalle!$F$2:$F$723,Detalle!$A$2:$A$723,M$2,Detalle!$E$2:$E$723,$A32)</f>
        <v>0</v>
      </c>
      <c r="N32" s="51">
        <f>SUMIFS(Detalle!$F$2:$F$723,Detalle!$A$2:$A$723,N$2,Detalle!$E$2:$E$723,$A32)</f>
        <v>0</v>
      </c>
      <c r="O32" s="51">
        <f>SUMIFS(Detalle!$F$2:$F$723,Detalle!$A$2:$A$723,O$2,Detalle!$E$2:$E$723,$A32)</f>
        <v>0</v>
      </c>
      <c r="P32" s="51">
        <f>SUMIFS(Detalle!$F$2:$F$723,Detalle!$A$2:$A$723,P$2,Detalle!$E$2:$E$723,$A32)</f>
        <v>0</v>
      </c>
      <c r="Q32" s="51">
        <f>SUMIFS(Detalle!$F$2:$F$723,Detalle!$A$2:$A$723,Q$2,Detalle!$E$2:$E$723,$A32)</f>
        <v>0</v>
      </c>
      <c r="R32" s="51">
        <f>SUMIFS(Detalle!$F$2:$F$723,Detalle!$A$2:$A$723,R$2,Detalle!$E$2:$E$723,$A32)</f>
        <v>0</v>
      </c>
      <c r="S32" s="51">
        <f>SUMIFS(Detalle!$F$2:$F$723,Detalle!$A$2:$A$723,S$2,Detalle!$E$2:$E$723,$A32)</f>
        <v>0</v>
      </c>
      <c r="T32" s="51">
        <f>SUMIFS(Detalle!$F$2:$F$723,Detalle!$A$2:$A$723,T$2,Detalle!$E$2:$E$723,$A32)</f>
        <v>0</v>
      </c>
      <c r="U32" s="51">
        <f>SUMIFS(Detalle!$F$2:$F$723,Detalle!$A$2:$A$723,U$2,Detalle!$E$2:$E$723,$A32)</f>
        <v>0</v>
      </c>
      <c r="V32" s="54">
        <f>SUMIFS(Detalle!$F$2:$F$723,Detalle!$A$2:$A$723,V$2,Detalle!$E$2:$E$723,$A32)</f>
        <v>3</v>
      </c>
    </row>
    <row r="33" spans="1:22" s="2" customFormat="1" ht="12.75" customHeight="1">
      <c r="A33" s="16" t="s">
        <v>63</v>
      </c>
      <c r="B33" s="51">
        <f>SUMIFS(Detalle!$F$2:$F$723,Detalle!$A$2:$A$723,B$2,Detalle!$E$2:$E$723,$A33)</f>
        <v>0</v>
      </c>
      <c r="C33" s="51">
        <f>SUMIFS(Detalle!$F$2:$F$723,Detalle!$A$2:$A$723,C$2,Detalle!$E$2:$E$723,$A33)</f>
        <v>0</v>
      </c>
      <c r="D33" s="51">
        <f>SUMIFS(Detalle!$F$2:$F$723,Detalle!$A$2:$A$723,D$2,Detalle!$E$2:$E$723,$A33)</f>
        <v>0</v>
      </c>
      <c r="E33" s="51">
        <f>SUMIFS(Detalle!$F$2:$F$723,Detalle!$A$2:$A$723,E$2,Detalle!$E$2:$E$723,$A33)</f>
        <v>0</v>
      </c>
      <c r="F33" s="51">
        <f>SUMIFS(Detalle!$F$2:$F$723,Detalle!$A$2:$A$723,F$2,Detalle!$E$2:$E$723,$A33)</f>
        <v>0</v>
      </c>
      <c r="G33" s="51">
        <f>SUMIFS(Detalle!$F$2:$F$723,Detalle!$A$2:$A$723,G$2,Detalle!$E$2:$E$723,$A33)</f>
        <v>0</v>
      </c>
      <c r="H33" s="51">
        <f>SUMIFS(Detalle!$F$2:$F$723,Detalle!$A$2:$A$723,H$2,Detalle!$E$2:$E$723,$A33)</f>
        <v>0</v>
      </c>
      <c r="I33" s="51">
        <f>SUMIFS(Detalle!$F$2:$F$723,Detalle!$A$2:$A$723,I$2,Detalle!$E$2:$E$723,$A33)</f>
        <v>0</v>
      </c>
      <c r="J33" s="51">
        <f>SUMIFS(Detalle!$F$2:$F$723,Detalle!$A$2:$A$723,J$2,Detalle!$E$2:$E$723,$A33)</f>
        <v>0</v>
      </c>
      <c r="K33" s="51">
        <f>SUMIFS(Detalle!$F$2:$F$723,Detalle!$A$2:$A$723,K$2,Detalle!$E$2:$E$723,$A33)</f>
        <v>0</v>
      </c>
      <c r="L33" s="51">
        <f>SUMIFS(Detalle!$F$2:$F$723,Detalle!$A$2:$A$723,L$2,Detalle!$E$2:$E$723,$A33)</f>
        <v>0</v>
      </c>
      <c r="M33" s="51">
        <f>SUMIFS(Detalle!$F$2:$F$723,Detalle!$A$2:$A$723,M$2,Detalle!$E$2:$E$723,$A33)</f>
        <v>0</v>
      </c>
      <c r="N33" s="51">
        <f>SUMIFS(Detalle!$F$2:$F$723,Detalle!$A$2:$A$723,N$2,Detalle!$E$2:$E$723,$A33)</f>
        <v>0</v>
      </c>
      <c r="O33" s="51">
        <f>SUMIFS(Detalle!$F$2:$F$723,Detalle!$A$2:$A$723,O$2,Detalle!$E$2:$E$723,$A33)</f>
        <v>0</v>
      </c>
      <c r="P33" s="51">
        <f>SUMIFS(Detalle!$F$2:$F$723,Detalle!$A$2:$A$723,P$2,Detalle!$E$2:$E$723,$A33)</f>
        <v>0</v>
      </c>
      <c r="Q33" s="51">
        <f>SUMIFS(Detalle!$F$2:$F$723,Detalle!$A$2:$A$723,Q$2,Detalle!$E$2:$E$723,$A33)</f>
        <v>0</v>
      </c>
      <c r="R33" s="51">
        <f>SUMIFS(Detalle!$F$2:$F$723,Detalle!$A$2:$A$723,R$2,Detalle!$E$2:$E$723,$A33)</f>
        <v>0</v>
      </c>
      <c r="S33" s="51">
        <f>SUMIFS(Detalle!$F$2:$F$723,Detalle!$A$2:$A$723,S$2,Detalle!$E$2:$E$723,$A33)</f>
        <v>0</v>
      </c>
      <c r="T33" s="51">
        <f>SUMIFS(Detalle!$F$2:$F$723,Detalle!$A$2:$A$723,T$2,Detalle!$E$2:$E$723,$A33)</f>
        <v>3</v>
      </c>
      <c r="U33" s="51">
        <f>SUMIFS(Detalle!$F$2:$F$723,Detalle!$A$2:$A$723,U$2,Detalle!$E$2:$E$723,$A33)</f>
        <v>0</v>
      </c>
      <c r="V33" s="54">
        <f>SUMIFS(Detalle!$F$2:$F$723,Detalle!$A$2:$A$723,V$2,Detalle!$E$2:$E$723,$A33)</f>
        <v>0</v>
      </c>
    </row>
    <row r="34" spans="1:22" s="2" customFormat="1" ht="12.75" customHeight="1">
      <c r="A34" s="16" t="s">
        <v>64</v>
      </c>
      <c r="B34" s="51">
        <f>SUMIFS(Detalle!$F$2:$F$723,Detalle!$A$2:$A$723,B$2,Detalle!$E$2:$E$723,$A34)</f>
        <v>0</v>
      </c>
      <c r="C34" s="51">
        <f>SUMIFS(Detalle!$F$2:$F$723,Detalle!$A$2:$A$723,C$2,Detalle!$E$2:$E$723,$A34)</f>
        <v>0</v>
      </c>
      <c r="D34" s="51">
        <f>SUMIFS(Detalle!$F$2:$F$723,Detalle!$A$2:$A$723,D$2,Detalle!$E$2:$E$723,$A34)</f>
        <v>0</v>
      </c>
      <c r="E34" s="51">
        <f>SUMIFS(Detalle!$F$2:$F$723,Detalle!$A$2:$A$723,E$2,Detalle!$E$2:$E$723,$A34)</f>
        <v>0</v>
      </c>
      <c r="F34" s="51">
        <f>SUMIFS(Detalle!$F$2:$F$723,Detalle!$A$2:$A$723,F$2,Detalle!$E$2:$E$723,$A34)</f>
        <v>0</v>
      </c>
      <c r="G34" s="51">
        <f>SUMIFS(Detalle!$F$2:$F$723,Detalle!$A$2:$A$723,G$2,Detalle!$E$2:$E$723,$A34)</f>
        <v>0</v>
      </c>
      <c r="H34" s="51">
        <f>SUMIFS(Detalle!$F$2:$F$723,Detalle!$A$2:$A$723,H$2,Detalle!$E$2:$E$723,$A34)</f>
        <v>0</v>
      </c>
      <c r="I34" s="51">
        <f>SUMIFS(Detalle!$F$2:$F$723,Detalle!$A$2:$A$723,I$2,Detalle!$E$2:$E$723,$A34)</f>
        <v>0</v>
      </c>
      <c r="J34" s="51">
        <f>SUMIFS(Detalle!$F$2:$F$723,Detalle!$A$2:$A$723,J$2,Detalle!$E$2:$E$723,$A34)</f>
        <v>0</v>
      </c>
      <c r="K34" s="51">
        <f>SUMIFS(Detalle!$F$2:$F$723,Detalle!$A$2:$A$723,K$2,Detalle!$E$2:$E$723,$A34)</f>
        <v>0</v>
      </c>
      <c r="L34" s="51">
        <f>SUMIFS(Detalle!$F$2:$F$723,Detalle!$A$2:$A$723,L$2,Detalle!$E$2:$E$723,$A34)</f>
        <v>0</v>
      </c>
      <c r="M34" s="51">
        <f>SUMIFS(Detalle!$F$2:$F$723,Detalle!$A$2:$A$723,M$2,Detalle!$E$2:$E$723,$A34)</f>
        <v>0</v>
      </c>
      <c r="N34" s="51">
        <f>SUMIFS(Detalle!$F$2:$F$723,Detalle!$A$2:$A$723,N$2,Detalle!$E$2:$E$723,$A34)</f>
        <v>0</v>
      </c>
      <c r="O34" s="51">
        <f>SUMIFS(Detalle!$F$2:$F$723,Detalle!$A$2:$A$723,O$2,Detalle!$E$2:$E$723,$A34)</f>
        <v>0</v>
      </c>
      <c r="P34" s="51">
        <f>SUMIFS(Detalle!$F$2:$F$723,Detalle!$A$2:$A$723,P$2,Detalle!$E$2:$E$723,$A34)</f>
        <v>0</v>
      </c>
      <c r="Q34" s="51">
        <f>SUMIFS(Detalle!$F$2:$F$723,Detalle!$A$2:$A$723,Q$2,Detalle!$E$2:$E$723,$A34)</f>
        <v>0</v>
      </c>
      <c r="R34" s="51">
        <f>SUMIFS(Detalle!$F$2:$F$723,Detalle!$A$2:$A$723,R$2,Detalle!$E$2:$E$723,$A34)</f>
        <v>0</v>
      </c>
      <c r="S34" s="51">
        <f>SUMIFS(Detalle!$F$2:$F$723,Detalle!$A$2:$A$723,S$2,Detalle!$E$2:$E$723,$A34)</f>
        <v>0</v>
      </c>
      <c r="T34" s="51">
        <f>SUMIFS(Detalle!$F$2:$F$723,Detalle!$A$2:$A$723,T$2,Detalle!$E$2:$E$723,$A34)</f>
        <v>0</v>
      </c>
      <c r="U34" s="51">
        <f>SUMIFS(Detalle!$F$2:$F$723,Detalle!$A$2:$A$723,U$2,Detalle!$E$2:$E$723,$A34)</f>
        <v>0</v>
      </c>
      <c r="V34" s="54">
        <f>SUMIFS(Detalle!$F$2:$F$723,Detalle!$A$2:$A$723,V$2,Detalle!$E$2:$E$723,$A34)</f>
        <v>2</v>
      </c>
    </row>
    <row r="35" spans="1:22" s="2" customFormat="1" ht="12.75" customHeight="1">
      <c r="A35" s="16" t="s">
        <v>65</v>
      </c>
      <c r="B35" s="51">
        <f>SUMIFS(Detalle!$F$2:$F$723,Detalle!$A$2:$A$723,B$2,Detalle!$E$2:$E$723,$A35)</f>
        <v>0</v>
      </c>
      <c r="C35" s="51">
        <f>SUMIFS(Detalle!$F$2:$F$723,Detalle!$A$2:$A$723,C$2,Detalle!$E$2:$E$723,$A35)</f>
        <v>0</v>
      </c>
      <c r="D35" s="51">
        <f>SUMIFS(Detalle!$F$2:$F$723,Detalle!$A$2:$A$723,D$2,Detalle!$E$2:$E$723,$A35)</f>
        <v>0</v>
      </c>
      <c r="E35" s="51">
        <f>SUMIFS(Detalle!$F$2:$F$723,Detalle!$A$2:$A$723,E$2,Detalle!$E$2:$E$723,$A35)</f>
        <v>0</v>
      </c>
      <c r="F35" s="51">
        <f>SUMIFS(Detalle!$F$2:$F$723,Detalle!$A$2:$A$723,F$2,Detalle!$E$2:$E$723,$A35)</f>
        <v>0</v>
      </c>
      <c r="G35" s="51">
        <f>SUMIFS(Detalle!$F$2:$F$723,Detalle!$A$2:$A$723,G$2,Detalle!$E$2:$E$723,$A35)</f>
        <v>0</v>
      </c>
      <c r="H35" s="51">
        <f>SUMIFS(Detalle!$F$2:$F$723,Detalle!$A$2:$A$723,H$2,Detalle!$E$2:$E$723,$A35)</f>
        <v>0</v>
      </c>
      <c r="I35" s="51">
        <f>SUMIFS(Detalle!$F$2:$F$723,Detalle!$A$2:$A$723,I$2,Detalle!$E$2:$E$723,$A35)</f>
        <v>0</v>
      </c>
      <c r="J35" s="51">
        <f>SUMIFS(Detalle!$F$2:$F$723,Detalle!$A$2:$A$723,J$2,Detalle!$E$2:$E$723,$A35)</f>
        <v>0</v>
      </c>
      <c r="K35" s="51">
        <f>SUMIFS(Detalle!$F$2:$F$723,Detalle!$A$2:$A$723,K$2,Detalle!$E$2:$E$723,$A35)</f>
        <v>0</v>
      </c>
      <c r="L35" s="51">
        <f>SUMIFS(Detalle!$F$2:$F$723,Detalle!$A$2:$A$723,L$2,Detalle!$E$2:$E$723,$A35)</f>
        <v>0</v>
      </c>
      <c r="M35" s="51">
        <f>SUMIFS(Detalle!$F$2:$F$723,Detalle!$A$2:$A$723,M$2,Detalle!$E$2:$E$723,$A35)</f>
        <v>0</v>
      </c>
      <c r="N35" s="51">
        <f>SUMIFS(Detalle!$F$2:$F$723,Detalle!$A$2:$A$723,N$2,Detalle!$E$2:$E$723,$A35)</f>
        <v>0</v>
      </c>
      <c r="O35" s="51">
        <f>SUMIFS(Detalle!$F$2:$F$723,Detalle!$A$2:$A$723,O$2,Detalle!$E$2:$E$723,$A35)</f>
        <v>0</v>
      </c>
      <c r="P35" s="51">
        <f>SUMIFS(Detalle!$F$2:$F$723,Detalle!$A$2:$A$723,P$2,Detalle!$E$2:$E$723,$A35)</f>
        <v>0</v>
      </c>
      <c r="Q35" s="51">
        <f>SUMIFS(Detalle!$F$2:$F$723,Detalle!$A$2:$A$723,Q$2,Detalle!$E$2:$E$723,$A35)</f>
        <v>0</v>
      </c>
      <c r="R35" s="51">
        <f>SUMIFS(Detalle!$F$2:$F$723,Detalle!$A$2:$A$723,R$2,Detalle!$E$2:$E$723,$A35)</f>
        <v>0</v>
      </c>
      <c r="S35" s="51">
        <f>SUMIFS(Detalle!$F$2:$F$723,Detalle!$A$2:$A$723,S$2,Detalle!$E$2:$E$723,$A35)</f>
        <v>0</v>
      </c>
      <c r="T35" s="51">
        <f>SUMIFS(Detalle!$F$2:$F$723,Detalle!$A$2:$A$723,T$2,Detalle!$E$2:$E$723,$A35)</f>
        <v>0</v>
      </c>
      <c r="U35" s="51">
        <f>SUMIFS(Detalle!$F$2:$F$723,Detalle!$A$2:$A$723,U$2,Detalle!$E$2:$E$723,$A35)</f>
        <v>1</v>
      </c>
      <c r="V35" s="54">
        <f>SUMIFS(Detalle!$F$2:$F$723,Detalle!$A$2:$A$723,V$2,Detalle!$E$2:$E$723,$A35)</f>
        <v>1</v>
      </c>
    </row>
    <row r="36" spans="1:22" s="2" customFormat="1" ht="12.75" customHeight="1">
      <c r="A36" s="16" t="s">
        <v>66</v>
      </c>
      <c r="B36" s="51">
        <f>SUMIFS(Detalle!$F$2:$F$723,Detalle!$A$2:$A$723,B$2,Detalle!$E$2:$E$723,$A36)</f>
        <v>0</v>
      </c>
      <c r="C36" s="51">
        <f>SUMIFS(Detalle!$F$2:$F$723,Detalle!$A$2:$A$723,C$2,Detalle!$E$2:$E$723,$A36)</f>
        <v>0</v>
      </c>
      <c r="D36" s="51">
        <f>SUMIFS(Detalle!$F$2:$F$723,Detalle!$A$2:$A$723,D$2,Detalle!$E$2:$E$723,$A36)</f>
        <v>0</v>
      </c>
      <c r="E36" s="51">
        <f>SUMIFS(Detalle!$F$2:$F$723,Detalle!$A$2:$A$723,E$2,Detalle!$E$2:$E$723,$A36)</f>
        <v>0</v>
      </c>
      <c r="F36" s="51">
        <f>SUMIFS(Detalle!$F$2:$F$723,Detalle!$A$2:$A$723,F$2,Detalle!$E$2:$E$723,$A36)</f>
        <v>0</v>
      </c>
      <c r="G36" s="51">
        <f>SUMIFS(Detalle!$F$2:$F$723,Detalle!$A$2:$A$723,G$2,Detalle!$E$2:$E$723,$A36)</f>
        <v>0</v>
      </c>
      <c r="H36" s="51">
        <f>SUMIFS(Detalle!$F$2:$F$723,Detalle!$A$2:$A$723,H$2,Detalle!$E$2:$E$723,$A36)</f>
        <v>0</v>
      </c>
      <c r="I36" s="51">
        <f>SUMIFS(Detalle!$F$2:$F$723,Detalle!$A$2:$A$723,I$2,Detalle!$E$2:$E$723,$A36)</f>
        <v>0</v>
      </c>
      <c r="J36" s="51">
        <f>SUMIFS(Detalle!$F$2:$F$723,Detalle!$A$2:$A$723,J$2,Detalle!$E$2:$E$723,$A36)</f>
        <v>0</v>
      </c>
      <c r="K36" s="51">
        <f>SUMIFS(Detalle!$F$2:$F$723,Detalle!$A$2:$A$723,K$2,Detalle!$E$2:$E$723,$A36)</f>
        <v>0</v>
      </c>
      <c r="L36" s="51">
        <f>SUMIFS(Detalle!$F$2:$F$723,Detalle!$A$2:$A$723,L$2,Detalle!$E$2:$E$723,$A36)</f>
        <v>0</v>
      </c>
      <c r="M36" s="51">
        <f>SUMIFS(Detalle!$F$2:$F$723,Detalle!$A$2:$A$723,M$2,Detalle!$E$2:$E$723,$A36)</f>
        <v>0</v>
      </c>
      <c r="N36" s="51">
        <f>SUMIFS(Detalle!$F$2:$F$723,Detalle!$A$2:$A$723,N$2,Detalle!$E$2:$E$723,$A36)</f>
        <v>0</v>
      </c>
      <c r="O36" s="51">
        <f>SUMIFS(Detalle!$F$2:$F$723,Detalle!$A$2:$A$723,O$2,Detalle!$E$2:$E$723,$A36)</f>
        <v>0</v>
      </c>
      <c r="P36" s="51">
        <f>SUMIFS(Detalle!$F$2:$F$723,Detalle!$A$2:$A$723,P$2,Detalle!$E$2:$E$723,$A36)</f>
        <v>0</v>
      </c>
      <c r="Q36" s="51">
        <f>SUMIFS(Detalle!$F$2:$F$723,Detalle!$A$2:$A$723,Q$2,Detalle!$E$2:$E$723,$A36)</f>
        <v>0</v>
      </c>
      <c r="R36" s="51">
        <f>SUMIFS(Detalle!$F$2:$F$723,Detalle!$A$2:$A$723,R$2,Detalle!$E$2:$E$723,$A36)</f>
        <v>0</v>
      </c>
      <c r="S36" s="51">
        <f>SUMIFS(Detalle!$F$2:$F$723,Detalle!$A$2:$A$723,S$2,Detalle!$E$2:$E$723,$A36)</f>
        <v>0</v>
      </c>
      <c r="T36" s="51">
        <f>SUMIFS(Detalle!$F$2:$F$723,Detalle!$A$2:$A$723,T$2,Detalle!$E$2:$E$723,$A36)</f>
        <v>0</v>
      </c>
      <c r="U36" s="51">
        <f>SUMIFS(Detalle!$F$2:$F$723,Detalle!$A$2:$A$723,U$2,Detalle!$E$2:$E$723,$A36)</f>
        <v>0</v>
      </c>
      <c r="V36" s="54">
        <f>SUMIFS(Detalle!$F$2:$F$723,Detalle!$A$2:$A$723,V$2,Detalle!$E$2:$E$723,$A36)</f>
        <v>2</v>
      </c>
    </row>
    <row r="37" spans="1:22" s="2" customFormat="1" ht="12.75" customHeight="1">
      <c r="A37" s="16" t="s">
        <v>67</v>
      </c>
      <c r="B37" s="51">
        <f>SUMIFS(Detalle!$F$2:$F$723,Detalle!$A$2:$A$723,B$2,Detalle!$E$2:$E$723,$A37)</f>
        <v>2</v>
      </c>
      <c r="C37" s="51">
        <f>SUMIFS(Detalle!$F$2:$F$723,Detalle!$A$2:$A$723,C$2,Detalle!$E$2:$E$723,$A37)</f>
        <v>0</v>
      </c>
      <c r="D37" s="51">
        <f>SUMIFS(Detalle!$F$2:$F$723,Detalle!$A$2:$A$723,D$2,Detalle!$E$2:$E$723,$A37)</f>
        <v>0</v>
      </c>
      <c r="E37" s="51">
        <f>SUMIFS(Detalle!$F$2:$F$723,Detalle!$A$2:$A$723,E$2,Detalle!$E$2:$E$723,$A37)</f>
        <v>0</v>
      </c>
      <c r="F37" s="51">
        <f>SUMIFS(Detalle!$F$2:$F$723,Detalle!$A$2:$A$723,F$2,Detalle!$E$2:$E$723,$A37)</f>
        <v>0</v>
      </c>
      <c r="G37" s="51">
        <f>SUMIFS(Detalle!$F$2:$F$723,Detalle!$A$2:$A$723,G$2,Detalle!$E$2:$E$723,$A37)</f>
        <v>0</v>
      </c>
      <c r="H37" s="51">
        <f>SUMIFS(Detalle!$F$2:$F$723,Detalle!$A$2:$A$723,H$2,Detalle!$E$2:$E$723,$A37)</f>
        <v>0</v>
      </c>
      <c r="I37" s="51">
        <f>SUMIFS(Detalle!$F$2:$F$723,Detalle!$A$2:$A$723,I$2,Detalle!$E$2:$E$723,$A37)</f>
        <v>0</v>
      </c>
      <c r="J37" s="51">
        <f>SUMIFS(Detalle!$F$2:$F$723,Detalle!$A$2:$A$723,J$2,Detalle!$E$2:$E$723,$A37)</f>
        <v>0</v>
      </c>
      <c r="K37" s="51">
        <f>SUMIFS(Detalle!$F$2:$F$723,Detalle!$A$2:$A$723,K$2,Detalle!$E$2:$E$723,$A37)</f>
        <v>0</v>
      </c>
      <c r="L37" s="51">
        <f>SUMIFS(Detalle!$F$2:$F$723,Detalle!$A$2:$A$723,L$2,Detalle!$E$2:$E$723,$A37)</f>
        <v>0</v>
      </c>
      <c r="M37" s="51">
        <f>SUMIFS(Detalle!$F$2:$F$723,Detalle!$A$2:$A$723,M$2,Detalle!$E$2:$E$723,$A37)</f>
        <v>0</v>
      </c>
      <c r="N37" s="51">
        <f>SUMIFS(Detalle!$F$2:$F$723,Detalle!$A$2:$A$723,N$2,Detalle!$E$2:$E$723,$A37)</f>
        <v>0</v>
      </c>
      <c r="O37" s="51">
        <f>SUMIFS(Detalle!$F$2:$F$723,Detalle!$A$2:$A$723,O$2,Detalle!$E$2:$E$723,$A37)</f>
        <v>0</v>
      </c>
      <c r="P37" s="51">
        <f>SUMIFS(Detalle!$F$2:$F$723,Detalle!$A$2:$A$723,P$2,Detalle!$E$2:$E$723,$A37)</f>
        <v>0</v>
      </c>
      <c r="Q37" s="51">
        <f>SUMIFS(Detalle!$F$2:$F$723,Detalle!$A$2:$A$723,Q$2,Detalle!$E$2:$E$723,$A37)</f>
        <v>0</v>
      </c>
      <c r="R37" s="51">
        <f>SUMIFS(Detalle!$F$2:$F$723,Detalle!$A$2:$A$723,R$2,Detalle!$E$2:$E$723,$A37)</f>
        <v>0</v>
      </c>
      <c r="S37" s="51">
        <f>SUMIFS(Detalle!$F$2:$F$723,Detalle!$A$2:$A$723,S$2,Detalle!$E$2:$E$723,$A37)</f>
        <v>0</v>
      </c>
      <c r="T37" s="51">
        <f>SUMIFS(Detalle!$F$2:$F$723,Detalle!$A$2:$A$723,T$2,Detalle!$E$2:$E$723,$A37)</f>
        <v>0</v>
      </c>
      <c r="U37" s="51">
        <f>SUMIFS(Detalle!$F$2:$F$723,Detalle!$A$2:$A$723,U$2,Detalle!$E$2:$E$723,$A37)</f>
        <v>0</v>
      </c>
      <c r="V37" s="54">
        <f>SUMIFS(Detalle!$F$2:$F$723,Detalle!$A$2:$A$723,V$2,Detalle!$E$2:$E$723,$A37)</f>
        <v>0</v>
      </c>
    </row>
    <row r="38" spans="1:22" s="2" customFormat="1" ht="12.75" customHeight="1">
      <c r="A38" s="16" t="s">
        <v>68</v>
      </c>
      <c r="B38" s="51">
        <f>SUMIFS(Detalle!$F$2:$F$723,Detalle!$A$2:$A$723,B$2,Detalle!$E$2:$E$723,$A38)</f>
        <v>0</v>
      </c>
      <c r="C38" s="51">
        <f>SUMIFS(Detalle!$F$2:$F$723,Detalle!$A$2:$A$723,C$2,Detalle!$E$2:$E$723,$A38)</f>
        <v>0</v>
      </c>
      <c r="D38" s="51">
        <f>SUMIFS(Detalle!$F$2:$F$723,Detalle!$A$2:$A$723,D$2,Detalle!$E$2:$E$723,$A38)</f>
        <v>0</v>
      </c>
      <c r="E38" s="51">
        <f>SUMIFS(Detalle!$F$2:$F$723,Detalle!$A$2:$A$723,E$2,Detalle!$E$2:$E$723,$A38)</f>
        <v>0</v>
      </c>
      <c r="F38" s="51">
        <f>SUMIFS(Detalle!$F$2:$F$723,Detalle!$A$2:$A$723,F$2,Detalle!$E$2:$E$723,$A38)</f>
        <v>0</v>
      </c>
      <c r="G38" s="51">
        <f>SUMIFS(Detalle!$F$2:$F$723,Detalle!$A$2:$A$723,G$2,Detalle!$E$2:$E$723,$A38)</f>
        <v>0</v>
      </c>
      <c r="H38" s="51">
        <f>SUMIFS(Detalle!$F$2:$F$723,Detalle!$A$2:$A$723,H$2,Detalle!$E$2:$E$723,$A38)</f>
        <v>0</v>
      </c>
      <c r="I38" s="51">
        <f>SUMIFS(Detalle!$F$2:$F$723,Detalle!$A$2:$A$723,I$2,Detalle!$E$2:$E$723,$A38)</f>
        <v>0</v>
      </c>
      <c r="J38" s="51">
        <f>SUMIFS(Detalle!$F$2:$F$723,Detalle!$A$2:$A$723,J$2,Detalle!$E$2:$E$723,$A38)</f>
        <v>0</v>
      </c>
      <c r="K38" s="51">
        <f>SUMIFS(Detalle!$F$2:$F$723,Detalle!$A$2:$A$723,K$2,Detalle!$E$2:$E$723,$A38)</f>
        <v>0</v>
      </c>
      <c r="L38" s="51">
        <f>SUMIFS(Detalle!$F$2:$F$723,Detalle!$A$2:$A$723,L$2,Detalle!$E$2:$E$723,$A38)</f>
        <v>0</v>
      </c>
      <c r="M38" s="51">
        <f>SUMIFS(Detalle!$F$2:$F$723,Detalle!$A$2:$A$723,M$2,Detalle!$E$2:$E$723,$A38)</f>
        <v>0</v>
      </c>
      <c r="N38" s="51">
        <f>SUMIFS(Detalle!$F$2:$F$723,Detalle!$A$2:$A$723,N$2,Detalle!$E$2:$E$723,$A38)</f>
        <v>0</v>
      </c>
      <c r="O38" s="51">
        <f>SUMIFS(Detalle!$F$2:$F$723,Detalle!$A$2:$A$723,O$2,Detalle!$E$2:$E$723,$A38)</f>
        <v>0</v>
      </c>
      <c r="P38" s="51">
        <f>SUMIFS(Detalle!$F$2:$F$723,Detalle!$A$2:$A$723,P$2,Detalle!$E$2:$E$723,$A38)</f>
        <v>0</v>
      </c>
      <c r="Q38" s="51">
        <f>SUMIFS(Detalle!$F$2:$F$723,Detalle!$A$2:$A$723,Q$2,Detalle!$E$2:$E$723,$A38)</f>
        <v>0</v>
      </c>
      <c r="R38" s="51">
        <f>SUMIFS(Detalle!$F$2:$F$723,Detalle!$A$2:$A$723,R$2,Detalle!$E$2:$E$723,$A38)</f>
        <v>0</v>
      </c>
      <c r="S38" s="51">
        <f>SUMIFS(Detalle!$F$2:$F$723,Detalle!$A$2:$A$723,S$2,Detalle!$E$2:$E$723,$A38)</f>
        <v>0</v>
      </c>
      <c r="T38" s="51">
        <f>SUMIFS(Detalle!$F$2:$F$723,Detalle!$A$2:$A$723,T$2,Detalle!$E$2:$E$723,$A38)</f>
        <v>0</v>
      </c>
      <c r="U38" s="51">
        <f>SUMIFS(Detalle!$F$2:$F$723,Detalle!$A$2:$A$723,U$2,Detalle!$E$2:$E$723,$A38)</f>
        <v>0</v>
      </c>
      <c r="V38" s="54">
        <f>SUMIFS(Detalle!$F$2:$F$723,Detalle!$A$2:$A$723,V$2,Detalle!$E$2:$E$723,$A38)</f>
        <v>2</v>
      </c>
    </row>
    <row r="39" spans="1:22" s="2" customFormat="1" ht="12.75" customHeight="1">
      <c r="A39" s="16" t="s">
        <v>69</v>
      </c>
      <c r="B39" s="51">
        <f>SUMIFS(Detalle!$F$2:$F$723,Detalle!$A$2:$A$723,B$2,Detalle!$E$2:$E$723,$A39)</f>
        <v>0</v>
      </c>
      <c r="C39" s="51">
        <f>SUMIFS(Detalle!$F$2:$F$723,Detalle!$A$2:$A$723,C$2,Detalle!$E$2:$E$723,$A39)</f>
        <v>0</v>
      </c>
      <c r="D39" s="51">
        <f>SUMIFS(Detalle!$F$2:$F$723,Detalle!$A$2:$A$723,D$2,Detalle!$E$2:$E$723,$A39)</f>
        <v>0</v>
      </c>
      <c r="E39" s="51">
        <f>SUMIFS(Detalle!$F$2:$F$723,Detalle!$A$2:$A$723,E$2,Detalle!$E$2:$E$723,$A39)</f>
        <v>0</v>
      </c>
      <c r="F39" s="51">
        <f>SUMIFS(Detalle!$F$2:$F$723,Detalle!$A$2:$A$723,F$2,Detalle!$E$2:$E$723,$A39)</f>
        <v>0</v>
      </c>
      <c r="G39" s="51">
        <f>SUMIFS(Detalle!$F$2:$F$723,Detalle!$A$2:$A$723,G$2,Detalle!$E$2:$E$723,$A39)</f>
        <v>0</v>
      </c>
      <c r="H39" s="51">
        <f>SUMIFS(Detalle!$F$2:$F$723,Detalle!$A$2:$A$723,H$2,Detalle!$E$2:$E$723,$A39)</f>
        <v>0</v>
      </c>
      <c r="I39" s="51">
        <f>SUMIFS(Detalle!$F$2:$F$723,Detalle!$A$2:$A$723,I$2,Detalle!$E$2:$E$723,$A39)</f>
        <v>0</v>
      </c>
      <c r="J39" s="51">
        <f>SUMIFS(Detalle!$F$2:$F$723,Detalle!$A$2:$A$723,J$2,Detalle!$E$2:$E$723,$A39)</f>
        <v>0</v>
      </c>
      <c r="K39" s="51">
        <f>SUMIFS(Detalle!$F$2:$F$723,Detalle!$A$2:$A$723,K$2,Detalle!$E$2:$E$723,$A39)</f>
        <v>0</v>
      </c>
      <c r="L39" s="51">
        <f>SUMIFS(Detalle!$F$2:$F$723,Detalle!$A$2:$A$723,L$2,Detalle!$E$2:$E$723,$A39)</f>
        <v>0</v>
      </c>
      <c r="M39" s="51">
        <f>SUMIFS(Detalle!$F$2:$F$723,Detalle!$A$2:$A$723,M$2,Detalle!$E$2:$E$723,$A39)</f>
        <v>0</v>
      </c>
      <c r="N39" s="51">
        <f>SUMIFS(Detalle!$F$2:$F$723,Detalle!$A$2:$A$723,N$2,Detalle!$E$2:$E$723,$A39)</f>
        <v>0</v>
      </c>
      <c r="O39" s="51">
        <f>SUMIFS(Detalle!$F$2:$F$723,Detalle!$A$2:$A$723,O$2,Detalle!$E$2:$E$723,$A39)</f>
        <v>0</v>
      </c>
      <c r="P39" s="51">
        <f>SUMIFS(Detalle!$F$2:$F$723,Detalle!$A$2:$A$723,P$2,Detalle!$E$2:$E$723,$A39)</f>
        <v>0</v>
      </c>
      <c r="Q39" s="51">
        <f>SUMIFS(Detalle!$F$2:$F$723,Detalle!$A$2:$A$723,Q$2,Detalle!$E$2:$E$723,$A39)</f>
        <v>0</v>
      </c>
      <c r="R39" s="51">
        <f>SUMIFS(Detalle!$F$2:$F$723,Detalle!$A$2:$A$723,R$2,Detalle!$E$2:$E$723,$A39)</f>
        <v>0</v>
      </c>
      <c r="S39" s="51">
        <f>SUMIFS(Detalle!$F$2:$F$723,Detalle!$A$2:$A$723,S$2,Detalle!$E$2:$E$723,$A39)</f>
        <v>0</v>
      </c>
      <c r="T39" s="51">
        <f>SUMIFS(Detalle!$F$2:$F$723,Detalle!$A$2:$A$723,T$2,Detalle!$E$2:$E$723,$A39)</f>
        <v>0</v>
      </c>
      <c r="U39" s="51">
        <f>SUMIFS(Detalle!$F$2:$F$723,Detalle!$A$2:$A$723,U$2,Detalle!$E$2:$E$723,$A39)</f>
        <v>2</v>
      </c>
      <c r="V39" s="54">
        <f>SUMIFS(Detalle!$F$2:$F$723,Detalle!$A$2:$A$723,V$2,Detalle!$E$2:$E$723,$A39)</f>
        <v>0</v>
      </c>
    </row>
    <row r="40" spans="1:22" s="2" customFormat="1" ht="12.75" customHeight="1">
      <c r="A40" s="16" t="s">
        <v>70</v>
      </c>
      <c r="B40" s="51">
        <f>SUMIFS(Detalle!$F$2:$F$723,Detalle!$A$2:$A$723,B$2,Detalle!$E$2:$E$723,$A40)</f>
        <v>0</v>
      </c>
      <c r="C40" s="51">
        <f>SUMIFS(Detalle!$F$2:$F$723,Detalle!$A$2:$A$723,C$2,Detalle!$E$2:$E$723,$A40)</f>
        <v>0</v>
      </c>
      <c r="D40" s="51">
        <f>SUMIFS(Detalle!$F$2:$F$723,Detalle!$A$2:$A$723,D$2,Detalle!$E$2:$E$723,$A40)</f>
        <v>0</v>
      </c>
      <c r="E40" s="51">
        <f>SUMIFS(Detalle!$F$2:$F$723,Detalle!$A$2:$A$723,E$2,Detalle!$E$2:$E$723,$A40)</f>
        <v>0</v>
      </c>
      <c r="F40" s="51">
        <f>SUMIFS(Detalle!$F$2:$F$723,Detalle!$A$2:$A$723,F$2,Detalle!$E$2:$E$723,$A40)</f>
        <v>0</v>
      </c>
      <c r="G40" s="51">
        <f>SUMIFS(Detalle!$F$2:$F$723,Detalle!$A$2:$A$723,G$2,Detalle!$E$2:$E$723,$A40)</f>
        <v>0</v>
      </c>
      <c r="H40" s="51">
        <f>SUMIFS(Detalle!$F$2:$F$723,Detalle!$A$2:$A$723,H$2,Detalle!$E$2:$E$723,$A40)</f>
        <v>0</v>
      </c>
      <c r="I40" s="51">
        <f>SUMIFS(Detalle!$F$2:$F$723,Detalle!$A$2:$A$723,I$2,Detalle!$E$2:$E$723,$A40)</f>
        <v>0</v>
      </c>
      <c r="J40" s="51">
        <f>SUMIFS(Detalle!$F$2:$F$723,Detalle!$A$2:$A$723,J$2,Detalle!$E$2:$E$723,$A40)</f>
        <v>0</v>
      </c>
      <c r="K40" s="51">
        <f>SUMIFS(Detalle!$F$2:$F$723,Detalle!$A$2:$A$723,K$2,Detalle!$E$2:$E$723,$A40)</f>
        <v>0</v>
      </c>
      <c r="L40" s="51">
        <f>SUMIFS(Detalle!$F$2:$F$723,Detalle!$A$2:$A$723,L$2,Detalle!$E$2:$E$723,$A40)</f>
        <v>0</v>
      </c>
      <c r="M40" s="51">
        <f>SUMIFS(Detalle!$F$2:$F$723,Detalle!$A$2:$A$723,M$2,Detalle!$E$2:$E$723,$A40)</f>
        <v>0</v>
      </c>
      <c r="N40" s="51">
        <f>SUMIFS(Detalle!$F$2:$F$723,Detalle!$A$2:$A$723,N$2,Detalle!$E$2:$E$723,$A40)</f>
        <v>0</v>
      </c>
      <c r="O40" s="51">
        <f>SUMIFS(Detalle!$F$2:$F$723,Detalle!$A$2:$A$723,O$2,Detalle!$E$2:$E$723,$A40)</f>
        <v>0</v>
      </c>
      <c r="P40" s="51">
        <f>SUMIFS(Detalle!$F$2:$F$723,Detalle!$A$2:$A$723,P$2,Detalle!$E$2:$E$723,$A40)</f>
        <v>0</v>
      </c>
      <c r="Q40" s="51">
        <f>SUMIFS(Detalle!$F$2:$F$723,Detalle!$A$2:$A$723,Q$2,Detalle!$E$2:$E$723,$A40)</f>
        <v>0</v>
      </c>
      <c r="R40" s="51">
        <f>SUMIFS(Detalle!$F$2:$F$723,Detalle!$A$2:$A$723,R$2,Detalle!$E$2:$E$723,$A40)</f>
        <v>0</v>
      </c>
      <c r="S40" s="51">
        <f>SUMIFS(Detalle!$F$2:$F$723,Detalle!$A$2:$A$723,S$2,Detalle!$E$2:$E$723,$A40)</f>
        <v>0</v>
      </c>
      <c r="T40" s="51">
        <f>SUMIFS(Detalle!$F$2:$F$723,Detalle!$A$2:$A$723,T$2,Detalle!$E$2:$E$723,$A40)</f>
        <v>0</v>
      </c>
      <c r="U40" s="51">
        <f>SUMIFS(Detalle!$F$2:$F$723,Detalle!$A$2:$A$723,U$2,Detalle!$E$2:$E$723,$A40)</f>
        <v>0</v>
      </c>
      <c r="V40" s="54">
        <f>SUMIFS(Detalle!$F$2:$F$723,Detalle!$A$2:$A$723,V$2,Detalle!$E$2:$E$723,$A40)</f>
        <v>2</v>
      </c>
    </row>
    <row r="41" spans="1:22" s="2" customFormat="1" ht="12.75" customHeight="1">
      <c r="A41" s="16" t="s">
        <v>71</v>
      </c>
      <c r="B41" s="51">
        <f>SUMIFS(Detalle!$F$2:$F$723,Detalle!$A$2:$A$723,B$2,Detalle!$E$2:$E$723,$A41)</f>
        <v>0</v>
      </c>
      <c r="C41" s="51">
        <f>SUMIFS(Detalle!$F$2:$F$723,Detalle!$A$2:$A$723,C$2,Detalle!$E$2:$E$723,$A41)</f>
        <v>0</v>
      </c>
      <c r="D41" s="51">
        <f>SUMIFS(Detalle!$F$2:$F$723,Detalle!$A$2:$A$723,D$2,Detalle!$E$2:$E$723,$A41)</f>
        <v>0</v>
      </c>
      <c r="E41" s="51">
        <f>SUMIFS(Detalle!$F$2:$F$723,Detalle!$A$2:$A$723,E$2,Detalle!$E$2:$E$723,$A41)</f>
        <v>0</v>
      </c>
      <c r="F41" s="51">
        <f>SUMIFS(Detalle!$F$2:$F$723,Detalle!$A$2:$A$723,F$2,Detalle!$E$2:$E$723,$A41)</f>
        <v>0</v>
      </c>
      <c r="G41" s="51">
        <f>SUMIFS(Detalle!$F$2:$F$723,Detalle!$A$2:$A$723,G$2,Detalle!$E$2:$E$723,$A41)</f>
        <v>0</v>
      </c>
      <c r="H41" s="51">
        <f>SUMIFS(Detalle!$F$2:$F$723,Detalle!$A$2:$A$723,H$2,Detalle!$E$2:$E$723,$A41)</f>
        <v>0</v>
      </c>
      <c r="I41" s="51">
        <f>SUMIFS(Detalle!$F$2:$F$723,Detalle!$A$2:$A$723,I$2,Detalle!$E$2:$E$723,$A41)</f>
        <v>0</v>
      </c>
      <c r="J41" s="51">
        <f>SUMIFS(Detalle!$F$2:$F$723,Detalle!$A$2:$A$723,J$2,Detalle!$E$2:$E$723,$A41)</f>
        <v>0</v>
      </c>
      <c r="K41" s="51">
        <f>SUMIFS(Detalle!$F$2:$F$723,Detalle!$A$2:$A$723,K$2,Detalle!$E$2:$E$723,$A41)</f>
        <v>0</v>
      </c>
      <c r="L41" s="51">
        <f>SUMIFS(Detalle!$F$2:$F$723,Detalle!$A$2:$A$723,L$2,Detalle!$E$2:$E$723,$A41)</f>
        <v>0</v>
      </c>
      <c r="M41" s="51">
        <f>SUMIFS(Detalle!$F$2:$F$723,Detalle!$A$2:$A$723,M$2,Detalle!$E$2:$E$723,$A41)</f>
        <v>0</v>
      </c>
      <c r="N41" s="51">
        <f>SUMIFS(Detalle!$F$2:$F$723,Detalle!$A$2:$A$723,N$2,Detalle!$E$2:$E$723,$A41)</f>
        <v>0</v>
      </c>
      <c r="O41" s="51">
        <f>SUMIFS(Detalle!$F$2:$F$723,Detalle!$A$2:$A$723,O$2,Detalle!$E$2:$E$723,$A41)</f>
        <v>0</v>
      </c>
      <c r="P41" s="51">
        <f>SUMIFS(Detalle!$F$2:$F$723,Detalle!$A$2:$A$723,P$2,Detalle!$E$2:$E$723,$A41)</f>
        <v>0</v>
      </c>
      <c r="Q41" s="51">
        <f>SUMIFS(Detalle!$F$2:$F$723,Detalle!$A$2:$A$723,Q$2,Detalle!$E$2:$E$723,$A41)</f>
        <v>0</v>
      </c>
      <c r="R41" s="51">
        <f>SUMIFS(Detalle!$F$2:$F$723,Detalle!$A$2:$A$723,R$2,Detalle!$E$2:$E$723,$A41)</f>
        <v>0</v>
      </c>
      <c r="S41" s="51">
        <f>SUMIFS(Detalle!$F$2:$F$723,Detalle!$A$2:$A$723,S$2,Detalle!$E$2:$E$723,$A41)</f>
        <v>0</v>
      </c>
      <c r="T41" s="51">
        <f>SUMIFS(Detalle!$F$2:$F$723,Detalle!$A$2:$A$723,T$2,Detalle!$E$2:$E$723,$A41)</f>
        <v>2</v>
      </c>
      <c r="U41" s="51">
        <f>SUMIFS(Detalle!$F$2:$F$723,Detalle!$A$2:$A$723,U$2,Detalle!$E$2:$E$723,$A41)</f>
        <v>0</v>
      </c>
      <c r="V41" s="54">
        <f>SUMIFS(Detalle!$F$2:$F$723,Detalle!$A$2:$A$723,V$2,Detalle!$E$2:$E$723,$A41)</f>
        <v>0</v>
      </c>
    </row>
    <row r="42" spans="1:22" s="2" customFormat="1" ht="12.75" customHeight="1">
      <c r="A42" s="16" t="s">
        <v>72</v>
      </c>
      <c r="B42" s="51">
        <f>SUMIFS(Detalle!$F$2:$F$723,Detalle!$A$2:$A$723,B$2,Detalle!$E$2:$E$723,$A42)</f>
        <v>0</v>
      </c>
      <c r="C42" s="51">
        <f>SUMIFS(Detalle!$F$2:$F$723,Detalle!$A$2:$A$723,C$2,Detalle!$E$2:$E$723,$A42)</f>
        <v>0</v>
      </c>
      <c r="D42" s="51">
        <f>SUMIFS(Detalle!$F$2:$F$723,Detalle!$A$2:$A$723,D$2,Detalle!$E$2:$E$723,$A42)</f>
        <v>0</v>
      </c>
      <c r="E42" s="51">
        <f>SUMIFS(Detalle!$F$2:$F$723,Detalle!$A$2:$A$723,E$2,Detalle!$E$2:$E$723,$A42)</f>
        <v>0</v>
      </c>
      <c r="F42" s="51">
        <f>SUMIFS(Detalle!$F$2:$F$723,Detalle!$A$2:$A$723,F$2,Detalle!$E$2:$E$723,$A42)</f>
        <v>0</v>
      </c>
      <c r="G42" s="51">
        <f>SUMIFS(Detalle!$F$2:$F$723,Detalle!$A$2:$A$723,G$2,Detalle!$E$2:$E$723,$A42)</f>
        <v>0</v>
      </c>
      <c r="H42" s="51">
        <f>SUMIFS(Detalle!$F$2:$F$723,Detalle!$A$2:$A$723,H$2,Detalle!$E$2:$E$723,$A42)</f>
        <v>0</v>
      </c>
      <c r="I42" s="51">
        <f>SUMIFS(Detalle!$F$2:$F$723,Detalle!$A$2:$A$723,I$2,Detalle!$E$2:$E$723,$A42)</f>
        <v>0</v>
      </c>
      <c r="J42" s="51">
        <f>SUMIFS(Detalle!$F$2:$F$723,Detalle!$A$2:$A$723,J$2,Detalle!$E$2:$E$723,$A42)</f>
        <v>0</v>
      </c>
      <c r="K42" s="51">
        <f>SUMIFS(Detalle!$F$2:$F$723,Detalle!$A$2:$A$723,K$2,Detalle!$E$2:$E$723,$A42)</f>
        <v>0</v>
      </c>
      <c r="L42" s="51">
        <f>SUMIFS(Detalle!$F$2:$F$723,Detalle!$A$2:$A$723,L$2,Detalle!$E$2:$E$723,$A42)</f>
        <v>0</v>
      </c>
      <c r="M42" s="51">
        <f>SUMIFS(Detalle!$F$2:$F$723,Detalle!$A$2:$A$723,M$2,Detalle!$E$2:$E$723,$A42)</f>
        <v>0</v>
      </c>
      <c r="N42" s="51">
        <f>SUMIFS(Detalle!$F$2:$F$723,Detalle!$A$2:$A$723,N$2,Detalle!$E$2:$E$723,$A42)</f>
        <v>0</v>
      </c>
      <c r="O42" s="51">
        <f>SUMIFS(Detalle!$F$2:$F$723,Detalle!$A$2:$A$723,O$2,Detalle!$E$2:$E$723,$A42)</f>
        <v>0</v>
      </c>
      <c r="P42" s="51">
        <f>SUMIFS(Detalle!$F$2:$F$723,Detalle!$A$2:$A$723,P$2,Detalle!$E$2:$E$723,$A42)</f>
        <v>0</v>
      </c>
      <c r="Q42" s="51">
        <f>SUMIFS(Detalle!$F$2:$F$723,Detalle!$A$2:$A$723,Q$2,Detalle!$E$2:$E$723,$A42)</f>
        <v>0</v>
      </c>
      <c r="R42" s="51">
        <f>SUMIFS(Detalle!$F$2:$F$723,Detalle!$A$2:$A$723,R$2,Detalle!$E$2:$E$723,$A42)</f>
        <v>0</v>
      </c>
      <c r="S42" s="51">
        <f>SUMIFS(Detalle!$F$2:$F$723,Detalle!$A$2:$A$723,S$2,Detalle!$E$2:$E$723,$A42)</f>
        <v>0</v>
      </c>
      <c r="T42" s="51">
        <f>SUMIFS(Detalle!$F$2:$F$723,Detalle!$A$2:$A$723,T$2,Detalle!$E$2:$E$723,$A42)</f>
        <v>1</v>
      </c>
      <c r="U42" s="51">
        <f>SUMIFS(Detalle!$F$2:$F$723,Detalle!$A$2:$A$723,U$2,Detalle!$E$2:$E$723,$A42)</f>
        <v>0</v>
      </c>
      <c r="V42" s="54">
        <f>SUMIFS(Detalle!$F$2:$F$723,Detalle!$A$2:$A$723,V$2,Detalle!$E$2:$E$723,$A42)</f>
        <v>1</v>
      </c>
    </row>
    <row r="43" spans="1:22" s="2" customFormat="1" ht="12.75" customHeight="1">
      <c r="A43" s="16" t="s">
        <v>73</v>
      </c>
      <c r="B43" s="51">
        <f>SUMIFS(Detalle!$F$2:$F$723,Detalle!$A$2:$A$723,B$2,Detalle!$E$2:$E$723,$A43)</f>
        <v>0</v>
      </c>
      <c r="C43" s="51">
        <f>SUMIFS(Detalle!$F$2:$F$723,Detalle!$A$2:$A$723,C$2,Detalle!$E$2:$E$723,$A43)</f>
        <v>0</v>
      </c>
      <c r="D43" s="51">
        <f>SUMIFS(Detalle!$F$2:$F$723,Detalle!$A$2:$A$723,D$2,Detalle!$E$2:$E$723,$A43)</f>
        <v>0</v>
      </c>
      <c r="E43" s="51">
        <f>SUMIFS(Detalle!$F$2:$F$723,Detalle!$A$2:$A$723,E$2,Detalle!$E$2:$E$723,$A43)</f>
        <v>0</v>
      </c>
      <c r="F43" s="51">
        <f>SUMIFS(Detalle!$F$2:$F$723,Detalle!$A$2:$A$723,F$2,Detalle!$E$2:$E$723,$A43)</f>
        <v>0</v>
      </c>
      <c r="G43" s="51">
        <f>SUMIFS(Detalle!$F$2:$F$723,Detalle!$A$2:$A$723,G$2,Detalle!$E$2:$E$723,$A43)</f>
        <v>0</v>
      </c>
      <c r="H43" s="51">
        <f>SUMIFS(Detalle!$F$2:$F$723,Detalle!$A$2:$A$723,H$2,Detalle!$E$2:$E$723,$A43)</f>
        <v>0</v>
      </c>
      <c r="I43" s="51">
        <f>SUMIFS(Detalle!$F$2:$F$723,Detalle!$A$2:$A$723,I$2,Detalle!$E$2:$E$723,$A43)</f>
        <v>0</v>
      </c>
      <c r="J43" s="51">
        <f>SUMIFS(Detalle!$F$2:$F$723,Detalle!$A$2:$A$723,J$2,Detalle!$E$2:$E$723,$A43)</f>
        <v>0</v>
      </c>
      <c r="K43" s="51">
        <f>SUMIFS(Detalle!$F$2:$F$723,Detalle!$A$2:$A$723,K$2,Detalle!$E$2:$E$723,$A43)</f>
        <v>0</v>
      </c>
      <c r="L43" s="51">
        <f>SUMIFS(Detalle!$F$2:$F$723,Detalle!$A$2:$A$723,L$2,Detalle!$E$2:$E$723,$A43)</f>
        <v>0</v>
      </c>
      <c r="M43" s="51">
        <f>SUMIFS(Detalle!$F$2:$F$723,Detalle!$A$2:$A$723,M$2,Detalle!$E$2:$E$723,$A43)</f>
        <v>0</v>
      </c>
      <c r="N43" s="51">
        <f>SUMIFS(Detalle!$F$2:$F$723,Detalle!$A$2:$A$723,N$2,Detalle!$E$2:$E$723,$A43)</f>
        <v>0</v>
      </c>
      <c r="O43" s="51">
        <f>SUMIFS(Detalle!$F$2:$F$723,Detalle!$A$2:$A$723,O$2,Detalle!$E$2:$E$723,$A43)</f>
        <v>0</v>
      </c>
      <c r="P43" s="51">
        <f>SUMIFS(Detalle!$F$2:$F$723,Detalle!$A$2:$A$723,P$2,Detalle!$E$2:$E$723,$A43)</f>
        <v>0</v>
      </c>
      <c r="Q43" s="51">
        <f>SUMIFS(Detalle!$F$2:$F$723,Detalle!$A$2:$A$723,Q$2,Detalle!$E$2:$E$723,$A43)</f>
        <v>0</v>
      </c>
      <c r="R43" s="51">
        <f>SUMIFS(Detalle!$F$2:$F$723,Detalle!$A$2:$A$723,R$2,Detalle!$E$2:$E$723,$A43)</f>
        <v>0</v>
      </c>
      <c r="S43" s="51">
        <f>SUMIFS(Detalle!$F$2:$F$723,Detalle!$A$2:$A$723,S$2,Detalle!$E$2:$E$723,$A43)</f>
        <v>0</v>
      </c>
      <c r="T43" s="51">
        <f>SUMIFS(Detalle!$F$2:$F$723,Detalle!$A$2:$A$723,T$2,Detalle!$E$2:$E$723,$A43)</f>
        <v>0</v>
      </c>
      <c r="U43" s="51">
        <f>SUMIFS(Detalle!$F$2:$F$723,Detalle!$A$2:$A$723,U$2,Detalle!$E$2:$E$723,$A43)</f>
        <v>0</v>
      </c>
      <c r="V43" s="54">
        <f>SUMIFS(Detalle!$F$2:$F$723,Detalle!$A$2:$A$723,V$2,Detalle!$E$2:$E$723,$A43)</f>
        <v>2</v>
      </c>
    </row>
    <row r="44" spans="1:22" s="2" customFormat="1" ht="12.75" customHeight="1">
      <c r="A44" s="16" t="s">
        <v>74</v>
      </c>
      <c r="B44" s="51">
        <f>SUMIFS(Detalle!$F$2:$F$723,Detalle!$A$2:$A$723,B$2,Detalle!$E$2:$E$723,$A44)</f>
        <v>0</v>
      </c>
      <c r="C44" s="51">
        <f>SUMIFS(Detalle!$F$2:$F$723,Detalle!$A$2:$A$723,C$2,Detalle!$E$2:$E$723,$A44)</f>
        <v>0</v>
      </c>
      <c r="D44" s="51">
        <f>SUMIFS(Detalle!$F$2:$F$723,Detalle!$A$2:$A$723,D$2,Detalle!$E$2:$E$723,$A44)</f>
        <v>0</v>
      </c>
      <c r="E44" s="51">
        <f>SUMIFS(Detalle!$F$2:$F$723,Detalle!$A$2:$A$723,E$2,Detalle!$E$2:$E$723,$A44)</f>
        <v>0</v>
      </c>
      <c r="F44" s="51">
        <f>SUMIFS(Detalle!$F$2:$F$723,Detalle!$A$2:$A$723,F$2,Detalle!$E$2:$E$723,$A44)</f>
        <v>0</v>
      </c>
      <c r="G44" s="51">
        <f>SUMIFS(Detalle!$F$2:$F$723,Detalle!$A$2:$A$723,G$2,Detalle!$E$2:$E$723,$A44)</f>
        <v>0</v>
      </c>
      <c r="H44" s="51">
        <f>SUMIFS(Detalle!$F$2:$F$723,Detalle!$A$2:$A$723,H$2,Detalle!$E$2:$E$723,$A44)</f>
        <v>0</v>
      </c>
      <c r="I44" s="51">
        <f>SUMIFS(Detalle!$F$2:$F$723,Detalle!$A$2:$A$723,I$2,Detalle!$E$2:$E$723,$A44)</f>
        <v>0</v>
      </c>
      <c r="J44" s="51">
        <f>SUMIFS(Detalle!$F$2:$F$723,Detalle!$A$2:$A$723,J$2,Detalle!$E$2:$E$723,$A44)</f>
        <v>0</v>
      </c>
      <c r="K44" s="51">
        <f>SUMIFS(Detalle!$F$2:$F$723,Detalle!$A$2:$A$723,K$2,Detalle!$E$2:$E$723,$A44)</f>
        <v>0</v>
      </c>
      <c r="L44" s="51">
        <f>SUMIFS(Detalle!$F$2:$F$723,Detalle!$A$2:$A$723,L$2,Detalle!$E$2:$E$723,$A44)</f>
        <v>0</v>
      </c>
      <c r="M44" s="51">
        <f>SUMIFS(Detalle!$F$2:$F$723,Detalle!$A$2:$A$723,M$2,Detalle!$E$2:$E$723,$A44)</f>
        <v>0</v>
      </c>
      <c r="N44" s="51">
        <f>SUMIFS(Detalle!$F$2:$F$723,Detalle!$A$2:$A$723,N$2,Detalle!$E$2:$E$723,$A44)</f>
        <v>0</v>
      </c>
      <c r="O44" s="51">
        <f>SUMIFS(Detalle!$F$2:$F$723,Detalle!$A$2:$A$723,O$2,Detalle!$E$2:$E$723,$A44)</f>
        <v>0</v>
      </c>
      <c r="P44" s="51">
        <f>SUMIFS(Detalle!$F$2:$F$723,Detalle!$A$2:$A$723,P$2,Detalle!$E$2:$E$723,$A44)</f>
        <v>0</v>
      </c>
      <c r="Q44" s="51">
        <f>SUMIFS(Detalle!$F$2:$F$723,Detalle!$A$2:$A$723,Q$2,Detalle!$E$2:$E$723,$A44)</f>
        <v>0</v>
      </c>
      <c r="R44" s="51">
        <f>SUMIFS(Detalle!$F$2:$F$723,Detalle!$A$2:$A$723,R$2,Detalle!$E$2:$E$723,$A44)</f>
        <v>0</v>
      </c>
      <c r="S44" s="51">
        <f>SUMIFS(Detalle!$F$2:$F$723,Detalle!$A$2:$A$723,S$2,Detalle!$E$2:$E$723,$A44)</f>
        <v>0</v>
      </c>
      <c r="T44" s="51">
        <f>SUMIFS(Detalle!$F$2:$F$723,Detalle!$A$2:$A$723,T$2,Detalle!$E$2:$E$723,$A44)</f>
        <v>0</v>
      </c>
      <c r="U44" s="51">
        <f>SUMIFS(Detalle!$F$2:$F$723,Detalle!$A$2:$A$723,U$2,Detalle!$E$2:$E$723,$A44)</f>
        <v>0</v>
      </c>
      <c r="V44" s="54">
        <f>SUMIFS(Detalle!$F$2:$F$723,Detalle!$A$2:$A$723,V$2,Detalle!$E$2:$E$723,$A44)</f>
        <v>2</v>
      </c>
    </row>
    <row r="45" spans="1:22" s="2" customFormat="1" ht="12.75" customHeight="1">
      <c r="A45" s="16" t="s">
        <v>75</v>
      </c>
      <c r="B45" s="51">
        <f>SUMIFS(Detalle!$F$2:$F$723,Detalle!$A$2:$A$723,B$2,Detalle!$E$2:$E$723,$A45)</f>
        <v>0</v>
      </c>
      <c r="C45" s="51">
        <f>SUMIFS(Detalle!$F$2:$F$723,Detalle!$A$2:$A$723,C$2,Detalle!$E$2:$E$723,$A45)</f>
        <v>0</v>
      </c>
      <c r="D45" s="51">
        <f>SUMIFS(Detalle!$F$2:$F$723,Detalle!$A$2:$A$723,D$2,Detalle!$E$2:$E$723,$A45)</f>
        <v>0</v>
      </c>
      <c r="E45" s="51">
        <f>SUMIFS(Detalle!$F$2:$F$723,Detalle!$A$2:$A$723,E$2,Detalle!$E$2:$E$723,$A45)</f>
        <v>0</v>
      </c>
      <c r="F45" s="51">
        <f>SUMIFS(Detalle!$F$2:$F$723,Detalle!$A$2:$A$723,F$2,Detalle!$E$2:$E$723,$A45)</f>
        <v>0</v>
      </c>
      <c r="G45" s="51">
        <f>SUMIFS(Detalle!$F$2:$F$723,Detalle!$A$2:$A$723,G$2,Detalle!$E$2:$E$723,$A45)</f>
        <v>0</v>
      </c>
      <c r="H45" s="51">
        <f>SUMIFS(Detalle!$F$2:$F$723,Detalle!$A$2:$A$723,H$2,Detalle!$E$2:$E$723,$A45)</f>
        <v>0</v>
      </c>
      <c r="I45" s="51">
        <f>SUMIFS(Detalle!$F$2:$F$723,Detalle!$A$2:$A$723,I$2,Detalle!$E$2:$E$723,$A45)</f>
        <v>0</v>
      </c>
      <c r="J45" s="51">
        <f>SUMIFS(Detalle!$F$2:$F$723,Detalle!$A$2:$A$723,J$2,Detalle!$E$2:$E$723,$A45)</f>
        <v>0</v>
      </c>
      <c r="K45" s="51">
        <f>SUMIFS(Detalle!$F$2:$F$723,Detalle!$A$2:$A$723,K$2,Detalle!$E$2:$E$723,$A45)</f>
        <v>0</v>
      </c>
      <c r="L45" s="51">
        <f>SUMIFS(Detalle!$F$2:$F$723,Detalle!$A$2:$A$723,L$2,Detalle!$E$2:$E$723,$A45)</f>
        <v>0</v>
      </c>
      <c r="M45" s="51">
        <f>SUMIFS(Detalle!$F$2:$F$723,Detalle!$A$2:$A$723,M$2,Detalle!$E$2:$E$723,$A45)</f>
        <v>0</v>
      </c>
      <c r="N45" s="51">
        <f>SUMIFS(Detalle!$F$2:$F$723,Detalle!$A$2:$A$723,N$2,Detalle!$E$2:$E$723,$A45)</f>
        <v>0</v>
      </c>
      <c r="O45" s="51">
        <f>SUMIFS(Detalle!$F$2:$F$723,Detalle!$A$2:$A$723,O$2,Detalle!$E$2:$E$723,$A45)</f>
        <v>0</v>
      </c>
      <c r="P45" s="51">
        <f>SUMIFS(Detalle!$F$2:$F$723,Detalle!$A$2:$A$723,P$2,Detalle!$E$2:$E$723,$A45)</f>
        <v>0</v>
      </c>
      <c r="Q45" s="51">
        <f>SUMIFS(Detalle!$F$2:$F$723,Detalle!$A$2:$A$723,Q$2,Detalle!$E$2:$E$723,$A45)</f>
        <v>0</v>
      </c>
      <c r="R45" s="51">
        <f>SUMIFS(Detalle!$F$2:$F$723,Detalle!$A$2:$A$723,R$2,Detalle!$E$2:$E$723,$A45)</f>
        <v>0</v>
      </c>
      <c r="S45" s="51">
        <f>SUMIFS(Detalle!$F$2:$F$723,Detalle!$A$2:$A$723,S$2,Detalle!$E$2:$E$723,$A45)</f>
        <v>0</v>
      </c>
      <c r="T45" s="51">
        <f>SUMIFS(Detalle!$F$2:$F$723,Detalle!$A$2:$A$723,T$2,Detalle!$E$2:$E$723,$A45)</f>
        <v>0</v>
      </c>
      <c r="U45" s="51">
        <f>SUMIFS(Detalle!$F$2:$F$723,Detalle!$A$2:$A$723,U$2,Detalle!$E$2:$E$723,$A45)</f>
        <v>0</v>
      </c>
      <c r="V45" s="54">
        <f>SUMIFS(Detalle!$F$2:$F$723,Detalle!$A$2:$A$723,V$2,Detalle!$E$2:$E$723,$A45)</f>
        <v>2</v>
      </c>
    </row>
    <row r="46" spans="1:22" s="2" customFormat="1" ht="12.75" customHeight="1">
      <c r="A46" s="16" t="s">
        <v>76</v>
      </c>
      <c r="B46" s="51">
        <f>SUMIFS(Detalle!$F$2:$F$723,Detalle!$A$2:$A$723,B$2,Detalle!$E$2:$E$723,$A46)</f>
        <v>0</v>
      </c>
      <c r="C46" s="51">
        <f>SUMIFS(Detalle!$F$2:$F$723,Detalle!$A$2:$A$723,C$2,Detalle!$E$2:$E$723,$A46)</f>
        <v>0</v>
      </c>
      <c r="D46" s="51">
        <f>SUMIFS(Detalle!$F$2:$F$723,Detalle!$A$2:$A$723,D$2,Detalle!$E$2:$E$723,$A46)</f>
        <v>0</v>
      </c>
      <c r="E46" s="51">
        <f>SUMIFS(Detalle!$F$2:$F$723,Detalle!$A$2:$A$723,E$2,Detalle!$E$2:$E$723,$A46)</f>
        <v>0</v>
      </c>
      <c r="F46" s="51">
        <f>SUMIFS(Detalle!$F$2:$F$723,Detalle!$A$2:$A$723,F$2,Detalle!$E$2:$E$723,$A46)</f>
        <v>0</v>
      </c>
      <c r="G46" s="51">
        <f>SUMIFS(Detalle!$F$2:$F$723,Detalle!$A$2:$A$723,G$2,Detalle!$E$2:$E$723,$A46)</f>
        <v>0</v>
      </c>
      <c r="H46" s="51">
        <f>SUMIFS(Detalle!$F$2:$F$723,Detalle!$A$2:$A$723,H$2,Detalle!$E$2:$E$723,$A46)</f>
        <v>0</v>
      </c>
      <c r="I46" s="51">
        <f>SUMIFS(Detalle!$F$2:$F$723,Detalle!$A$2:$A$723,I$2,Detalle!$E$2:$E$723,$A46)</f>
        <v>0</v>
      </c>
      <c r="J46" s="51">
        <f>SUMIFS(Detalle!$F$2:$F$723,Detalle!$A$2:$A$723,J$2,Detalle!$E$2:$E$723,$A46)</f>
        <v>0</v>
      </c>
      <c r="K46" s="51">
        <f>SUMIFS(Detalle!$F$2:$F$723,Detalle!$A$2:$A$723,K$2,Detalle!$E$2:$E$723,$A46)</f>
        <v>0</v>
      </c>
      <c r="L46" s="51">
        <f>SUMIFS(Detalle!$F$2:$F$723,Detalle!$A$2:$A$723,L$2,Detalle!$E$2:$E$723,$A46)</f>
        <v>0</v>
      </c>
      <c r="M46" s="51">
        <f>SUMIFS(Detalle!$F$2:$F$723,Detalle!$A$2:$A$723,M$2,Detalle!$E$2:$E$723,$A46)</f>
        <v>0</v>
      </c>
      <c r="N46" s="51">
        <f>SUMIFS(Detalle!$F$2:$F$723,Detalle!$A$2:$A$723,N$2,Detalle!$E$2:$E$723,$A46)</f>
        <v>0</v>
      </c>
      <c r="O46" s="51">
        <f>SUMIFS(Detalle!$F$2:$F$723,Detalle!$A$2:$A$723,O$2,Detalle!$E$2:$E$723,$A46)</f>
        <v>0</v>
      </c>
      <c r="P46" s="51">
        <f>SUMIFS(Detalle!$F$2:$F$723,Detalle!$A$2:$A$723,P$2,Detalle!$E$2:$E$723,$A46)</f>
        <v>0</v>
      </c>
      <c r="Q46" s="51">
        <f>SUMIFS(Detalle!$F$2:$F$723,Detalle!$A$2:$A$723,Q$2,Detalle!$E$2:$E$723,$A46)</f>
        <v>0</v>
      </c>
      <c r="R46" s="51">
        <f>SUMIFS(Detalle!$F$2:$F$723,Detalle!$A$2:$A$723,R$2,Detalle!$E$2:$E$723,$A46)</f>
        <v>0</v>
      </c>
      <c r="S46" s="51">
        <f>SUMIFS(Detalle!$F$2:$F$723,Detalle!$A$2:$A$723,S$2,Detalle!$E$2:$E$723,$A46)</f>
        <v>0</v>
      </c>
      <c r="T46" s="51">
        <f>SUMIFS(Detalle!$F$2:$F$723,Detalle!$A$2:$A$723,T$2,Detalle!$E$2:$E$723,$A46)</f>
        <v>2</v>
      </c>
      <c r="U46" s="51">
        <f>SUMIFS(Detalle!$F$2:$F$723,Detalle!$A$2:$A$723,U$2,Detalle!$E$2:$E$723,$A46)</f>
        <v>0</v>
      </c>
      <c r="V46" s="54">
        <f>SUMIFS(Detalle!$F$2:$F$723,Detalle!$A$2:$A$723,V$2,Detalle!$E$2:$E$723,$A46)</f>
        <v>0</v>
      </c>
    </row>
    <row r="47" spans="1:22" s="2" customFormat="1" ht="12.75" customHeight="1">
      <c r="A47" s="16" t="s">
        <v>77</v>
      </c>
      <c r="B47" s="51">
        <f>SUMIFS(Detalle!$F$2:$F$723,Detalle!$A$2:$A$723,B$2,Detalle!$E$2:$E$723,$A47)</f>
        <v>0</v>
      </c>
      <c r="C47" s="51">
        <f>SUMIFS(Detalle!$F$2:$F$723,Detalle!$A$2:$A$723,C$2,Detalle!$E$2:$E$723,$A47)</f>
        <v>0</v>
      </c>
      <c r="D47" s="51">
        <f>SUMIFS(Detalle!$F$2:$F$723,Detalle!$A$2:$A$723,D$2,Detalle!$E$2:$E$723,$A47)</f>
        <v>0</v>
      </c>
      <c r="E47" s="51">
        <f>SUMIFS(Detalle!$F$2:$F$723,Detalle!$A$2:$A$723,E$2,Detalle!$E$2:$E$723,$A47)</f>
        <v>0</v>
      </c>
      <c r="F47" s="51">
        <f>SUMIFS(Detalle!$F$2:$F$723,Detalle!$A$2:$A$723,F$2,Detalle!$E$2:$E$723,$A47)</f>
        <v>0</v>
      </c>
      <c r="G47" s="51">
        <f>SUMIFS(Detalle!$F$2:$F$723,Detalle!$A$2:$A$723,G$2,Detalle!$E$2:$E$723,$A47)</f>
        <v>0</v>
      </c>
      <c r="H47" s="51">
        <f>SUMIFS(Detalle!$F$2:$F$723,Detalle!$A$2:$A$723,H$2,Detalle!$E$2:$E$723,$A47)</f>
        <v>0</v>
      </c>
      <c r="I47" s="51">
        <f>SUMIFS(Detalle!$F$2:$F$723,Detalle!$A$2:$A$723,I$2,Detalle!$E$2:$E$723,$A47)</f>
        <v>0</v>
      </c>
      <c r="J47" s="51">
        <f>SUMIFS(Detalle!$F$2:$F$723,Detalle!$A$2:$A$723,J$2,Detalle!$E$2:$E$723,$A47)</f>
        <v>0</v>
      </c>
      <c r="K47" s="51">
        <f>SUMIFS(Detalle!$F$2:$F$723,Detalle!$A$2:$A$723,K$2,Detalle!$E$2:$E$723,$A47)</f>
        <v>0</v>
      </c>
      <c r="L47" s="51">
        <f>SUMIFS(Detalle!$F$2:$F$723,Detalle!$A$2:$A$723,L$2,Detalle!$E$2:$E$723,$A47)</f>
        <v>0</v>
      </c>
      <c r="M47" s="51">
        <f>SUMIFS(Detalle!$F$2:$F$723,Detalle!$A$2:$A$723,M$2,Detalle!$E$2:$E$723,$A47)</f>
        <v>0</v>
      </c>
      <c r="N47" s="51">
        <f>SUMIFS(Detalle!$F$2:$F$723,Detalle!$A$2:$A$723,N$2,Detalle!$E$2:$E$723,$A47)</f>
        <v>0</v>
      </c>
      <c r="O47" s="51">
        <f>SUMIFS(Detalle!$F$2:$F$723,Detalle!$A$2:$A$723,O$2,Detalle!$E$2:$E$723,$A47)</f>
        <v>0</v>
      </c>
      <c r="P47" s="51">
        <f>SUMIFS(Detalle!$F$2:$F$723,Detalle!$A$2:$A$723,P$2,Detalle!$E$2:$E$723,$A47)</f>
        <v>0</v>
      </c>
      <c r="Q47" s="51">
        <f>SUMIFS(Detalle!$F$2:$F$723,Detalle!$A$2:$A$723,Q$2,Detalle!$E$2:$E$723,$A47)</f>
        <v>0</v>
      </c>
      <c r="R47" s="51">
        <f>SUMIFS(Detalle!$F$2:$F$723,Detalle!$A$2:$A$723,R$2,Detalle!$E$2:$E$723,$A47)</f>
        <v>0</v>
      </c>
      <c r="S47" s="51">
        <f>SUMIFS(Detalle!$F$2:$F$723,Detalle!$A$2:$A$723,S$2,Detalle!$E$2:$E$723,$A47)</f>
        <v>0</v>
      </c>
      <c r="T47" s="51">
        <f>SUMIFS(Detalle!$F$2:$F$723,Detalle!$A$2:$A$723,T$2,Detalle!$E$2:$E$723,$A47)</f>
        <v>0</v>
      </c>
      <c r="U47" s="51">
        <f>SUMIFS(Detalle!$F$2:$F$723,Detalle!$A$2:$A$723,U$2,Detalle!$E$2:$E$723,$A47)</f>
        <v>0</v>
      </c>
      <c r="V47" s="54">
        <f>SUMIFS(Detalle!$F$2:$F$723,Detalle!$A$2:$A$723,V$2,Detalle!$E$2:$E$723,$A47)</f>
        <v>2</v>
      </c>
    </row>
    <row r="48" spans="1:22" s="2" customFormat="1" ht="12.75" customHeight="1">
      <c r="A48" s="16" t="s">
        <v>78</v>
      </c>
      <c r="B48" s="51">
        <f>SUMIFS(Detalle!$F$2:$F$723,Detalle!$A$2:$A$723,B$2,Detalle!$E$2:$E$723,$A48)</f>
        <v>1</v>
      </c>
      <c r="C48" s="51">
        <f>SUMIFS(Detalle!$F$2:$F$723,Detalle!$A$2:$A$723,C$2,Detalle!$E$2:$E$723,$A48)</f>
        <v>0</v>
      </c>
      <c r="D48" s="51">
        <f>SUMIFS(Detalle!$F$2:$F$723,Detalle!$A$2:$A$723,D$2,Detalle!$E$2:$E$723,$A48)</f>
        <v>0</v>
      </c>
      <c r="E48" s="51">
        <f>SUMIFS(Detalle!$F$2:$F$723,Detalle!$A$2:$A$723,E$2,Detalle!$E$2:$E$723,$A48)</f>
        <v>0</v>
      </c>
      <c r="F48" s="51">
        <f>SUMIFS(Detalle!$F$2:$F$723,Detalle!$A$2:$A$723,F$2,Detalle!$E$2:$E$723,$A48)</f>
        <v>0</v>
      </c>
      <c r="G48" s="51">
        <f>SUMIFS(Detalle!$F$2:$F$723,Detalle!$A$2:$A$723,G$2,Detalle!$E$2:$E$723,$A48)</f>
        <v>0</v>
      </c>
      <c r="H48" s="51">
        <f>SUMIFS(Detalle!$F$2:$F$723,Detalle!$A$2:$A$723,H$2,Detalle!$E$2:$E$723,$A48)</f>
        <v>0</v>
      </c>
      <c r="I48" s="51">
        <f>SUMIFS(Detalle!$F$2:$F$723,Detalle!$A$2:$A$723,I$2,Detalle!$E$2:$E$723,$A48)</f>
        <v>0</v>
      </c>
      <c r="J48" s="51">
        <f>SUMIFS(Detalle!$F$2:$F$723,Detalle!$A$2:$A$723,J$2,Detalle!$E$2:$E$723,$A48)</f>
        <v>0</v>
      </c>
      <c r="K48" s="51">
        <f>SUMIFS(Detalle!$F$2:$F$723,Detalle!$A$2:$A$723,K$2,Detalle!$E$2:$E$723,$A48)</f>
        <v>0</v>
      </c>
      <c r="L48" s="51">
        <f>SUMIFS(Detalle!$F$2:$F$723,Detalle!$A$2:$A$723,L$2,Detalle!$E$2:$E$723,$A48)</f>
        <v>0</v>
      </c>
      <c r="M48" s="51">
        <f>SUMIFS(Detalle!$F$2:$F$723,Detalle!$A$2:$A$723,M$2,Detalle!$E$2:$E$723,$A48)</f>
        <v>0</v>
      </c>
      <c r="N48" s="51">
        <f>SUMIFS(Detalle!$F$2:$F$723,Detalle!$A$2:$A$723,N$2,Detalle!$E$2:$E$723,$A48)</f>
        <v>0</v>
      </c>
      <c r="O48" s="51">
        <f>SUMIFS(Detalle!$F$2:$F$723,Detalle!$A$2:$A$723,O$2,Detalle!$E$2:$E$723,$A48)</f>
        <v>0</v>
      </c>
      <c r="P48" s="51">
        <f>SUMIFS(Detalle!$F$2:$F$723,Detalle!$A$2:$A$723,P$2,Detalle!$E$2:$E$723,$A48)</f>
        <v>0</v>
      </c>
      <c r="Q48" s="51">
        <f>SUMIFS(Detalle!$F$2:$F$723,Detalle!$A$2:$A$723,Q$2,Detalle!$E$2:$E$723,$A48)</f>
        <v>0</v>
      </c>
      <c r="R48" s="51">
        <f>SUMIFS(Detalle!$F$2:$F$723,Detalle!$A$2:$A$723,R$2,Detalle!$E$2:$E$723,$A48)</f>
        <v>0</v>
      </c>
      <c r="S48" s="51">
        <f>SUMIFS(Detalle!$F$2:$F$723,Detalle!$A$2:$A$723,S$2,Detalle!$E$2:$E$723,$A48)</f>
        <v>0</v>
      </c>
      <c r="T48" s="51">
        <f>SUMIFS(Detalle!$F$2:$F$723,Detalle!$A$2:$A$723,T$2,Detalle!$E$2:$E$723,$A48)</f>
        <v>0</v>
      </c>
      <c r="U48" s="51">
        <f>SUMIFS(Detalle!$F$2:$F$723,Detalle!$A$2:$A$723,U$2,Detalle!$E$2:$E$723,$A48)</f>
        <v>0</v>
      </c>
      <c r="V48" s="54">
        <f>SUMIFS(Detalle!$F$2:$F$723,Detalle!$A$2:$A$723,V$2,Detalle!$E$2:$E$723,$A48)</f>
        <v>0</v>
      </c>
    </row>
    <row r="49" spans="1:22" s="2" customFormat="1" ht="12.75" customHeight="1">
      <c r="A49" s="16" t="s">
        <v>79</v>
      </c>
      <c r="B49" s="51">
        <f>SUMIFS(Detalle!$F$2:$F$723,Detalle!$A$2:$A$723,B$2,Detalle!$E$2:$E$723,$A49)</f>
        <v>0</v>
      </c>
      <c r="C49" s="51">
        <f>SUMIFS(Detalle!$F$2:$F$723,Detalle!$A$2:$A$723,C$2,Detalle!$E$2:$E$723,$A49)</f>
        <v>0</v>
      </c>
      <c r="D49" s="51">
        <f>SUMIFS(Detalle!$F$2:$F$723,Detalle!$A$2:$A$723,D$2,Detalle!$E$2:$E$723,$A49)</f>
        <v>0</v>
      </c>
      <c r="E49" s="51">
        <f>SUMIFS(Detalle!$F$2:$F$723,Detalle!$A$2:$A$723,E$2,Detalle!$E$2:$E$723,$A49)</f>
        <v>0</v>
      </c>
      <c r="F49" s="51">
        <f>SUMIFS(Detalle!$F$2:$F$723,Detalle!$A$2:$A$723,F$2,Detalle!$E$2:$E$723,$A49)</f>
        <v>0</v>
      </c>
      <c r="G49" s="51">
        <f>SUMIFS(Detalle!$F$2:$F$723,Detalle!$A$2:$A$723,G$2,Detalle!$E$2:$E$723,$A49)</f>
        <v>0</v>
      </c>
      <c r="H49" s="51">
        <f>SUMIFS(Detalle!$F$2:$F$723,Detalle!$A$2:$A$723,H$2,Detalle!$E$2:$E$723,$A49)</f>
        <v>0</v>
      </c>
      <c r="I49" s="51">
        <f>SUMIFS(Detalle!$F$2:$F$723,Detalle!$A$2:$A$723,I$2,Detalle!$E$2:$E$723,$A49)</f>
        <v>0</v>
      </c>
      <c r="J49" s="51">
        <f>SUMIFS(Detalle!$F$2:$F$723,Detalle!$A$2:$A$723,J$2,Detalle!$E$2:$E$723,$A49)</f>
        <v>0</v>
      </c>
      <c r="K49" s="51">
        <f>SUMIFS(Detalle!$F$2:$F$723,Detalle!$A$2:$A$723,K$2,Detalle!$E$2:$E$723,$A49)</f>
        <v>0</v>
      </c>
      <c r="L49" s="51">
        <f>SUMIFS(Detalle!$F$2:$F$723,Detalle!$A$2:$A$723,L$2,Detalle!$E$2:$E$723,$A49)</f>
        <v>0</v>
      </c>
      <c r="M49" s="51">
        <f>SUMIFS(Detalle!$F$2:$F$723,Detalle!$A$2:$A$723,M$2,Detalle!$E$2:$E$723,$A49)</f>
        <v>0</v>
      </c>
      <c r="N49" s="51">
        <f>SUMIFS(Detalle!$F$2:$F$723,Detalle!$A$2:$A$723,N$2,Detalle!$E$2:$E$723,$A49)</f>
        <v>0</v>
      </c>
      <c r="O49" s="51">
        <f>SUMIFS(Detalle!$F$2:$F$723,Detalle!$A$2:$A$723,O$2,Detalle!$E$2:$E$723,$A49)</f>
        <v>0</v>
      </c>
      <c r="P49" s="51">
        <f>SUMIFS(Detalle!$F$2:$F$723,Detalle!$A$2:$A$723,P$2,Detalle!$E$2:$E$723,$A49)</f>
        <v>0</v>
      </c>
      <c r="Q49" s="51">
        <f>SUMIFS(Detalle!$F$2:$F$723,Detalle!$A$2:$A$723,Q$2,Detalle!$E$2:$E$723,$A49)</f>
        <v>0</v>
      </c>
      <c r="R49" s="51">
        <f>SUMIFS(Detalle!$F$2:$F$723,Detalle!$A$2:$A$723,R$2,Detalle!$E$2:$E$723,$A49)</f>
        <v>0</v>
      </c>
      <c r="S49" s="51">
        <f>SUMIFS(Detalle!$F$2:$F$723,Detalle!$A$2:$A$723,S$2,Detalle!$E$2:$E$723,$A49)</f>
        <v>0</v>
      </c>
      <c r="T49" s="51">
        <f>SUMIFS(Detalle!$F$2:$F$723,Detalle!$A$2:$A$723,T$2,Detalle!$E$2:$E$723,$A49)</f>
        <v>0</v>
      </c>
      <c r="U49" s="51">
        <f>SUMIFS(Detalle!$F$2:$F$723,Detalle!$A$2:$A$723,U$2,Detalle!$E$2:$E$723,$A49)</f>
        <v>1</v>
      </c>
      <c r="V49" s="54">
        <f>SUMIFS(Detalle!$F$2:$F$723,Detalle!$A$2:$A$723,V$2,Detalle!$E$2:$E$723,$A49)</f>
        <v>0</v>
      </c>
    </row>
    <row r="50" spans="1:22" s="2" customFormat="1" ht="12.75" customHeight="1">
      <c r="A50" s="25" t="s">
        <v>80</v>
      </c>
      <c r="B50" s="56">
        <f>SUMIFS(Detalle!$F$2:$F$723,Detalle!$A$2:$A$723,B$2,Detalle!$E$2:$E$723,$A50)</f>
        <v>0</v>
      </c>
      <c r="C50" s="56">
        <f>SUMIFS(Detalle!$F$2:$F$723,Detalle!$A$2:$A$723,C$2,Detalle!$E$2:$E$723,$A50)</f>
        <v>0</v>
      </c>
      <c r="D50" s="56">
        <f>SUMIFS(Detalle!$F$2:$F$723,Detalle!$A$2:$A$723,D$2,Detalle!$E$2:$E$723,$A50)</f>
        <v>0</v>
      </c>
      <c r="E50" s="56">
        <f>SUMIFS(Detalle!$F$2:$F$723,Detalle!$A$2:$A$723,E$2,Detalle!$E$2:$E$723,$A50)</f>
        <v>0</v>
      </c>
      <c r="F50" s="56">
        <f>SUMIFS(Detalle!$F$2:$F$723,Detalle!$A$2:$A$723,F$2,Detalle!$E$2:$E$723,$A50)</f>
        <v>0</v>
      </c>
      <c r="G50" s="56">
        <f>SUMIFS(Detalle!$F$2:$F$723,Detalle!$A$2:$A$723,G$2,Detalle!$E$2:$E$723,$A50)</f>
        <v>0</v>
      </c>
      <c r="H50" s="56">
        <f>SUMIFS(Detalle!$F$2:$F$723,Detalle!$A$2:$A$723,H$2,Detalle!$E$2:$E$723,$A50)</f>
        <v>0</v>
      </c>
      <c r="I50" s="56">
        <f>SUMIFS(Detalle!$F$2:$F$723,Detalle!$A$2:$A$723,I$2,Detalle!$E$2:$E$723,$A50)</f>
        <v>0</v>
      </c>
      <c r="J50" s="56">
        <f>SUMIFS(Detalle!$F$2:$F$723,Detalle!$A$2:$A$723,J$2,Detalle!$E$2:$E$723,$A50)</f>
        <v>0</v>
      </c>
      <c r="K50" s="56">
        <f>SUMIFS(Detalle!$F$2:$F$723,Detalle!$A$2:$A$723,K$2,Detalle!$E$2:$E$723,$A50)</f>
        <v>0</v>
      </c>
      <c r="L50" s="56">
        <f>SUMIFS(Detalle!$F$2:$F$723,Detalle!$A$2:$A$723,L$2,Detalle!$E$2:$E$723,$A50)</f>
        <v>0</v>
      </c>
      <c r="M50" s="56">
        <f>SUMIFS(Detalle!$F$2:$F$723,Detalle!$A$2:$A$723,M$2,Detalle!$E$2:$E$723,$A50)</f>
        <v>0</v>
      </c>
      <c r="N50" s="56">
        <f>SUMIFS(Detalle!$F$2:$F$723,Detalle!$A$2:$A$723,N$2,Detalle!$E$2:$E$723,$A50)</f>
        <v>0</v>
      </c>
      <c r="O50" s="56">
        <f>SUMIFS(Detalle!$F$2:$F$723,Detalle!$A$2:$A$723,O$2,Detalle!$E$2:$E$723,$A50)</f>
        <v>0</v>
      </c>
      <c r="P50" s="56">
        <f>SUMIFS(Detalle!$F$2:$F$723,Detalle!$A$2:$A$723,P$2,Detalle!$E$2:$E$723,$A50)</f>
        <v>0</v>
      </c>
      <c r="Q50" s="56">
        <f>SUMIFS(Detalle!$F$2:$F$723,Detalle!$A$2:$A$723,Q$2,Detalle!$E$2:$E$723,$A50)</f>
        <v>0</v>
      </c>
      <c r="R50" s="56">
        <f>SUMIFS(Detalle!$F$2:$F$723,Detalle!$A$2:$A$723,R$2,Detalle!$E$2:$E$723,$A50)</f>
        <v>1</v>
      </c>
      <c r="S50" s="56">
        <f>SUMIFS(Detalle!$F$2:$F$723,Detalle!$A$2:$A$723,S$2,Detalle!$E$2:$E$723,$A50)</f>
        <v>0</v>
      </c>
      <c r="T50" s="56">
        <f>SUMIFS(Detalle!$F$2:$F$723,Detalle!$A$2:$A$723,T$2,Detalle!$E$2:$E$723,$A50)</f>
        <v>0</v>
      </c>
      <c r="U50" s="56">
        <f>SUMIFS(Detalle!$F$2:$F$723,Detalle!$A$2:$A$723,U$2,Detalle!$E$2:$E$723,$A50)</f>
        <v>0</v>
      </c>
      <c r="V50" s="57">
        <f>SUMIFS(Detalle!$F$2:$F$723,Detalle!$A$2:$A$723,V$2,Detalle!$E$2:$E$723,$A50)</f>
        <v>0</v>
      </c>
    </row>
  </sheetData>
  <mergeCells count="1">
    <mergeCell ref="A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23"/>
  <sheetViews>
    <sheetView tabSelected="1" workbookViewId="0">
      <selection activeCell="N16" sqref="N16"/>
    </sheetView>
  </sheetViews>
  <sheetFormatPr baseColWidth="10" defaultColWidth="8.6640625" defaultRowHeight="14"/>
  <cols>
    <col min="1" max="1" width="13" style="3" customWidth="1"/>
    <col min="2" max="2" width="14" style="3" customWidth="1"/>
    <col min="3" max="3" width="9" style="3" customWidth="1"/>
    <col min="4" max="4" width="18" style="3" customWidth="1"/>
    <col min="5" max="5" width="32" style="3" customWidth="1"/>
    <col min="6" max="6" width="10" customWidth="1"/>
    <col min="7" max="7" width="12" customWidth="1"/>
    <col min="8" max="8" width="32" style="3" customWidth="1"/>
  </cols>
  <sheetData>
    <row r="1" spans="1:8" ht="16.75" customHeight="1">
      <c r="A1" s="26" t="s">
        <v>1</v>
      </c>
      <c r="B1" s="27" t="s">
        <v>82</v>
      </c>
      <c r="C1" s="27" t="s">
        <v>83</v>
      </c>
      <c r="D1" s="27" t="s">
        <v>84</v>
      </c>
      <c r="E1" s="27" t="s">
        <v>85</v>
      </c>
      <c r="F1" s="27" t="s">
        <v>86</v>
      </c>
      <c r="G1" s="27" t="s">
        <v>87</v>
      </c>
      <c r="H1" s="28" t="s">
        <v>88</v>
      </c>
    </row>
    <row r="2" spans="1:8" ht="12" customHeight="1">
      <c r="A2" s="29" t="s">
        <v>6</v>
      </c>
      <c r="B2" s="30" t="s">
        <v>89</v>
      </c>
      <c r="C2" s="58">
        <v>1</v>
      </c>
      <c r="D2" s="30" t="s">
        <v>90</v>
      </c>
      <c r="E2" s="30" t="s">
        <v>54</v>
      </c>
      <c r="F2" s="58">
        <v>1</v>
      </c>
      <c r="G2" s="58">
        <v>5</v>
      </c>
      <c r="H2" s="31" t="s">
        <v>54</v>
      </c>
    </row>
    <row r="3" spans="1:8" ht="12" customHeight="1">
      <c r="A3" s="32" t="s">
        <v>6</v>
      </c>
      <c r="B3" s="8" t="s">
        <v>89</v>
      </c>
      <c r="C3" s="59">
        <v>2</v>
      </c>
      <c r="D3" s="8" t="s">
        <v>91</v>
      </c>
      <c r="E3" s="8" t="s">
        <v>54</v>
      </c>
      <c r="F3" s="59">
        <v>1</v>
      </c>
      <c r="G3" s="59">
        <v>6</v>
      </c>
      <c r="H3" s="33" t="s">
        <v>54</v>
      </c>
    </row>
    <row r="4" spans="1:8" ht="12" customHeight="1">
      <c r="A4" s="32" t="s">
        <v>6</v>
      </c>
      <c r="B4" s="8" t="s">
        <v>89</v>
      </c>
      <c r="C4" s="59">
        <v>3</v>
      </c>
      <c r="D4" s="8" t="s">
        <v>92</v>
      </c>
      <c r="E4" s="8" t="s">
        <v>58</v>
      </c>
      <c r="F4" s="59">
        <v>1</v>
      </c>
      <c r="G4" s="59">
        <v>8</v>
      </c>
      <c r="H4" s="33" t="s">
        <v>58</v>
      </c>
    </row>
    <row r="5" spans="1:8" ht="12" customHeight="1">
      <c r="A5" s="32" t="s">
        <v>6</v>
      </c>
      <c r="B5" s="8" t="s">
        <v>89</v>
      </c>
      <c r="C5" s="59">
        <v>4</v>
      </c>
      <c r="D5" s="8" t="s">
        <v>93</v>
      </c>
      <c r="E5" s="8" t="s">
        <v>58</v>
      </c>
      <c r="F5" s="59">
        <v>1</v>
      </c>
      <c r="G5" s="59">
        <v>9</v>
      </c>
      <c r="H5" s="33" t="s">
        <v>58</v>
      </c>
    </row>
    <row r="6" spans="1:8" ht="12" customHeight="1">
      <c r="A6" s="32" t="s">
        <v>6</v>
      </c>
      <c r="B6" s="8" t="s">
        <v>89</v>
      </c>
      <c r="C6" s="59">
        <v>5</v>
      </c>
      <c r="D6" s="8" t="s">
        <v>94</v>
      </c>
      <c r="E6" s="8" t="s">
        <v>37</v>
      </c>
      <c r="F6" s="59">
        <v>1</v>
      </c>
      <c r="G6" s="59">
        <v>10</v>
      </c>
      <c r="H6" s="33" t="s">
        <v>95</v>
      </c>
    </row>
    <row r="7" spans="1:8" ht="12" customHeight="1">
      <c r="A7" s="32" t="s">
        <v>6</v>
      </c>
      <c r="B7" s="8" t="s">
        <v>89</v>
      </c>
      <c r="C7" s="59">
        <v>6</v>
      </c>
      <c r="D7" s="8" t="s">
        <v>96</v>
      </c>
      <c r="E7" s="8" t="s">
        <v>67</v>
      </c>
      <c r="F7" s="59">
        <v>1</v>
      </c>
      <c r="G7" s="59">
        <v>12</v>
      </c>
      <c r="H7" s="33" t="s">
        <v>67</v>
      </c>
    </row>
    <row r="8" spans="1:8" ht="12" customHeight="1">
      <c r="A8" s="32" t="s">
        <v>6</v>
      </c>
      <c r="B8" s="8" t="s">
        <v>89</v>
      </c>
      <c r="C8" s="59">
        <v>7</v>
      </c>
      <c r="D8" s="8" t="s">
        <v>97</v>
      </c>
      <c r="E8" s="8" t="s">
        <v>67</v>
      </c>
      <c r="F8" s="59">
        <v>1</v>
      </c>
      <c r="G8" s="59">
        <v>13</v>
      </c>
      <c r="H8" s="33" t="s">
        <v>67</v>
      </c>
    </row>
    <row r="9" spans="1:8" ht="12" customHeight="1">
      <c r="A9" s="32" t="s">
        <v>6</v>
      </c>
      <c r="B9" s="8" t="s">
        <v>98</v>
      </c>
      <c r="C9" s="59">
        <v>1</v>
      </c>
      <c r="D9" s="8" t="s">
        <v>90</v>
      </c>
      <c r="E9" s="8" t="s">
        <v>53</v>
      </c>
      <c r="F9" s="59">
        <v>1</v>
      </c>
      <c r="G9" s="59">
        <v>5</v>
      </c>
      <c r="H9" s="33" t="s">
        <v>53</v>
      </c>
    </row>
    <row r="10" spans="1:8" ht="12" customHeight="1">
      <c r="A10" s="32" t="s">
        <v>6</v>
      </c>
      <c r="B10" s="8" t="s">
        <v>98</v>
      </c>
      <c r="C10" s="59">
        <v>2</v>
      </c>
      <c r="D10" s="8" t="s">
        <v>91</v>
      </c>
      <c r="E10" s="8" t="s">
        <v>53</v>
      </c>
      <c r="F10" s="59">
        <v>1</v>
      </c>
      <c r="G10" s="59">
        <v>6</v>
      </c>
      <c r="H10" s="33" t="s">
        <v>53</v>
      </c>
    </row>
    <row r="11" spans="1:8" ht="12" customHeight="1">
      <c r="A11" s="32" t="s">
        <v>6</v>
      </c>
      <c r="B11" s="8" t="s">
        <v>98</v>
      </c>
      <c r="C11" s="59">
        <v>3</v>
      </c>
      <c r="D11" s="8" t="s">
        <v>92</v>
      </c>
      <c r="E11" s="8" t="s">
        <v>33</v>
      </c>
      <c r="F11" s="59">
        <v>1</v>
      </c>
      <c r="G11" s="59">
        <v>8</v>
      </c>
      <c r="H11" s="33" t="s">
        <v>33</v>
      </c>
    </row>
    <row r="12" spans="1:8" ht="12" customHeight="1">
      <c r="A12" s="32" t="s">
        <v>6</v>
      </c>
      <c r="B12" s="8" t="s">
        <v>98</v>
      </c>
      <c r="C12" s="59">
        <v>4</v>
      </c>
      <c r="D12" s="8" t="s">
        <v>93</v>
      </c>
      <c r="E12" s="8" t="s">
        <v>48</v>
      </c>
      <c r="F12" s="59">
        <v>1</v>
      </c>
      <c r="G12" s="59">
        <v>9</v>
      </c>
      <c r="H12" s="33" t="s">
        <v>48</v>
      </c>
    </row>
    <row r="13" spans="1:8" ht="12" customHeight="1">
      <c r="A13" s="32" t="s">
        <v>6</v>
      </c>
      <c r="B13" s="8" t="s">
        <v>98</v>
      </c>
      <c r="C13" s="59">
        <v>5</v>
      </c>
      <c r="D13" s="8" t="s">
        <v>94</v>
      </c>
      <c r="E13" s="8" t="s">
        <v>50</v>
      </c>
      <c r="F13" s="59">
        <v>1</v>
      </c>
      <c r="G13" s="59">
        <v>10</v>
      </c>
      <c r="H13" s="33" t="s">
        <v>50</v>
      </c>
    </row>
    <row r="14" spans="1:8" ht="12" customHeight="1">
      <c r="A14" s="32" t="s">
        <v>6</v>
      </c>
      <c r="B14" s="8" t="s">
        <v>98</v>
      </c>
      <c r="C14" s="59">
        <v>6</v>
      </c>
      <c r="D14" s="8" t="s">
        <v>96</v>
      </c>
      <c r="E14" s="8" t="s">
        <v>46</v>
      </c>
      <c r="F14" s="59">
        <v>1</v>
      </c>
      <c r="G14" s="59">
        <v>12</v>
      </c>
      <c r="H14" s="33" t="s">
        <v>46</v>
      </c>
    </row>
    <row r="15" spans="1:8" ht="12" customHeight="1">
      <c r="A15" s="32" t="s">
        <v>6</v>
      </c>
      <c r="B15" s="8" t="s">
        <v>98</v>
      </c>
      <c r="C15" s="59">
        <v>7</v>
      </c>
      <c r="D15" s="8" t="s">
        <v>97</v>
      </c>
      <c r="E15" s="8" t="s">
        <v>53</v>
      </c>
      <c r="F15" s="59">
        <v>1</v>
      </c>
      <c r="G15" s="59">
        <v>13</v>
      </c>
      <c r="H15" s="33" t="s">
        <v>53</v>
      </c>
    </row>
    <row r="16" spans="1:8" ht="12" customHeight="1">
      <c r="A16" s="32" t="s">
        <v>6</v>
      </c>
      <c r="B16" s="8" t="s">
        <v>99</v>
      </c>
      <c r="C16" s="59">
        <v>1</v>
      </c>
      <c r="D16" s="8" t="s">
        <v>90</v>
      </c>
      <c r="E16" s="8" t="s">
        <v>42</v>
      </c>
      <c r="F16" s="59">
        <v>1</v>
      </c>
      <c r="G16" s="59">
        <v>5</v>
      </c>
      <c r="H16" s="33" t="s">
        <v>42</v>
      </c>
    </row>
    <row r="17" spans="1:8" ht="12" customHeight="1">
      <c r="A17" s="32" t="s">
        <v>6</v>
      </c>
      <c r="B17" s="8" t="s">
        <v>99</v>
      </c>
      <c r="C17" s="59">
        <v>2</v>
      </c>
      <c r="D17" s="8" t="s">
        <v>91</v>
      </c>
      <c r="E17" s="8" t="s">
        <v>53</v>
      </c>
      <c r="F17" s="59">
        <v>1</v>
      </c>
      <c r="G17" s="59">
        <v>6</v>
      </c>
      <c r="H17" s="33" t="s">
        <v>53</v>
      </c>
    </row>
    <row r="18" spans="1:8" ht="12" customHeight="1">
      <c r="A18" s="32" t="s">
        <v>6</v>
      </c>
      <c r="B18" s="8" t="s">
        <v>99</v>
      </c>
      <c r="C18" s="59">
        <v>3</v>
      </c>
      <c r="D18" s="8" t="s">
        <v>92</v>
      </c>
      <c r="E18" s="8" t="s">
        <v>53</v>
      </c>
      <c r="F18" s="59">
        <v>1</v>
      </c>
      <c r="G18" s="59">
        <v>8</v>
      </c>
      <c r="H18" s="33" t="s">
        <v>53</v>
      </c>
    </row>
    <row r="19" spans="1:8" ht="12" customHeight="1">
      <c r="A19" s="32" t="s">
        <v>6</v>
      </c>
      <c r="B19" s="8" t="s">
        <v>99</v>
      </c>
      <c r="C19" s="59">
        <v>4</v>
      </c>
      <c r="D19" s="8" t="s">
        <v>93</v>
      </c>
      <c r="E19" s="8" t="s">
        <v>58</v>
      </c>
      <c r="F19" s="59">
        <v>1</v>
      </c>
      <c r="G19" s="59">
        <v>9</v>
      </c>
      <c r="H19" s="33" t="s">
        <v>58</v>
      </c>
    </row>
    <row r="20" spans="1:8" ht="12" customHeight="1">
      <c r="A20" s="32" t="s">
        <v>6</v>
      </c>
      <c r="B20" s="8" t="s">
        <v>99</v>
      </c>
      <c r="C20" s="59">
        <v>5</v>
      </c>
      <c r="D20" s="8" t="s">
        <v>94</v>
      </c>
      <c r="E20" s="8" t="s">
        <v>45</v>
      </c>
      <c r="F20" s="59">
        <v>1</v>
      </c>
      <c r="G20" s="59">
        <v>10</v>
      </c>
      <c r="H20" s="33" t="s">
        <v>45</v>
      </c>
    </row>
    <row r="21" spans="1:8" ht="12" customHeight="1">
      <c r="A21" s="32" t="s">
        <v>6</v>
      </c>
      <c r="B21" s="8" t="s">
        <v>99</v>
      </c>
      <c r="C21" s="59">
        <v>6</v>
      </c>
      <c r="D21" s="8" t="s">
        <v>96</v>
      </c>
      <c r="E21" s="8" t="s">
        <v>54</v>
      </c>
      <c r="F21" s="59">
        <v>1</v>
      </c>
      <c r="G21" s="59">
        <v>12</v>
      </c>
      <c r="H21" s="33" t="s">
        <v>54</v>
      </c>
    </row>
    <row r="22" spans="1:8" ht="12" customHeight="1">
      <c r="A22" s="32" t="s">
        <v>6</v>
      </c>
      <c r="B22" s="8" t="s">
        <v>99</v>
      </c>
      <c r="C22" s="59">
        <v>7</v>
      </c>
      <c r="D22" s="8" t="s">
        <v>97</v>
      </c>
      <c r="E22" s="8" t="s">
        <v>54</v>
      </c>
      <c r="F22" s="59">
        <v>1</v>
      </c>
      <c r="G22" s="59">
        <v>13</v>
      </c>
      <c r="H22" s="33" t="s">
        <v>54</v>
      </c>
    </row>
    <row r="23" spans="1:8" ht="12" customHeight="1">
      <c r="A23" s="32" t="s">
        <v>6</v>
      </c>
      <c r="B23" s="8" t="s">
        <v>100</v>
      </c>
      <c r="C23" s="59">
        <v>1</v>
      </c>
      <c r="D23" s="8" t="s">
        <v>90</v>
      </c>
      <c r="E23" s="8" t="s">
        <v>54</v>
      </c>
      <c r="F23" s="59">
        <v>1</v>
      </c>
      <c r="G23" s="59">
        <v>5</v>
      </c>
      <c r="H23" s="33" t="s">
        <v>54</v>
      </c>
    </row>
    <row r="24" spans="1:8" ht="12" customHeight="1">
      <c r="A24" s="32" t="s">
        <v>6</v>
      </c>
      <c r="B24" s="8" t="s">
        <v>100</v>
      </c>
      <c r="C24" s="59">
        <v>2</v>
      </c>
      <c r="D24" s="8" t="s">
        <v>91</v>
      </c>
      <c r="E24" s="8" t="s">
        <v>54</v>
      </c>
      <c r="F24" s="59">
        <v>1</v>
      </c>
      <c r="G24" s="59">
        <v>6</v>
      </c>
      <c r="H24" s="33" t="s">
        <v>54</v>
      </c>
    </row>
    <row r="25" spans="1:8" ht="12" customHeight="1">
      <c r="A25" s="32" t="s">
        <v>6</v>
      </c>
      <c r="B25" s="8" t="s">
        <v>100</v>
      </c>
      <c r="C25" s="59">
        <v>3</v>
      </c>
      <c r="D25" s="8" t="s">
        <v>92</v>
      </c>
      <c r="E25" s="8" t="s">
        <v>39</v>
      </c>
      <c r="F25" s="59">
        <v>1</v>
      </c>
      <c r="G25" s="59">
        <v>8</v>
      </c>
      <c r="H25" s="33" t="s">
        <v>39</v>
      </c>
    </row>
    <row r="26" spans="1:8" ht="12" customHeight="1">
      <c r="A26" s="32" t="s">
        <v>6</v>
      </c>
      <c r="B26" s="8" t="s">
        <v>100</v>
      </c>
      <c r="C26" s="59">
        <v>4</v>
      </c>
      <c r="D26" s="8" t="s">
        <v>93</v>
      </c>
      <c r="E26" s="8" t="s">
        <v>39</v>
      </c>
      <c r="F26" s="59">
        <v>1</v>
      </c>
      <c r="G26" s="59">
        <v>9</v>
      </c>
      <c r="H26" s="33" t="s">
        <v>39</v>
      </c>
    </row>
    <row r="27" spans="1:8" ht="12" customHeight="1">
      <c r="A27" s="32" t="s">
        <v>6</v>
      </c>
      <c r="B27" s="8" t="s">
        <v>100</v>
      </c>
      <c r="C27" s="59">
        <v>5</v>
      </c>
      <c r="D27" s="8" t="s">
        <v>94</v>
      </c>
      <c r="E27" s="8" t="s">
        <v>38</v>
      </c>
      <c r="F27" s="59">
        <v>1</v>
      </c>
      <c r="G27" s="59">
        <v>10</v>
      </c>
      <c r="H27" s="33" t="s">
        <v>38</v>
      </c>
    </row>
    <row r="28" spans="1:8" ht="12" customHeight="1">
      <c r="A28" s="32" t="s">
        <v>6</v>
      </c>
      <c r="B28" s="8" t="s">
        <v>100</v>
      </c>
      <c r="C28" s="59">
        <v>6</v>
      </c>
      <c r="D28" s="8" t="s">
        <v>96</v>
      </c>
      <c r="E28" s="8" t="s">
        <v>38</v>
      </c>
      <c r="F28" s="59">
        <v>1</v>
      </c>
      <c r="G28" s="59">
        <v>12</v>
      </c>
      <c r="H28" s="33" t="s">
        <v>38</v>
      </c>
    </row>
    <row r="29" spans="1:8" ht="12" customHeight="1">
      <c r="A29" s="32" t="s">
        <v>6</v>
      </c>
      <c r="B29" s="8" t="s">
        <v>100</v>
      </c>
      <c r="C29" s="59">
        <v>7</v>
      </c>
      <c r="D29" s="8" t="s">
        <v>97</v>
      </c>
      <c r="E29" s="8" t="s">
        <v>78</v>
      </c>
      <c r="F29" s="59">
        <v>1</v>
      </c>
      <c r="G29" s="59">
        <v>13</v>
      </c>
      <c r="H29" s="33" t="s">
        <v>78</v>
      </c>
    </row>
    <row r="30" spans="1:8" ht="12" customHeight="1">
      <c r="A30" s="32" t="s">
        <v>6</v>
      </c>
      <c r="B30" s="8" t="s">
        <v>101</v>
      </c>
      <c r="C30" s="59">
        <v>1</v>
      </c>
      <c r="D30" s="8" t="s">
        <v>90</v>
      </c>
      <c r="E30" s="8" t="s">
        <v>41</v>
      </c>
      <c r="F30" s="59">
        <v>1</v>
      </c>
      <c r="G30" s="59">
        <v>5</v>
      </c>
      <c r="H30" s="33" t="s">
        <v>41</v>
      </c>
    </row>
    <row r="31" spans="1:8" ht="12" customHeight="1">
      <c r="A31" s="32" t="s">
        <v>6</v>
      </c>
      <c r="B31" s="8" t="s">
        <v>101</v>
      </c>
      <c r="C31" s="59">
        <v>2</v>
      </c>
      <c r="D31" s="8" t="s">
        <v>91</v>
      </c>
      <c r="E31" s="8" t="s">
        <v>33</v>
      </c>
      <c r="F31" s="59">
        <v>1</v>
      </c>
      <c r="G31" s="59">
        <v>6</v>
      </c>
      <c r="H31" s="33" t="s">
        <v>33</v>
      </c>
    </row>
    <row r="32" spans="1:8" ht="12" customHeight="1">
      <c r="A32" s="32" t="s">
        <v>6</v>
      </c>
      <c r="B32" s="8" t="s">
        <v>101</v>
      </c>
      <c r="C32" s="59">
        <v>3</v>
      </c>
      <c r="D32" s="8" t="s">
        <v>92</v>
      </c>
      <c r="E32" s="8" t="s">
        <v>33</v>
      </c>
      <c r="F32" s="59">
        <v>1</v>
      </c>
      <c r="G32" s="59">
        <v>8</v>
      </c>
      <c r="H32" s="33" t="s">
        <v>33</v>
      </c>
    </row>
    <row r="33" spans="1:8" ht="12" customHeight="1">
      <c r="A33" s="32" t="s">
        <v>6</v>
      </c>
      <c r="B33" s="8" t="s">
        <v>101</v>
      </c>
      <c r="C33" s="59">
        <v>4</v>
      </c>
      <c r="D33" s="8" t="s">
        <v>93</v>
      </c>
      <c r="E33" s="8" t="s">
        <v>53</v>
      </c>
      <c r="F33" s="59">
        <v>1</v>
      </c>
      <c r="G33" s="59">
        <v>9</v>
      </c>
      <c r="H33" s="33" t="s">
        <v>53</v>
      </c>
    </row>
    <row r="34" spans="1:8" ht="12" customHeight="1">
      <c r="A34" s="32" t="s">
        <v>6</v>
      </c>
      <c r="B34" s="8" t="s">
        <v>101</v>
      </c>
      <c r="C34" s="59">
        <v>5</v>
      </c>
      <c r="D34" s="8" t="s">
        <v>94</v>
      </c>
      <c r="E34" s="8" t="s">
        <v>53</v>
      </c>
      <c r="F34" s="59">
        <v>1</v>
      </c>
      <c r="G34" s="59">
        <v>10</v>
      </c>
      <c r="H34" s="33" t="s">
        <v>53</v>
      </c>
    </row>
    <row r="35" spans="1:8" ht="12" customHeight="1">
      <c r="A35" s="32" t="s">
        <v>6</v>
      </c>
      <c r="B35" s="8" t="s">
        <v>101</v>
      </c>
      <c r="C35" s="59">
        <v>6</v>
      </c>
      <c r="D35" s="8" t="s">
        <v>96</v>
      </c>
      <c r="E35" s="8" t="s">
        <v>58</v>
      </c>
      <c r="F35" s="59">
        <v>1</v>
      </c>
      <c r="G35" s="59">
        <v>12</v>
      </c>
      <c r="H35" s="33" t="s">
        <v>58</v>
      </c>
    </row>
    <row r="36" spans="1:8" ht="12" customHeight="1">
      <c r="A36" s="32" t="s">
        <v>6</v>
      </c>
      <c r="B36" s="8" t="s">
        <v>101</v>
      </c>
      <c r="C36" s="59">
        <v>7</v>
      </c>
      <c r="D36" s="8" t="s">
        <v>97</v>
      </c>
      <c r="E36" s="8" t="s">
        <v>58</v>
      </c>
      <c r="F36" s="59">
        <v>1</v>
      </c>
      <c r="G36" s="59">
        <v>13</v>
      </c>
      <c r="H36" s="33" t="s">
        <v>58</v>
      </c>
    </row>
    <row r="37" spans="1:8" ht="12" customHeight="1">
      <c r="A37" s="32" t="s">
        <v>7</v>
      </c>
      <c r="B37" s="8" t="s">
        <v>89</v>
      </c>
      <c r="C37" s="59">
        <v>1</v>
      </c>
      <c r="D37" s="8" t="s">
        <v>90</v>
      </c>
      <c r="E37" s="8" t="s">
        <v>34</v>
      </c>
      <c r="F37" s="59">
        <v>1</v>
      </c>
      <c r="G37" s="59">
        <v>18</v>
      </c>
      <c r="H37" s="33" t="s">
        <v>102</v>
      </c>
    </row>
    <row r="38" spans="1:8" ht="12" customHeight="1">
      <c r="A38" s="32" t="s">
        <v>7</v>
      </c>
      <c r="B38" s="8" t="s">
        <v>89</v>
      </c>
      <c r="C38" s="59">
        <v>2</v>
      </c>
      <c r="D38" s="8" t="s">
        <v>91</v>
      </c>
      <c r="E38" s="8" t="s">
        <v>34</v>
      </c>
      <c r="F38" s="59">
        <v>1</v>
      </c>
      <c r="G38" s="59">
        <v>19</v>
      </c>
      <c r="H38" s="33" t="s">
        <v>102</v>
      </c>
    </row>
    <row r="39" spans="1:8" ht="12" customHeight="1">
      <c r="A39" s="32" t="s">
        <v>7</v>
      </c>
      <c r="B39" s="8" t="s">
        <v>89</v>
      </c>
      <c r="C39" s="59">
        <v>3</v>
      </c>
      <c r="D39" s="8" t="s">
        <v>92</v>
      </c>
      <c r="E39" s="8" t="s">
        <v>40</v>
      </c>
      <c r="F39" s="59">
        <v>1</v>
      </c>
      <c r="G39" s="59">
        <v>21</v>
      </c>
      <c r="H39" s="33" t="s">
        <v>40</v>
      </c>
    </row>
    <row r="40" spans="1:8" ht="12" customHeight="1">
      <c r="A40" s="32" t="s">
        <v>7</v>
      </c>
      <c r="B40" s="8" t="s">
        <v>89</v>
      </c>
      <c r="C40" s="59">
        <v>4</v>
      </c>
      <c r="D40" s="8" t="s">
        <v>93</v>
      </c>
      <c r="E40" s="8" t="s">
        <v>40</v>
      </c>
      <c r="F40" s="59">
        <v>1</v>
      </c>
      <c r="G40" s="59">
        <v>22</v>
      </c>
      <c r="H40" s="33" t="s">
        <v>40</v>
      </c>
    </row>
    <row r="41" spans="1:8" ht="12" customHeight="1">
      <c r="A41" s="32" t="s">
        <v>7</v>
      </c>
      <c r="B41" s="8" t="s">
        <v>89</v>
      </c>
      <c r="C41" s="59">
        <v>5</v>
      </c>
      <c r="D41" s="8" t="s">
        <v>94</v>
      </c>
      <c r="E41" s="8" t="s">
        <v>47</v>
      </c>
      <c r="F41" s="59">
        <v>1</v>
      </c>
      <c r="G41" s="59">
        <v>23</v>
      </c>
      <c r="H41" s="33" t="s">
        <v>47</v>
      </c>
    </row>
    <row r="42" spans="1:8" ht="12" customHeight="1">
      <c r="A42" s="32" t="s">
        <v>7</v>
      </c>
      <c r="B42" s="8" t="s">
        <v>89</v>
      </c>
      <c r="C42" s="59">
        <v>6</v>
      </c>
      <c r="D42" s="8" t="s">
        <v>96</v>
      </c>
      <c r="E42" s="8" t="s">
        <v>33</v>
      </c>
      <c r="F42" s="59">
        <v>1</v>
      </c>
      <c r="G42" s="59">
        <v>25</v>
      </c>
      <c r="H42" s="33" t="s">
        <v>33</v>
      </c>
    </row>
    <row r="43" spans="1:8" ht="12" customHeight="1">
      <c r="A43" s="32" t="s">
        <v>7</v>
      </c>
      <c r="B43" s="8" t="s">
        <v>89</v>
      </c>
      <c r="C43" s="59">
        <v>7</v>
      </c>
      <c r="D43" s="8" t="s">
        <v>97</v>
      </c>
      <c r="E43" s="8" t="s">
        <v>33</v>
      </c>
      <c r="F43" s="59">
        <v>1</v>
      </c>
      <c r="G43" s="59">
        <v>26</v>
      </c>
      <c r="H43" s="33" t="s">
        <v>33</v>
      </c>
    </row>
    <row r="44" spans="1:8" ht="12" customHeight="1">
      <c r="A44" s="32" t="s">
        <v>7</v>
      </c>
      <c r="B44" s="8" t="s">
        <v>98</v>
      </c>
      <c r="C44" s="59">
        <v>1</v>
      </c>
      <c r="D44" s="8" t="s">
        <v>90</v>
      </c>
      <c r="E44" s="8" t="s">
        <v>35</v>
      </c>
      <c r="F44" s="59">
        <v>1</v>
      </c>
      <c r="G44" s="59">
        <v>18</v>
      </c>
      <c r="H44" s="33" t="s">
        <v>35</v>
      </c>
    </row>
    <row r="45" spans="1:8" ht="12" customHeight="1">
      <c r="A45" s="32" t="s">
        <v>7</v>
      </c>
      <c r="B45" s="8" t="s">
        <v>98</v>
      </c>
      <c r="C45" s="59">
        <v>2</v>
      </c>
      <c r="D45" s="8" t="s">
        <v>91</v>
      </c>
      <c r="E45" s="8" t="s">
        <v>35</v>
      </c>
      <c r="F45" s="59">
        <v>1</v>
      </c>
      <c r="G45" s="59">
        <v>19</v>
      </c>
      <c r="H45" s="33" t="s">
        <v>35</v>
      </c>
    </row>
    <row r="46" spans="1:8" ht="12" customHeight="1">
      <c r="A46" s="32" t="s">
        <v>7</v>
      </c>
      <c r="B46" s="8" t="s">
        <v>98</v>
      </c>
      <c r="C46" s="59">
        <v>3</v>
      </c>
      <c r="D46" s="8" t="s">
        <v>92</v>
      </c>
      <c r="E46" s="8" t="s">
        <v>36</v>
      </c>
      <c r="F46" s="59">
        <v>1</v>
      </c>
      <c r="G46" s="59">
        <v>21</v>
      </c>
      <c r="H46" s="33" t="s">
        <v>36</v>
      </c>
    </row>
    <row r="47" spans="1:8" ht="12" customHeight="1">
      <c r="A47" s="32" t="s">
        <v>7</v>
      </c>
      <c r="B47" s="8" t="s">
        <v>98</v>
      </c>
      <c r="C47" s="59">
        <v>4</v>
      </c>
      <c r="D47" s="8" t="s">
        <v>93</v>
      </c>
      <c r="E47" s="8" t="s">
        <v>36</v>
      </c>
      <c r="F47" s="59">
        <v>1</v>
      </c>
      <c r="G47" s="59">
        <v>22</v>
      </c>
      <c r="H47" s="33" t="s">
        <v>36</v>
      </c>
    </row>
    <row r="48" spans="1:8" ht="12" customHeight="1">
      <c r="A48" s="32" t="s">
        <v>7</v>
      </c>
      <c r="B48" s="8" t="s">
        <v>98</v>
      </c>
      <c r="C48" s="59">
        <v>5</v>
      </c>
      <c r="D48" s="8" t="s">
        <v>94</v>
      </c>
      <c r="E48" s="8" t="s">
        <v>50</v>
      </c>
      <c r="F48" s="59">
        <v>1</v>
      </c>
      <c r="G48" s="59">
        <v>23</v>
      </c>
      <c r="H48" s="33" t="s">
        <v>50</v>
      </c>
    </row>
    <row r="49" spans="1:8" ht="12" customHeight="1">
      <c r="A49" s="32" t="s">
        <v>7</v>
      </c>
      <c r="B49" s="8" t="s">
        <v>98</v>
      </c>
      <c r="C49" s="59">
        <v>6</v>
      </c>
      <c r="D49" s="8" t="s">
        <v>96</v>
      </c>
      <c r="E49" s="8" t="s">
        <v>34</v>
      </c>
      <c r="F49" s="59">
        <v>1</v>
      </c>
      <c r="G49" s="59">
        <v>25</v>
      </c>
      <c r="H49" s="33" t="s">
        <v>102</v>
      </c>
    </row>
    <row r="50" spans="1:8" ht="12" customHeight="1">
      <c r="A50" s="32" t="s">
        <v>7</v>
      </c>
      <c r="B50" s="8" t="s">
        <v>98</v>
      </c>
      <c r="C50" s="59">
        <v>7</v>
      </c>
      <c r="D50" s="8" t="s">
        <v>97</v>
      </c>
      <c r="E50" s="8" t="s">
        <v>34</v>
      </c>
      <c r="F50" s="59">
        <v>1</v>
      </c>
      <c r="G50" s="59">
        <v>26</v>
      </c>
      <c r="H50" s="33" t="s">
        <v>102</v>
      </c>
    </row>
    <row r="51" spans="1:8" ht="12" customHeight="1">
      <c r="A51" s="32" t="s">
        <v>7</v>
      </c>
      <c r="B51" s="8" t="s">
        <v>99</v>
      </c>
      <c r="C51" s="59">
        <v>1</v>
      </c>
      <c r="D51" s="8" t="s">
        <v>90</v>
      </c>
      <c r="E51" s="8" t="s">
        <v>49</v>
      </c>
      <c r="F51" s="59">
        <v>1</v>
      </c>
      <c r="G51" s="59">
        <v>18</v>
      </c>
      <c r="H51" s="33" t="s">
        <v>49</v>
      </c>
    </row>
    <row r="52" spans="1:8" ht="12" customHeight="1">
      <c r="A52" s="32" t="s">
        <v>7</v>
      </c>
      <c r="B52" s="8" t="s">
        <v>99</v>
      </c>
      <c r="C52" s="59">
        <v>2</v>
      </c>
      <c r="D52" s="8" t="s">
        <v>91</v>
      </c>
      <c r="E52" s="8" t="s">
        <v>48</v>
      </c>
      <c r="F52" s="59">
        <v>1</v>
      </c>
      <c r="G52" s="59">
        <v>19</v>
      </c>
      <c r="H52" s="33" t="s">
        <v>48</v>
      </c>
    </row>
    <row r="53" spans="1:8" ht="12" customHeight="1">
      <c r="A53" s="32" t="s">
        <v>7</v>
      </c>
      <c r="B53" s="8" t="s">
        <v>99</v>
      </c>
      <c r="C53" s="59">
        <v>3</v>
      </c>
      <c r="D53" s="8" t="s">
        <v>92</v>
      </c>
      <c r="E53" s="8" t="s">
        <v>42</v>
      </c>
      <c r="F53" s="59">
        <v>1</v>
      </c>
      <c r="G53" s="59">
        <v>21</v>
      </c>
      <c r="H53" s="33" t="s">
        <v>42</v>
      </c>
    </row>
    <row r="54" spans="1:8" ht="12" customHeight="1">
      <c r="A54" s="32" t="s">
        <v>7</v>
      </c>
      <c r="B54" s="8" t="s">
        <v>99</v>
      </c>
      <c r="C54" s="59">
        <v>4</v>
      </c>
      <c r="D54" s="8" t="s">
        <v>93</v>
      </c>
      <c r="E54" s="8" t="s">
        <v>34</v>
      </c>
      <c r="F54" s="59">
        <v>1</v>
      </c>
      <c r="G54" s="59">
        <v>22</v>
      </c>
      <c r="H54" s="33" t="s">
        <v>102</v>
      </c>
    </row>
    <row r="55" spans="1:8" ht="12" customHeight="1">
      <c r="A55" s="32" t="s">
        <v>7</v>
      </c>
      <c r="B55" s="8" t="s">
        <v>99</v>
      </c>
      <c r="C55" s="59">
        <v>5</v>
      </c>
      <c r="D55" s="8" t="s">
        <v>94</v>
      </c>
      <c r="E55" s="8" t="s">
        <v>46</v>
      </c>
      <c r="F55" s="59">
        <v>1</v>
      </c>
      <c r="G55" s="59">
        <v>23</v>
      </c>
      <c r="H55" s="33" t="s">
        <v>46</v>
      </c>
    </row>
    <row r="56" spans="1:8" ht="12" customHeight="1">
      <c r="A56" s="32" t="s">
        <v>7</v>
      </c>
      <c r="B56" s="8" t="s">
        <v>99</v>
      </c>
      <c r="C56" s="59">
        <v>6</v>
      </c>
      <c r="D56" s="8" t="s">
        <v>96</v>
      </c>
      <c r="E56" s="8" t="s">
        <v>40</v>
      </c>
      <c r="F56" s="59">
        <v>1</v>
      </c>
      <c r="G56" s="59">
        <v>25</v>
      </c>
      <c r="H56" s="33" t="s">
        <v>40</v>
      </c>
    </row>
    <row r="57" spans="1:8" ht="12" customHeight="1">
      <c r="A57" s="32" t="s">
        <v>7</v>
      </c>
      <c r="B57" s="8" t="s">
        <v>99</v>
      </c>
      <c r="C57" s="59">
        <v>7</v>
      </c>
      <c r="D57" s="8" t="s">
        <v>97</v>
      </c>
      <c r="E57" s="8" t="s">
        <v>40</v>
      </c>
      <c r="F57" s="59">
        <v>1</v>
      </c>
      <c r="G57" s="59">
        <v>26</v>
      </c>
      <c r="H57" s="33" t="s">
        <v>40</v>
      </c>
    </row>
    <row r="58" spans="1:8" ht="12" customHeight="1">
      <c r="A58" s="32" t="s">
        <v>7</v>
      </c>
      <c r="B58" s="8" t="s">
        <v>100</v>
      </c>
      <c r="C58" s="59">
        <v>1</v>
      </c>
      <c r="D58" s="8" t="s">
        <v>90</v>
      </c>
      <c r="E58" s="8" t="s">
        <v>33</v>
      </c>
      <c r="F58" s="59">
        <v>1</v>
      </c>
      <c r="G58" s="59">
        <v>18</v>
      </c>
      <c r="H58" s="33" t="s">
        <v>33</v>
      </c>
    </row>
    <row r="59" spans="1:8" ht="12" customHeight="1">
      <c r="A59" s="32" t="s">
        <v>7</v>
      </c>
      <c r="B59" s="8" t="s">
        <v>100</v>
      </c>
      <c r="C59" s="59">
        <v>2</v>
      </c>
      <c r="D59" s="8" t="s">
        <v>91</v>
      </c>
      <c r="E59" s="8" t="s">
        <v>33</v>
      </c>
      <c r="F59" s="59">
        <v>1</v>
      </c>
      <c r="G59" s="59">
        <v>19</v>
      </c>
      <c r="H59" s="33" t="s">
        <v>33</v>
      </c>
    </row>
    <row r="60" spans="1:8" ht="12" customHeight="1">
      <c r="A60" s="32" t="s">
        <v>7</v>
      </c>
      <c r="B60" s="8" t="s">
        <v>100</v>
      </c>
      <c r="C60" s="59">
        <v>3</v>
      </c>
      <c r="D60" s="8" t="s">
        <v>92</v>
      </c>
      <c r="E60" s="8" t="s">
        <v>38</v>
      </c>
      <c r="F60" s="59">
        <v>1</v>
      </c>
      <c r="G60" s="59">
        <v>21</v>
      </c>
      <c r="H60" s="33" t="s">
        <v>38</v>
      </c>
    </row>
    <row r="61" spans="1:8" ht="12" customHeight="1">
      <c r="A61" s="32" t="s">
        <v>7</v>
      </c>
      <c r="B61" s="8" t="s">
        <v>100</v>
      </c>
      <c r="C61" s="59">
        <v>4</v>
      </c>
      <c r="D61" s="8" t="s">
        <v>93</v>
      </c>
      <c r="E61" s="8" t="s">
        <v>38</v>
      </c>
      <c r="F61" s="59">
        <v>1</v>
      </c>
      <c r="G61" s="59">
        <v>22</v>
      </c>
      <c r="H61" s="33" t="s">
        <v>38</v>
      </c>
    </row>
    <row r="62" spans="1:8" ht="12" customHeight="1">
      <c r="A62" s="32" t="s">
        <v>7</v>
      </c>
      <c r="B62" s="8" t="s">
        <v>100</v>
      </c>
      <c r="C62" s="59">
        <v>5</v>
      </c>
      <c r="D62" s="8" t="s">
        <v>94</v>
      </c>
      <c r="E62" s="8" t="s">
        <v>45</v>
      </c>
      <c r="F62" s="59">
        <v>1</v>
      </c>
      <c r="G62" s="59">
        <v>23</v>
      </c>
      <c r="H62" s="33" t="s">
        <v>45</v>
      </c>
    </row>
    <row r="63" spans="1:8" ht="12" customHeight="1">
      <c r="A63" s="32" t="s">
        <v>7</v>
      </c>
      <c r="B63" s="8" t="s">
        <v>100</v>
      </c>
      <c r="C63" s="59">
        <v>6</v>
      </c>
      <c r="D63" s="8" t="s">
        <v>96</v>
      </c>
      <c r="E63" s="8" t="s">
        <v>35</v>
      </c>
      <c r="F63" s="59">
        <v>1</v>
      </c>
      <c r="G63" s="59">
        <v>25</v>
      </c>
      <c r="H63" s="33" t="s">
        <v>35</v>
      </c>
    </row>
    <row r="64" spans="1:8" ht="12" customHeight="1">
      <c r="A64" s="32" t="s">
        <v>7</v>
      </c>
      <c r="B64" s="8" t="s">
        <v>100</v>
      </c>
      <c r="C64" s="59">
        <v>7</v>
      </c>
      <c r="D64" s="8" t="s">
        <v>97</v>
      </c>
      <c r="E64" s="8" t="s">
        <v>35</v>
      </c>
      <c r="F64" s="59">
        <v>1</v>
      </c>
      <c r="G64" s="59">
        <v>26</v>
      </c>
      <c r="H64" s="33" t="s">
        <v>35</v>
      </c>
    </row>
    <row r="65" spans="1:8" ht="12" customHeight="1">
      <c r="A65" s="32" t="s">
        <v>7</v>
      </c>
      <c r="B65" s="8" t="s">
        <v>101</v>
      </c>
      <c r="C65" s="59">
        <v>1</v>
      </c>
      <c r="D65" s="8" t="s">
        <v>90</v>
      </c>
      <c r="E65" s="8" t="s">
        <v>41</v>
      </c>
      <c r="F65" s="59">
        <v>1</v>
      </c>
      <c r="G65" s="59">
        <v>18</v>
      </c>
      <c r="H65" s="33" t="s">
        <v>41</v>
      </c>
    </row>
    <row r="66" spans="1:8" ht="12" customHeight="1">
      <c r="A66" s="32" t="s">
        <v>7</v>
      </c>
      <c r="B66" s="8" t="s">
        <v>101</v>
      </c>
      <c r="C66" s="59">
        <v>2</v>
      </c>
      <c r="D66" s="8" t="s">
        <v>91</v>
      </c>
      <c r="E66" s="8" t="s">
        <v>39</v>
      </c>
      <c r="F66" s="59">
        <v>1</v>
      </c>
      <c r="G66" s="59">
        <v>19</v>
      </c>
      <c r="H66" s="33" t="s">
        <v>39</v>
      </c>
    </row>
    <row r="67" spans="1:8" ht="12" customHeight="1">
      <c r="A67" s="32" t="s">
        <v>7</v>
      </c>
      <c r="B67" s="8" t="s">
        <v>101</v>
      </c>
      <c r="C67" s="59">
        <v>3</v>
      </c>
      <c r="D67" s="8" t="s">
        <v>92</v>
      </c>
      <c r="E67" s="8" t="s">
        <v>39</v>
      </c>
      <c r="F67" s="59">
        <v>1</v>
      </c>
      <c r="G67" s="59">
        <v>21</v>
      </c>
      <c r="H67" s="33" t="s">
        <v>39</v>
      </c>
    </row>
    <row r="68" spans="1:8" ht="12" customHeight="1">
      <c r="A68" s="32" t="s">
        <v>7</v>
      </c>
      <c r="B68" s="8" t="s">
        <v>101</v>
      </c>
      <c r="C68" s="59">
        <v>4</v>
      </c>
      <c r="D68" s="8" t="s">
        <v>93</v>
      </c>
      <c r="E68" s="8" t="s">
        <v>37</v>
      </c>
      <c r="F68" s="59">
        <v>1</v>
      </c>
      <c r="G68" s="59">
        <v>22</v>
      </c>
      <c r="H68" s="33" t="s">
        <v>37</v>
      </c>
    </row>
    <row r="69" spans="1:8" ht="12" customHeight="1">
      <c r="A69" s="32" t="s">
        <v>7</v>
      </c>
      <c r="B69" s="8" t="s">
        <v>101</v>
      </c>
      <c r="C69" s="59">
        <v>5</v>
      </c>
      <c r="D69" s="8" t="s">
        <v>94</v>
      </c>
      <c r="E69" s="8" t="s">
        <v>37</v>
      </c>
      <c r="F69" s="59">
        <v>1</v>
      </c>
      <c r="G69" s="59">
        <v>23</v>
      </c>
      <c r="H69" s="33" t="s">
        <v>37</v>
      </c>
    </row>
    <row r="70" spans="1:8" ht="12" customHeight="1">
      <c r="A70" s="32" t="s">
        <v>7</v>
      </c>
      <c r="B70" s="8" t="s">
        <v>101</v>
      </c>
      <c r="C70" s="59">
        <v>6</v>
      </c>
      <c r="D70" s="8" t="s">
        <v>96</v>
      </c>
      <c r="E70" s="8" t="s">
        <v>36</v>
      </c>
      <c r="F70" s="59">
        <v>1</v>
      </c>
      <c r="G70" s="59">
        <v>25</v>
      </c>
      <c r="H70" s="33" t="s">
        <v>36</v>
      </c>
    </row>
    <row r="71" spans="1:8" ht="12" customHeight="1">
      <c r="A71" s="32" t="s">
        <v>7</v>
      </c>
      <c r="B71" s="8" t="s">
        <v>101</v>
      </c>
      <c r="C71" s="59">
        <v>7</v>
      </c>
      <c r="D71" s="8" t="s">
        <v>97</v>
      </c>
      <c r="E71" s="8" t="s">
        <v>36</v>
      </c>
      <c r="F71" s="59">
        <v>1</v>
      </c>
      <c r="G71" s="59">
        <v>26</v>
      </c>
      <c r="H71" s="33" t="s">
        <v>36</v>
      </c>
    </row>
    <row r="72" spans="1:8" ht="12" customHeight="1">
      <c r="A72" s="32" t="s">
        <v>8</v>
      </c>
      <c r="B72" s="8" t="s">
        <v>89</v>
      </c>
      <c r="C72" s="59">
        <v>1</v>
      </c>
      <c r="D72" s="8" t="s">
        <v>90</v>
      </c>
      <c r="E72" s="8" t="s">
        <v>40</v>
      </c>
      <c r="F72" s="59">
        <v>1</v>
      </c>
      <c r="G72" s="59">
        <v>32</v>
      </c>
      <c r="H72" s="33" t="s">
        <v>40</v>
      </c>
    </row>
    <row r="73" spans="1:8" ht="12" customHeight="1">
      <c r="A73" s="32" t="s">
        <v>8</v>
      </c>
      <c r="B73" s="8" t="s">
        <v>89</v>
      </c>
      <c r="C73" s="59">
        <v>2</v>
      </c>
      <c r="D73" s="8" t="s">
        <v>91</v>
      </c>
      <c r="E73" s="8" t="s">
        <v>36</v>
      </c>
      <c r="F73" s="59">
        <v>1</v>
      </c>
      <c r="G73" s="59">
        <v>33</v>
      </c>
      <c r="H73" s="33" t="s">
        <v>36</v>
      </c>
    </row>
    <row r="74" spans="1:8" ht="12" customHeight="1">
      <c r="A74" s="32" t="s">
        <v>8</v>
      </c>
      <c r="B74" s="8" t="s">
        <v>89</v>
      </c>
      <c r="C74" s="59">
        <v>3</v>
      </c>
      <c r="D74" s="8" t="s">
        <v>92</v>
      </c>
      <c r="E74" s="8" t="s">
        <v>36</v>
      </c>
      <c r="F74" s="59">
        <v>1</v>
      </c>
      <c r="G74" s="59">
        <v>35</v>
      </c>
      <c r="H74" s="33" t="s">
        <v>36</v>
      </c>
    </row>
    <row r="75" spans="1:8" ht="12" customHeight="1">
      <c r="A75" s="32" t="s">
        <v>8</v>
      </c>
      <c r="B75" s="8" t="s">
        <v>89</v>
      </c>
      <c r="C75" s="59">
        <v>4</v>
      </c>
      <c r="D75" s="8" t="s">
        <v>93</v>
      </c>
      <c r="E75" s="8" t="s">
        <v>38</v>
      </c>
      <c r="F75" s="59">
        <v>1</v>
      </c>
      <c r="G75" s="59">
        <v>36</v>
      </c>
      <c r="H75" s="33" t="s">
        <v>38</v>
      </c>
    </row>
    <row r="76" spans="1:8" ht="12" customHeight="1">
      <c r="A76" s="32" t="s">
        <v>8</v>
      </c>
      <c r="B76" s="8" t="s">
        <v>89</v>
      </c>
      <c r="C76" s="59">
        <v>5</v>
      </c>
      <c r="D76" s="8" t="s">
        <v>94</v>
      </c>
      <c r="E76" s="8" t="s">
        <v>38</v>
      </c>
      <c r="F76" s="59">
        <v>1</v>
      </c>
      <c r="G76" s="59">
        <v>37</v>
      </c>
      <c r="H76" s="33" t="s">
        <v>38</v>
      </c>
    </row>
    <row r="77" spans="1:8" ht="12" customHeight="1">
      <c r="A77" s="32" t="s">
        <v>8</v>
      </c>
      <c r="B77" s="8" t="s">
        <v>89</v>
      </c>
      <c r="C77" s="59">
        <v>6</v>
      </c>
      <c r="D77" s="8" t="s">
        <v>96</v>
      </c>
      <c r="E77" s="8" t="s">
        <v>35</v>
      </c>
      <c r="F77" s="59">
        <v>1</v>
      </c>
      <c r="G77" s="59">
        <v>39</v>
      </c>
      <c r="H77" s="33" t="s">
        <v>35</v>
      </c>
    </row>
    <row r="78" spans="1:8" ht="12" customHeight="1">
      <c r="A78" s="32" t="s">
        <v>8</v>
      </c>
      <c r="B78" s="8" t="s">
        <v>89</v>
      </c>
      <c r="C78" s="59">
        <v>7</v>
      </c>
      <c r="D78" s="8" t="s">
        <v>97</v>
      </c>
      <c r="E78" s="8" t="s">
        <v>35</v>
      </c>
      <c r="F78" s="59">
        <v>1</v>
      </c>
      <c r="G78" s="59">
        <v>40</v>
      </c>
      <c r="H78" s="33" t="s">
        <v>35</v>
      </c>
    </row>
    <row r="79" spans="1:8" ht="12" customHeight="1">
      <c r="A79" s="32" t="s">
        <v>8</v>
      </c>
      <c r="B79" s="8" t="s">
        <v>98</v>
      </c>
      <c r="C79" s="59">
        <v>1</v>
      </c>
      <c r="D79" s="8" t="s">
        <v>90</v>
      </c>
      <c r="E79" s="8" t="s">
        <v>36</v>
      </c>
      <c r="F79" s="59">
        <v>1</v>
      </c>
      <c r="G79" s="59">
        <v>32</v>
      </c>
      <c r="H79" s="33" t="s">
        <v>36</v>
      </c>
    </row>
    <row r="80" spans="1:8" ht="12" customHeight="1">
      <c r="A80" s="32" t="s">
        <v>8</v>
      </c>
      <c r="B80" s="8" t="s">
        <v>98</v>
      </c>
      <c r="C80" s="59">
        <v>2</v>
      </c>
      <c r="D80" s="8" t="s">
        <v>91</v>
      </c>
      <c r="E80" s="8" t="s">
        <v>40</v>
      </c>
      <c r="F80" s="59">
        <v>1</v>
      </c>
      <c r="G80" s="59">
        <v>33</v>
      </c>
      <c r="H80" s="33" t="s">
        <v>40</v>
      </c>
    </row>
    <row r="81" spans="1:8" ht="12" customHeight="1">
      <c r="A81" s="32" t="s">
        <v>8</v>
      </c>
      <c r="B81" s="8" t="s">
        <v>98</v>
      </c>
      <c r="C81" s="59">
        <v>3</v>
      </c>
      <c r="D81" s="8" t="s">
        <v>92</v>
      </c>
      <c r="E81" s="8" t="s">
        <v>40</v>
      </c>
      <c r="F81" s="59">
        <v>1</v>
      </c>
      <c r="G81" s="59">
        <v>35</v>
      </c>
      <c r="H81" s="33" t="s">
        <v>40</v>
      </c>
    </row>
    <row r="82" spans="1:8" ht="12" customHeight="1">
      <c r="A82" s="32" t="s">
        <v>8</v>
      </c>
      <c r="B82" s="8" t="s">
        <v>98</v>
      </c>
      <c r="C82" s="59">
        <v>4</v>
      </c>
      <c r="D82" s="8" t="s">
        <v>93</v>
      </c>
      <c r="E82" s="8" t="s">
        <v>33</v>
      </c>
      <c r="F82" s="59">
        <v>1</v>
      </c>
      <c r="G82" s="59">
        <v>36</v>
      </c>
      <c r="H82" s="33" t="s">
        <v>33</v>
      </c>
    </row>
    <row r="83" spans="1:8" ht="12" customHeight="1">
      <c r="A83" s="32" t="s">
        <v>8</v>
      </c>
      <c r="B83" s="8" t="s">
        <v>98</v>
      </c>
      <c r="C83" s="59">
        <v>5</v>
      </c>
      <c r="D83" s="8" t="s">
        <v>94</v>
      </c>
      <c r="E83" s="8" t="s">
        <v>33</v>
      </c>
      <c r="F83" s="59">
        <v>1</v>
      </c>
      <c r="G83" s="59">
        <v>37</v>
      </c>
      <c r="H83" s="33" t="s">
        <v>33</v>
      </c>
    </row>
    <row r="84" spans="1:8" ht="12" customHeight="1">
      <c r="A84" s="32" t="s">
        <v>8</v>
      </c>
      <c r="B84" s="8" t="s">
        <v>98</v>
      </c>
      <c r="C84" s="59">
        <v>6</v>
      </c>
      <c r="D84" s="8" t="s">
        <v>96</v>
      </c>
      <c r="E84" s="8" t="s">
        <v>37</v>
      </c>
      <c r="F84" s="59">
        <v>1</v>
      </c>
      <c r="G84" s="59">
        <v>39</v>
      </c>
      <c r="H84" s="33" t="s">
        <v>37</v>
      </c>
    </row>
    <row r="85" spans="1:8" ht="12" customHeight="1">
      <c r="A85" s="32" t="s">
        <v>8</v>
      </c>
      <c r="B85" s="8" t="s">
        <v>98</v>
      </c>
      <c r="C85" s="59">
        <v>7</v>
      </c>
      <c r="D85" s="8" t="s">
        <v>97</v>
      </c>
      <c r="E85" s="8" t="s">
        <v>37</v>
      </c>
      <c r="F85" s="59">
        <v>1</v>
      </c>
      <c r="G85" s="59">
        <v>40</v>
      </c>
      <c r="H85" s="33" t="s">
        <v>37</v>
      </c>
    </row>
    <row r="86" spans="1:8" ht="12" customHeight="1">
      <c r="A86" s="32" t="s">
        <v>8</v>
      </c>
      <c r="B86" s="8" t="s">
        <v>99</v>
      </c>
      <c r="C86" s="59">
        <v>1</v>
      </c>
      <c r="D86" s="8" t="s">
        <v>90</v>
      </c>
      <c r="E86" s="8" t="s">
        <v>33</v>
      </c>
      <c r="F86" s="59">
        <v>1</v>
      </c>
      <c r="G86" s="59">
        <v>32</v>
      </c>
      <c r="H86" s="33" t="s">
        <v>33</v>
      </c>
    </row>
    <row r="87" spans="1:8" ht="12" customHeight="1">
      <c r="A87" s="32" t="s">
        <v>8</v>
      </c>
      <c r="B87" s="8" t="s">
        <v>99</v>
      </c>
      <c r="C87" s="59">
        <v>2</v>
      </c>
      <c r="D87" s="8" t="s">
        <v>91</v>
      </c>
      <c r="E87" s="8" t="s">
        <v>33</v>
      </c>
      <c r="F87" s="59">
        <v>1</v>
      </c>
      <c r="G87" s="59">
        <v>33</v>
      </c>
      <c r="H87" s="33" t="s">
        <v>33</v>
      </c>
    </row>
    <row r="88" spans="1:8" ht="12" customHeight="1">
      <c r="A88" s="32" t="s">
        <v>8</v>
      </c>
      <c r="B88" s="8" t="s">
        <v>99</v>
      </c>
      <c r="C88" s="59">
        <v>3</v>
      </c>
      <c r="D88" s="8" t="s">
        <v>92</v>
      </c>
      <c r="E88" s="8" t="s">
        <v>34</v>
      </c>
      <c r="F88" s="59">
        <v>1</v>
      </c>
      <c r="G88" s="59">
        <v>35</v>
      </c>
      <c r="H88" s="33" t="s">
        <v>34</v>
      </c>
    </row>
    <row r="89" spans="1:8" ht="12" customHeight="1">
      <c r="A89" s="32" t="s">
        <v>8</v>
      </c>
      <c r="B89" s="8" t="s">
        <v>99</v>
      </c>
      <c r="C89" s="59">
        <v>4</v>
      </c>
      <c r="D89" s="8" t="s">
        <v>93</v>
      </c>
      <c r="E89" s="8" t="s">
        <v>34</v>
      </c>
      <c r="F89" s="59">
        <v>1</v>
      </c>
      <c r="G89" s="59">
        <v>36</v>
      </c>
      <c r="H89" s="33" t="s">
        <v>34</v>
      </c>
    </row>
    <row r="90" spans="1:8" ht="12" customHeight="1">
      <c r="A90" s="32" t="s">
        <v>8</v>
      </c>
      <c r="B90" s="8" t="s">
        <v>99</v>
      </c>
      <c r="C90" s="59">
        <v>5</v>
      </c>
      <c r="D90" s="8" t="s">
        <v>94</v>
      </c>
      <c r="E90" s="8" t="s">
        <v>50</v>
      </c>
      <c r="F90" s="59">
        <v>1</v>
      </c>
      <c r="G90" s="59">
        <v>37</v>
      </c>
      <c r="H90" s="33" t="s">
        <v>50</v>
      </c>
    </row>
    <row r="91" spans="1:8" ht="12" customHeight="1">
      <c r="A91" s="32" t="s">
        <v>8</v>
      </c>
      <c r="B91" s="8" t="s">
        <v>99</v>
      </c>
      <c r="C91" s="59">
        <v>6</v>
      </c>
      <c r="D91" s="8" t="s">
        <v>96</v>
      </c>
      <c r="E91" s="8" t="s">
        <v>35</v>
      </c>
      <c r="F91" s="59">
        <v>1</v>
      </c>
      <c r="G91" s="59">
        <v>39</v>
      </c>
      <c r="H91" s="33" t="s">
        <v>35</v>
      </c>
    </row>
    <row r="92" spans="1:8" ht="12" customHeight="1">
      <c r="A92" s="32" t="s">
        <v>8</v>
      </c>
      <c r="B92" s="8" t="s">
        <v>99</v>
      </c>
      <c r="C92" s="59">
        <v>7</v>
      </c>
      <c r="D92" s="8" t="s">
        <v>97</v>
      </c>
      <c r="E92" s="8" t="s">
        <v>35</v>
      </c>
      <c r="F92" s="59">
        <v>1</v>
      </c>
      <c r="G92" s="59">
        <v>40</v>
      </c>
      <c r="H92" s="33" t="s">
        <v>35</v>
      </c>
    </row>
    <row r="93" spans="1:8" ht="12" customHeight="1">
      <c r="A93" s="32" t="s">
        <v>8</v>
      </c>
      <c r="B93" s="8" t="s">
        <v>100</v>
      </c>
      <c r="C93" s="59">
        <v>1</v>
      </c>
      <c r="D93" s="8" t="s">
        <v>90</v>
      </c>
      <c r="E93" s="8" t="s">
        <v>39</v>
      </c>
      <c r="F93" s="59">
        <v>1</v>
      </c>
      <c r="G93" s="59">
        <v>32</v>
      </c>
      <c r="H93" s="33" t="s">
        <v>39</v>
      </c>
    </row>
    <row r="94" spans="1:8" ht="12" customHeight="1">
      <c r="A94" s="32" t="s">
        <v>8</v>
      </c>
      <c r="B94" s="8" t="s">
        <v>100</v>
      </c>
      <c r="C94" s="59">
        <v>2</v>
      </c>
      <c r="D94" s="8" t="s">
        <v>91</v>
      </c>
      <c r="E94" s="8" t="s">
        <v>39</v>
      </c>
      <c r="F94" s="59">
        <v>1</v>
      </c>
      <c r="G94" s="59">
        <v>33</v>
      </c>
      <c r="H94" s="33" t="s">
        <v>39</v>
      </c>
    </row>
    <row r="95" spans="1:8" ht="12" customHeight="1">
      <c r="A95" s="32" t="s">
        <v>8</v>
      </c>
      <c r="B95" s="8" t="s">
        <v>100</v>
      </c>
      <c r="C95" s="59">
        <v>3</v>
      </c>
      <c r="D95" s="8" t="s">
        <v>92</v>
      </c>
      <c r="E95" s="8" t="s">
        <v>49</v>
      </c>
      <c r="F95" s="59">
        <v>1</v>
      </c>
      <c r="G95" s="59">
        <v>35</v>
      </c>
      <c r="H95" s="33" t="s">
        <v>49</v>
      </c>
    </row>
    <row r="96" spans="1:8" ht="12" customHeight="1">
      <c r="A96" s="32" t="s">
        <v>8</v>
      </c>
      <c r="B96" s="8" t="s">
        <v>100</v>
      </c>
      <c r="C96" s="59">
        <v>4</v>
      </c>
      <c r="D96" s="8" t="s">
        <v>93</v>
      </c>
      <c r="E96" s="8" t="s">
        <v>45</v>
      </c>
      <c r="F96" s="59">
        <v>1</v>
      </c>
      <c r="G96" s="59">
        <v>36</v>
      </c>
      <c r="H96" s="33" t="s">
        <v>45</v>
      </c>
    </row>
    <row r="97" spans="1:8" ht="12" customHeight="1">
      <c r="A97" s="32" t="s">
        <v>8</v>
      </c>
      <c r="B97" s="8" t="s">
        <v>100</v>
      </c>
      <c r="C97" s="59">
        <v>5</v>
      </c>
      <c r="D97" s="8" t="s">
        <v>94</v>
      </c>
      <c r="E97" s="8" t="s">
        <v>34</v>
      </c>
      <c r="F97" s="59">
        <v>1</v>
      </c>
      <c r="G97" s="59">
        <v>37</v>
      </c>
      <c r="H97" s="33" t="s">
        <v>34</v>
      </c>
    </row>
    <row r="98" spans="1:8" ht="12" customHeight="1">
      <c r="A98" s="32" t="s">
        <v>8</v>
      </c>
      <c r="B98" s="8" t="s">
        <v>100</v>
      </c>
      <c r="C98" s="59">
        <v>6</v>
      </c>
      <c r="D98" s="8" t="s">
        <v>96</v>
      </c>
      <c r="E98" s="8" t="s">
        <v>48</v>
      </c>
      <c r="F98" s="59">
        <v>1</v>
      </c>
      <c r="G98" s="59">
        <v>39</v>
      </c>
      <c r="H98" s="33" t="s">
        <v>48</v>
      </c>
    </row>
    <row r="99" spans="1:8" ht="12" customHeight="1">
      <c r="A99" s="32" t="s">
        <v>8</v>
      </c>
      <c r="B99" s="8" t="s">
        <v>100</v>
      </c>
      <c r="C99" s="59">
        <v>7</v>
      </c>
      <c r="D99" s="8" t="s">
        <v>97</v>
      </c>
      <c r="E99" s="8" t="s">
        <v>42</v>
      </c>
      <c r="F99" s="59">
        <v>1</v>
      </c>
      <c r="G99" s="59">
        <v>40</v>
      </c>
      <c r="H99" s="33" t="s">
        <v>42</v>
      </c>
    </row>
    <row r="100" spans="1:8" ht="12" customHeight="1">
      <c r="A100" s="32" t="s">
        <v>8</v>
      </c>
      <c r="B100" s="8" t="s">
        <v>101</v>
      </c>
      <c r="C100" s="59">
        <v>1</v>
      </c>
      <c r="D100" s="8" t="s">
        <v>90</v>
      </c>
      <c r="E100" s="8" t="s">
        <v>41</v>
      </c>
      <c r="F100" s="59">
        <v>1</v>
      </c>
      <c r="G100" s="59">
        <v>32</v>
      </c>
      <c r="H100" s="33" t="s">
        <v>41</v>
      </c>
    </row>
    <row r="101" spans="1:8" ht="12" customHeight="1">
      <c r="A101" s="32" t="s">
        <v>8</v>
      </c>
      <c r="B101" s="8" t="s">
        <v>101</v>
      </c>
      <c r="C101" s="59">
        <v>2</v>
      </c>
      <c r="D101" s="8" t="s">
        <v>91</v>
      </c>
      <c r="E101" s="8" t="s">
        <v>47</v>
      </c>
      <c r="F101" s="59">
        <v>1</v>
      </c>
      <c r="G101" s="59">
        <v>33</v>
      </c>
      <c r="H101" s="33" t="s">
        <v>47</v>
      </c>
    </row>
    <row r="102" spans="1:8" ht="12" customHeight="1">
      <c r="A102" s="32" t="s">
        <v>8</v>
      </c>
      <c r="B102" s="8" t="s">
        <v>101</v>
      </c>
      <c r="C102" s="59">
        <v>3</v>
      </c>
      <c r="D102" s="8" t="s">
        <v>92</v>
      </c>
      <c r="E102" s="8" t="s">
        <v>34</v>
      </c>
      <c r="F102" s="59">
        <v>1</v>
      </c>
      <c r="G102" s="59">
        <v>35</v>
      </c>
      <c r="H102" s="33" t="s">
        <v>34</v>
      </c>
    </row>
    <row r="103" spans="1:8" ht="12" customHeight="1">
      <c r="A103" s="32" t="s">
        <v>8</v>
      </c>
      <c r="B103" s="8" t="s">
        <v>101</v>
      </c>
      <c r="C103" s="59">
        <v>4</v>
      </c>
      <c r="D103" s="8" t="s">
        <v>93</v>
      </c>
      <c r="E103" s="8" t="s">
        <v>34</v>
      </c>
      <c r="F103" s="59">
        <v>1</v>
      </c>
      <c r="G103" s="59">
        <v>36</v>
      </c>
      <c r="H103" s="33" t="s">
        <v>34</v>
      </c>
    </row>
    <row r="104" spans="1:8" ht="12" customHeight="1">
      <c r="A104" s="32" t="s">
        <v>8</v>
      </c>
      <c r="B104" s="8" t="s">
        <v>101</v>
      </c>
      <c r="C104" s="59">
        <v>5</v>
      </c>
      <c r="D104" s="8" t="s">
        <v>94</v>
      </c>
      <c r="E104" s="8" t="s">
        <v>40</v>
      </c>
      <c r="F104" s="59">
        <v>1</v>
      </c>
      <c r="G104" s="59">
        <v>37</v>
      </c>
      <c r="H104" s="33" t="s">
        <v>40</v>
      </c>
    </row>
    <row r="105" spans="1:8" ht="12" customHeight="1">
      <c r="A105" s="32" t="s">
        <v>8</v>
      </c>
      <c r="B105" s="8" t="s">
        <v>101</v>
      </c>
      <c r="C105" s="59">
        <v>6</v>
      </c>
      <c r="D105" s="8" t="s">
        <v>96</v>
      </c>
      <c r="E105" s="8" t="s">
        <v>36</v>
      </c>
      <c r="F105" s="59">
        <v>1</v>
      </c>
      <c r="G105" s="59">
        <v>39</v>
      </c>
      <c r="H105" s="33" t="s">
        <v>36</v>
      </c>
    </row>
    <row r="106" spans="1:8" ht="12" customHeight="1">
      <c r="A106" s="32" t="s">
        <v>8</v>
      </c>
      <c r="B106" s="8" t="s">
        <v>101</v>
      </c>
      <c r="C106" s="59">
        <v>7</v>
      </c>
      <c r="D106" s="8" t="s">
        <v>97</v>
      </c>
      <c r="E106" s="8" t="s">
        <v>46</v>
      </c>
      <c r="F106" s="59">
        <v>1</v>
      </c>
      <c r="G106" s="59">
        <v>40</v>
      </c>
      <c r="H106" s="33" t="s">
        <v>46</v>
      </c>
    </row>
    <row r="107" spans="1:8" ht="12" customHeight="1">
      <c r="A107" s="32" t="s">
        <v>9</v>
      </c>
      <c r="B107" s="8" t="s">
        <v>89</v>
      </c>
      <c r="C107" s="59">
        <v>1</v>
      </c>
      <c r="D107" s="8" t="s">
        <v>90</v>
      </c>
      <c r="E107" s="8" t="s">
        <v>36</v>
      </c>
      <c r="F107" s="59">
        <v>1</v>
      </c>
      <c r="G107" s="59">
        <v>46</v>
      </c>
      <c r="H107" s="33" t="s">
        <v>36</v>
      </c>
    </row>
    <row r="108" spans="1:8" ht="12" customHeight="1">
      <c r="A108" s="32" t="s">
        <v>9</v>
      </c>
      <c r="B108" s="8" t="s">
        <v>89</v>
      </c>
      <c r="C108" s="59">
        <v>2</v>
      </c>
      <c r="D108" s="8" t="s">
        <v>91</v>
      </c>
      <c r="E108" s="8" t="s">
        <v>39</v>
      </c>
      <c r="F108" s="59">
        <v>1</v>
      </c>
      <c r="G108" s="59">
        <v>47</v>
      </c>
      <c r="H108" s="33" t="s">
        <v>103</v>
      </c>
    </row>
    <row r="109" spans="1:8" ht="12" customHeight="1">
      <c r="A109" s="32" t="s">
        <v>9</v>
      </c>
      <c r="B109" s="8" t="s">
        <v>89</v>
      </c>
      <c r="C109" s="59">
        <v>3</v>
      </c>
      <c r="D109" s="8" t="s">
        <v>92</v>
      </c>
      <c r="E109" s="8" t="s">
        <v>39</v>
      </c>
      <c r="F109" s="59">
        <v>1</v>
      </c>
      <c r="G109" s="59">
        <v>49</v>
      </c>
      <c r="H109" s="33" t="s">
        <v>39</v>
      </c>
    </row>
    <row r="110" spans="1:8" ht="12" customHeight="1">
      <c r="A110" s="32" t="s">
        <v>9</v>
      </c>
      <c r="B110" s="8" t="s">
        <v>89</v>
      </c>
      <c r="C110" s="59">
        <v>4</v>
      </c>
      <c r="D110" s="8" t="s">
        <v>93</v>
      </c>
      <c r="E110" s="8" t="s">
        <v>33</v>
      </c>
      <c r="F110" s="59">
        <v>1</v>
      </c>
      <c r="G110" s="59">
        <v>50</v>
      </c>
      <c r="H110" s="33" t="s">
        <v>33</v>
      </c>
    </row>
    <row r="111" spans="1:8" ht="12" customHeight="1">
      <c r="A111" s="32" t="s">
        <v>9</v>
      </c>
      <c r="B111" s="8" t="s">
        <v>89</v>
      </c>
      <c r="C111" s="59">
        <v>5</v>
      </c>
      <c r="D111" s="8" t="s">
        <v>94</v>
      </c>
      <c r="E111" s="8" t="s">
        <v>33</v>
      </c>
      <c r="F111" s="59">
        <v>1</v>
      </c>
      <c r="G111" s="59">
        <v>51</v>
      </c>
      <c r="H111" s="33" t="s">
        <v>33</v>
      </c>
    </row>
    <row r="112" spans="1:8" ht="12" customHeight="1">
      <c r="A112" s="32" t="s">
        <v>9</v>
      </c>
      <c r="B112" s="8" t="s">
        <v>89</v>
      </c>
      <c r="C112" s="59">
        <v>6</v>
      </c>
      <c r="D112" s="8" t="s">
        <v>96</v>
      </c>
      <c r="E112" s="8" t="s">
        <v>34</v>
      </c>
      <c r="F112" s="59">
        <v>1</v>
      </c>
      <c r="G112" s="59">
        <v>53</v>
      </c>
      <c r="H112" s="33" t="s">
        <v>34</v>
      </c>
    </row>
    <row r="113" spans="1:8" ht="12" customHeight="1">
      <c r="A113" s="32" t="s">
        <v>9</v>
      </c>
      <c r="B113" s="8" t="s">
        <v>89</v>
      </c>
      <c r="C113" s="59">
        <v>7</v>
      </c>
      <c r="D113" s="8" t="s">
        <v>97</v>
      </c>
      <c r="E113" s="8" t="s">
        <v>34</v>
      </c>
      <c r="F113" s="59">
        <v>1</v>
      </c>
      <c r="G113" s="59">
        <v>54</v>
      </c>
      <c r="H113" s="33" t="s">
        <v>34</v>
      </c>
    </row>
    <row r="114" spans="1:8" ht="12" customHeight="1">
      <c r="A114" s="32" t="s">
        <v>9</v>
      </c>
      <c r="B114" s="8" t="s">
        <v>98</v>
      </c>
      <c r="C114" s="59">
        <v>1</v>
      </c>
      <c r="D114" s="8" t="s">
        <v>90</v>
      </c>
      <c r="E114" s="8" t="s">
        <v>40</v>
      </c>
      <c r="F114" s="59">
        <v>1</v>
      </c>
      <c r="G114" s="59">
        <v>46</v>
      </c>
      <c r="H114" s="33" t="s">
        <v>40</v>
      </c>
    </row>
    <row r="115" spans="1:8" ht="12" customHeight="1">
      <c r="A115" s="32" t="s">
        <v>9</v>
      </c>
      <c r="B115" s="8" t="s">
        <v>98</v>
      </c>
      <c r="C115" s="59">
        <v>2</v>
      </c>
      <c r="D115" s="8" t="s">
        <v>91</v>
      </c>
      <c r="E115" s="8" t="s">
        <v>42</v>
      </c>
      <c r="F115" s="59">
        <v>1</v>
      </c>
      <c r="G115" s="59">
        <v>47</v>
      </c>
      <c r="H115" s="33" t="s">
        <v>42</v>
      </c>
    </row>
    <row r="116" spans="1:8" ht="12" customHeight="1">
      <c r="A116" s="32" t="s">
        <v>9</v>
      </c>
      <c r="B116" s="8" t="s">
        <v>98</v>
      </c>
      <c r="C116" s="59">
        <v>3</v>
      </c>
      <c r="D116" s="8" t="s">
        <v>92</v>
      </c>
      <c r="E116" s="8" t="s">
        <v>36</v>
      </c>
      <c r="F116" s="59">
        <v>1</v>
      </c>
      <c r="G116" s="59">
        <v>49</v>
      </c>
      <c r="H116" s="33" t="s">
        <v>36</v>
      </c>
    </row>
    <row r="117" spans="1:8" ht="12" customHeight="1">
      <c r="A117" s="32" t="s">
        <v>9</v>
      </c>
      <c r="B117" s="8" t="s">
        <v>98</v>
      </c>
      <c r="C117" s="59">
        <v>4</v>
      </c>
      <c r="D117" s="8" t="s">
        <v>93</v>
      </c>
      <c r="E117" s="8" t="s">
        <v>36</v>
      </c>
      <c r="F117" s="59">
        <v>1</v>
      </c>
      <c r="G117" s="59">
        <v>50</v>
      </c>
      <c r="H117" s="33" t="s">
        <v>36</v>
      </c>
    </row>
    <row r="118" spans="1:8" ht="12" customHeight="1">
      <c r="A118" s="32" t="s">
        <v>9</v>
      </c>
      <c r="B118" s="8" t="s">
        <v>98</v>
      </c>
      <c r="C118" s="59">
        <v>5</v>
      </c>
      <c r="D118" s="8" t="s">
        <v>94</v>
      </c>
      <c r="E118" s="8" t="s">
        <v>50</v>
      </c>
      <c r="F118" s="59">
        <v>1</v>
      </c>
      <c r="G118" s="59">
        <v>51</v>
      </c>
      <c r="H118" s="33" t="s">
        <v>50</v>
      </c>
    </row>
    <row r="119" spans="1:8" ht="12" customHeight="1">
      <c r="A119" s="32" t="s">
        <v>9</v>
      </c>
      <c r="B119" s="8" t="s">
        <v>98</v>
      </c>
      <c r="C119" s="59">
        <v>6</v>
      </c>
      <c r="D119" s="8" t="s">
        <v>96</v>
      </c>
      <c r="E119" s="8" t="s">
        <v>38</v>
      </c>
      <c r="F119" s="59">
        <v>1</v>
      </c>
      <c r="G119" s="59">
        <v>53</v>
      </c>
      <c r="H119" s="33" t="s">
        <v>38</v>
      </c>
    </row>
    <row r="120" spans="1:8" ht="12" customHeight="1">
      <c r="A120" s="32" t="s">
        <v>9</v>
      </c>
      <c r="B120" s="8" t="s">
        <v>98</v>
      </c>
      <c r="C120" s="59">
        <v>7</v>
      </c>
      <c r="D120" s="8" t="s">
        <v>97</v>
      </c>
      <c r="E120" s="8" t="s">
        <v>38</v>
      </c>
      <c r="F120" s="59">
        <v>1</v>
      </c>
      <c r="G120" s="59">
        <v>54</v>
      </c>
      <c r="H120" s="33" t="s">
        <v>38</v>
      </c>
    </row>
    <row r="121" spans="1:8" ht="12" customHeight="1">
      <c r="A121" s="32" t="s">
        <v>9</v>
      </c>
      <c r="B121" s="8" t="s">
        <v>99</v>
      </c>
      <c r="C121" s="59">
        <v>1</v>
      </c>
      <c r="D121" s="8" t="s">
        <v>90</v>
      </c>
      <c r="E121" s="8" t="s">
        <v>45</v>
      </c>
      <c r="F121" s="59">
        <v>1</v>
      </c>
      <c r="G121" s="59">
        <v>46</v>
      </c>
      <c r="H121" s="33" t="s">
        <v>45</v>
      </c>
    </row>
    <row r="122" spans="1:8" ht="12" customHeight="1">
      <c r="A122" s="32" t="s">
        <v>9</v>
      </c>
      <c r="B122" s="8" t="s">
        <v>99</v>
      </c>
      <c r="C122" s="59">
        <v>2</v>
      </c>
      <c r="D122" s="8" t="s">
        <v>91</v>
      </c>
      <c r="E122" s="8" t="s">
        <v>35</v>
      </c>
      <c r="F122" s="59">
        <v>1</v>
      </c>
      <c r="G122" s="59">
        <v>47</v>
      </c>
      <c r="H122" s="33" t="s">
        <v>104</v>
      </c>
    </row>
    <row r="123" spans="1:8" ht="12" customHeight="1">
      <c r="A123" s="32" t="s">
        <v>9</v>
      </c>
      <c r="B123" s="8" t="s">
        <v>99</v>
      </c>
      <c r="C123" s="59">
        <v>3</v>
      </c>
      <c r="D123" s="8" t="s">
        <v>92</v>
      </c>
      <c r="E123" s="8" t="s">
        <v>35</v>
      </c>
      <c r="F123" s="59">
        <v>1</v>
      </c>
      <c r="G123" s="59">
        <v>49</v>
      </c>
      <c r="H123" s="33" t="s">
        <v>104</v>
      </c>
    </row>
    <row r="124" spans="1:8" ht="12" customHeight="1">
      <c r="A124" s="32" t="s">
        <v>9</v>
      </c>
      <c r="B124" s="8" t="s">
        <v>99</v>
      </c>
      <c r="C124" s="59">
        <v>4</v>
      </c>
      <c r="D124" s="8" t="s">
        <v>93</v>
      </c>
      <c r="E124" s="8" t="s">
        <v>46</v>
      </c>
      <c r="F124" s="59">
        <v>1</v>
      </c>
      <c r="G124" s="59">
        <v>50</v>
      </c>
      <c r="H124" s="33" t="s">
        <v>46</v>
      </c>
    </row>
    <row r="125" spans="1:8" ht="12" customHeight="1">
      <c r="A125" s="32" t="s">
        <v>9</v>
      </c>
      <c r="B125" s="8" t="s">
        <v>99</v>
      </c>
      <c r="C125" s="59">
        <v>5</v>
      </c>
      <c r="D125" s="8" t="s">
        <v>94</v>
      </c>
      <c r="E125" s="8" t="s">
        <v>33</v>
      </c>
      <c r="F125" s="59">
        <v>1</v>
      </c>
      <c r="G125" s="59">
        <v>51</v>
      </c>
      <c r="H125" s="33" t="s">
        <v>33</v>
      </c>
    </row>
    <row r="126" spans="1:8" ht="12" customHeight="1">
      <c r="A126" s="32" t="s">
        <v>9</v>
      </c>
      <c r="B126" s="8" t="s">
        <v>99</v>
      </c>
      <c r="C126" s="59">
        <v>6</v>
      </c>
      <c r="D126" s="8" t="s">
        <v>96</v>
      </c>
      <c r="E126" s="8" t="s">
        <v>34</v>
      </c>
      <c r="F126" s="59">
        <v>1</v>
      </c>
      <c r="G126" s="59">
        <v>53</v>
      </c>
      <c r="H126" s="33" t="s">
        <v>34</v>
      </c>
    </row>
    <row r="127" spans="1:8" ht="12" customHeight="1">
      <c r="A127" s="32" t="s">
        <v>9</v>
      </c>
      <c r="B127" s="8" t="s">
        <v>99</v>
      </c>
      <c r="C127" s="59">
        <v>7</v>
      </c>
      <c r="D127" s="8" t="s">
        <v>97</v>
      </c>
      <c r="E127" s="8" t="s">
        <v>34</v>
      </c>
      <c r="F127" s="59">
        <v>1</v>
      </c>
      <c r="G127" s="59">
        <v>54</v>
      </c>
      <c r="H127" s="33" t="s">
        <v>34</v>
      </c>
    </row>
    <row r="128" spans="1:8" ht="12" customHeight="1">
      <c r="A128" s="32" t="s">
        <v>9</v>
      </c>
      <c r="B128" s="8" t="s">
        <v>100</v>
      </c>
      <c r="C128" s="59">
        <v>1</v>
      </c>
      <c r="D128" s="8" t="s">
        <v>90</v>
      </c>
      <c r="E128" s="8" t="s">
        <v>40</v>
      </c>
      <c r="F128" s="59">
        <v>1</v>
      </c>
      <c r="G128" s="59">
        <v>46</v>
      </c>
      <c r="H128" s="33" t="s">
        <v>40</v>
      </c>
    </row>
    <row r="129" spans="1:8" ht="12" customHeight="1">
      <c r="A129" s="32" t="s">
        <v>9</v>
      </c>
      <c r="B129" s="8" t="s">
        <v>100</v>
      </c>
      <c r="C129" s="59">
        <v>2</v>
      </c>
      <c r="D129" s="8" t="s">
        <v>91</v>
      </c>
      <c r="E129" s="8" t="s">
        <v>49</v>
      </c>
      <c r="F129" s="59">
        <v>1</v>
      </c>
      <c r="G129" s="59">
        <v>47</v>
      </c>
      <c r="H129" s="33" t="s">
        <v>49</v>
      </c>
    </row>
    <row r="130" spans="1:8" ht="12" customHeight="1">
      <c r="A130" s="32" t="s">
        <v>9</v>
      </c>
      <c r="B130" s="8" t="s">
        <v>100</v>
      </c>
      <c r="C130" s="59">
        <v>3</v>
      </c>
      <c r="D130" s="8" t="s">
        <v>92</v>
      </c>
      <c r="E130" s="8" t="s">
        <v>48</v>
      </c>
      <c r="F130" s="59">
        <v>1</v>
      </c>
      <c r="G130" s="59">
        <v>49</v>
      </c>
      <c r="H130" s="33" t="s">
        <v>48</v>
      </c>
    </row>
    <row r="131" spans="1:8" ht="12" customHeight="1">
      <c r="A131" s="32" t="s">
        <v>9</v>
      </c>
      <c r="B131" s="8" t="s">
        <v>100</v>
      </c>
      <c r="C131" s="59">
        <v>4</v>
      </c>
      <c r="D131" s="8" t="s">
        <v>93</v>
      </c>
      <c r="E131" s="8" t="s">
        <v>35</v>
      </c>
      <c r="F131" s="59">
        <v>1</v>
      </c>
      <c r="G131" s="59">
        <v>50</v>
      </c>
      <c r="H131" s="33" t="s">
        <v>104</v>
      </c>
    </row>
    <row r="132" spans="1:8" ht="12" customHeight="1">
      <c r="A132" s="32" t="s">
        <v>9</v>
      </c>
      <c r="B132" s="8" t="s">
        <v>100</v>
      </c>
      <c r="C132" s="59">
        <v>5</v>
      </c>
      <c r="D132" s="8" t="s">
        <v>94</v>
      </c>
      <c r="E132" s="8" t="s">
        <v>37</v>
      </c>
      <c r="F132" s="59">
        <v>1</v>
      </c>
      <c r="G132" s="59">
        <v>51</v>
      </c>
      <c r="H132" s="33" t="s">
        <v>37</v>
      </c>
    </row>
    <row r="133" spans="1:8" ht="12" customHeight="1">
      <c r="A133" s="32" t="s">
        <v>9</v>
      </c>
      <c r="B133" s="8" t="s">
        <v>100</v>
      </c>
      <c r="C133" s="59">
        <v>6</v>
      </c>
      <c r="D133" s="8" t="s">
        <v>96</v>
      </c>
      <c r="E133" s="8" t="s">
        <v>37</v>
      </c>
      <c r="F133" s="59">
        <v>1</v>
      </c>
      <c r="G133" s="59">
        <v>53</v>
      </c>
      <c r="H133" s="33" t="s">
        <v>105</v>
      </c>
    </row>
    <row r="134" spans="1:8" ht="12" customHeight="1">
      <c r="A134" s="32" t="s">
        <v>9</v>
      </c>
      <c r="B134" s="8" t="s">
        <v>100</v>
      </c>
      <c r="C134" s="59">
        <v>7</v>
      </c>
      <c r="D134" s="8" t="s">
        <v>97</v>
      </c>
      <c r="E134" s="8" t="s">
        <v>34</v>
      </c>
      <c r="F134" s="59">
        <v>1</v>
      </c>
      <c r="G134" s="59">
        <v>54</v>
      </c>
      <c r="H134" s="33" t="s">
        <v>34</v>
      </c>
    </row>
    <row r="135" spans="1:8" ht="12" customHeight="1">
      <c r="A135" s="32" t="s">
        <v>9</v>
      </c>
      <c r="B135" s="8" t="s">
        <v>101</v>
      </c>
      <c r="C135" s="59">
        <v>1</v>
      </c>
      <c r="D135" s="8" t="s">
        <v>90</v>
      </c>
      <c r="E135" s="8" t="s">
        <v>41</v>
      </c>
      <c r="F135" s="59">
        <v>1</v>
      </c>
      <c r="G135" s="59">
        <v>46</v>
      </c>
      <c r="H135" s="33" t="s">
        <v>41</v>
      </c>
    </row>
    <row r="136" spans="1:8" ht="12" customHeight="1">
      <c r="A136" s="32" t="s">
        <v>9</v>
      </c>
      <c r="B136" s="8" t="s">
        <v>101</v>
      </c>
      <c r="C136" s="59">
        <v>2</v>
      </c>
      <c r="D136" s="8" t="s">
        <v>91</v>
      </c>
      <c r="E136" s="8" t="s">
        <v>35</v>
      </c>
      <c r="F136" s="59">
        <v>1</v>
      </c>
      <c r="G136" s="59">
        <v>47</v>
      </c>
      <c r="H136" s="33" t="s">
        <v>35</v>
      </c>
    </row>
    <row r="137" spans="1:8" ht="12" customHeight="1">
      <c r="A137" s="32" t="s">
        <v>9</v>
      </c>
      <c r="B137" s="8" t="s">
        <v>101</v>
      </c>
      <c r="C137" s="59">
        <v>3</v>
      </c>
      <c r="D137" s="8" t="s">
        <v>92</v>
      </c>
      <c r="E137" s="8" t="s">
        <v>47</v>
      </c>
      <c r="F137" s="59">
        <v>1</v>
      </c>
      <c r="G137" s="59">
        <v>49</v>
      </c>
      <c r="H137" s="33" t="s">
        <v>47</v>
      </c>
    </row>
    <row r="138" spans="1:8" ht="12" customHeight="1">
      <c r="A138" s="32" t="s">
        <v>9</v>
      </c>
      <c r="B138" s="8" t="s">
        <v>101</v>
      </c>
      <c r="C138" s="59">
        <v>4</v>
      </c>
      <c r="D138" s="8" t="s">
        <v>93</v>
      </c>
      <c r="E138" s="8" t="s">
        <v>33</v>
      </c>
      <c r="F138" s="59">
        <v>1</v>
      </c>
      <c r="G138" s="59">
        <v>50</v>
      </c>
      <c r="H138" s="33" t="s">
        <v>33</v>
      </c>
    </row>
    <row r="139" spans="1:8" ht="12" customHeight="1">
      <c r="A139" s="32" t="s">
        <v>9</v>
      </c>
      <c r="B139" s="8" t="s">
        <v>101</v>
      </c>
      <c r="C139" s="59">
        <v>5</v>
      </c>
      <c r="D139" s="8" t="s">
        <v>94</v>
      </c>
      <c r="E139" s="8" t="s">
        <v>40</v>
      </c>
      <c r="F139" s="59">
        <v>1</v>
      </c>
      <c r="G139" s="59">
        <v>51</v>
      </c>
      <c r="H139" s="33" t="s">
        <v>40</v>
      </c>
    </row>
    <row r="140" spans="1:8" ht="12" customHeight="1">
      <c r="A140" s="32" t="s">
        <v>9</v>
      </c>
      <c r="B140" s="8" t="s">
        <v>101</v>
      </c>
      <c r="C140" s="59">
        <v>6</v>
      </c>
      <c r="D140" s="8" t="s">
        <v>96</v>
      </c>
      <c r="E140" s="8" t="s">
        <v>40</v>
      </c>
      <c r="F140" s="59">
        <v>1</v>
      </c>
      <c r="G140" s="59">
        <v>53</v>
      </c>
      <c r="H140" s="33" t="s">
        <v>40</v>
      </c>
    </row>
    <row r="141" spans="1:8" ht="12" customHeight="1">
      <c r="A141" s="32" t="s">
        <v>9</v>
      </c>
      <c r="B141" s="8" t="s">
        <v>101</v>
      </c>
      <c r="C141" s="59">
        <v>7</v>
      </c>
      <c r="D141" s="8" t="s">
        <v>97</v>
      </c>
      <c r="E141" s="8" t="s">
        <v>36</v>
      </c>
      <c r="F141" s="59">
        <v>1</v>
      </c>
      <c r="G141" s="59">
        <v>54</v>
      </c>
      <c r="H141" s="33" t="s">
        <v>36</v>
      </c>
    </row>
    <row r="142" spans="1:8" ht="12" customHeight="1">
      <c r="A142" s="32" t="s">
        <v>11</v>
      </c>
      <c r="B142" s="8" t="s">
        <v>89</v>
      </c>
      <c r="C142" s="59">
        <v>1</v>
      </c>
      <c r="D142" s="8" t="s">
        <v>90</v>
      </c>
      <c r="E142" s="8" t="s">
        <v>34</v>
      </c>
      <c r="F142" s="59">
        <v>1</v>
      </c>
      <c r="G142" s="59">
        <v>60</v>
      </c>
      <c r="H142" s="33" t="s">
        <v>34</v>
      </c>
    </row>
    <row r="143" spans="1:8" ht="12" customHeight="1">
      <c r="A143" s="32" t="s">
        <v>11</v>
      </c>
      <c r="B143" s="8" t="s">
        <v>89</v>
      </c>
      <c r="C143" s="59">
        <v>2</v>
      </c>
      <c r="D143" s="8" t="s">
        <v>91</v>
      </c>
      <c r="E143" s="8" t="s">
        <v>34</v>
      </c>
      <c r="F143" s="59">
        <v>1</v>
      </c>
      <c r="G143" s="59">
        <v>61</v>
      </c>
      <c r="H143" s="33" t="s">
        <v>34</v>
      </c>
    </row>
    <row r="144" spans="1:8" ht="12" customHeight="1">
      <c r="A144" s="32" t="s">
        <v>11</v>
      </c>
      <c r="B144" s="8" t="s">
        <v>89</v>
      </c>
      <c r="C144" s="59">
        <v>3</v>
      </c>
      <c r="D144" s="8" t="s">
        <v>92</v>
      </c>
      <c r="E144" s="8" t="s">
        <v>37</v>
      </c>
      <c r="F144" s="59">
        <v>1</v>
      </c>
      <c r="G144" s="59">
        <v>63</v>
      </c>
      <c r="H144" s="33" t="s">
        <v>37</v>
      </c>
    </row>
    <row r="145" spans="1:8" ht="12" customHeight="1">
      <c r="A145" s="32" t="s">
        <v>11</v>
      </c>
      <c r="B145" s="8" t="s">
        <v>89</v>
      </c>
      <c r="C145" s="59">
        <v>4</v>
      </c>
      <c r="D145" s="8" t="s">
        <v>93</v>
      </c>
      <c r="E145" s="8" t="s">
        <v>37</v>
      </c>
      <c r="F145" s="59">
        <v>1</v>
      </c>
      <c r="G145" s="59">
        <v>64</v>
      </c>
      <c r="H145" s="33" t="s">
        <v>37</v>
      </c>
    </row>
    <row r="146" spans="1:8" ht="12" customHeight="1">
      <c r="A146" s="32" t="s">
        <v>11</v>
      </c>
      <c r="B146" s="8" t="s">
        <v>89</v>
      </c>
      <c r="C146" s="59">
        <v>5</v>
      </c>
      <c r="D146" s="8" t="s">
        <v>94</v>
      </c>
      <c r="E146" s="8" t="s">
        <v>36</v>
      </c>
      <c r="F146" s="59">
        <v>1</v>
      </c>
      <c r="G146" s="59">
        <v>65</v>
      </c>
      <c r="H146" s="33" t="s">
        <v>36</v>
      </c>
    </row>
    <row r="147" spans="1:8" ht="12" customHeight="1">
      <c r="A147" s="32" t="s">
        <v>11</v>
      </c>
      <c r="B147" s="8" t="s">
        <v>89</v>
      </c>
      <c r="C147" s="59">
        <v>6</v>
      </c>
      <c r="D147" s="8" t="s">
        <v>96</v>
      </c>
      <c r="E147" s="8" t="s">
        <v>36</v>
      </c>
      <c r="F147" s="59">
        <v>1</v>
      </c>
      <c r="G147" s="59">
        <v>67</v>
      </c>
      <c r="H147" s="33" t="s">
        <v>36</v>
      </c>
    </row>
    <row r="148" spans="1:8" ht="12" customHeight="1">
      <c r="A148" s="32" t="s">
        <v>11</v>
      </c>
      <c r="B148" s="8" t="s">
        <v>89</v>
      </c>
      <c r="C148" s="59">
        <v>7</v>
      </c>
      <c r="D148" s="8" t="s">
        <v>97</v>
      </c>
      <c r="E148" s="8" t="s">
        <v>40</v>
      </c>
      <c r="F148" s="59">
        <v>1</v>
      </c>
      <c r="G148" s="59">
        <v>68</v>
      </c>
      <c r="H148" s="33" t="s">
        <v>40</v>
      </c>
    </row>
    <row r="149" spans="1:8" ht="12" customHeight="1">
      <c r="A149" s="32" t="s">
        <v>11</v>
      </c>
      <c r="B149" s="8" t="s">
        <v>98</v>
      </c>
      <c r="C149" s="59">
        <v>1</v>
      </c>
      <c r="D149" s="8" t="s">
        <v>90</v>
      </c>
      <c r="E149" s="8" t="s">
        <v>34</v>
      </c>
      <c r="F149" s="59">
        <v>1</v>
      </c>
      <c r="G149" s="59">
        <v>60</v>
      </c>
      <c r="H149" s="33" t="s">
        <v>34</v>
      </c>
    </row>
    <row r="150" spans="1:8" ht="12" customHeight="1">
      <c r="A150" s="32" t="s">
        <v>11</v>
      </c>
      <c r="B150" s="8" t="s">
        <v>98</v>
      </c>
      <c r="C150" s="59">
        <v>2</v>
      </c>
      <c r="D150" s="8" t="s">
        <v>91</v>
      </c>
      <c r="E150" s="8" t="s">
        <v>34</v>
      </c>
      <c r="F150" s="59">
        <v>1</v>
      </c>
      <c r="G150" s="59">
        <v>61</v>
      </c>
      <c r="H150" s="33" t="s">
        <v>34</v>
      </c>
    </row>
    <row r="151" spans="1:8" ht="12" customHeight="1">
      <c r="A151" s="32" t="s">
        <v>11</v>
      </c>
      <c r="B151" s="8" t="s">
        <v>98</v>
      </c>
      <c r="C151" s="59">
        <v>3</v>
      </c>
      <c r="D151" s="8" t="s">
        <v>92</v>
      </c>
      <c r="E151" s="8" t="s">
        <v>35</v>
      </c>
      <c r="F151" s="59">
        <v>1</v>
      </c>
      <c r="G151" s="59">
        <v>63</v>
      </c>
      <c r="H151" s="33" t="s">
        <v>35</v>
      </c>
    </row>
    <row r="152" spans="1:8" ht="12" customHeight="1">
      <c r="A152" s="32" t="s">
        <v>11</v>
      </c>
      <c r="B152" s="8" t="s">
        <v>98</v>
      </c>
      <c r="C152" s="59">
        <v>4</v>
      </c>
      <c r="D152" s="8" t="s">
        <v>93</v>
      </c>
      <c r="E152" s="8" t="s">
        <v>35</v>
      </c>
      <c r="F152" s="59">
        <v>1</v>
      </c>
      <c r="G152" s="59">
        <v>64</v>
      </c>
      <c r="H152" s="33" t="s">
        <v>35</v>
      </c>
    </row>
    <row r="153" spans="1:8" ht="12" customHeight="1">
      <c r="A153" s="32" t="s">
        <v>11</v>
      </c>
      <c r="B153" s="8" t="s">
        <v>98</v>
      </c>
      <c r="C153" s="59">
        <v>5</v>
      </c>
      <c r="D153" s="8" t="s">
        <v>94</v>
      </c>
      <c r="E153" s="8" t="s">
        <v>36</v>
      </c>
      <c r="F153" s="59">
        <v>1</v>
      </c>
      <c r="G153" s="59">
        <v>65</v>
      </c>
      <c r="H153" s="33" t="s">
        <v>106</v>
      </c>
    </row>
    <row r="154" spans="1:8" ht="12" customHeight="1">
      <c r="A154" s="32" t="s">
        <v>11</v>
      </c>
      <c r="B154" s="8" t="s">
        <v>98</v>
      </c>
      <c r="C154" s="59">
        <v>6</v>
      </c>
      <c r="D154" s="8" t="s">
        <v>96</v>
      </c>
      <c r="E154" s="8" t="s">
        <v>39</v>
      </c>
      <c r="F154" s="59">
        <v>1</v>
      </c>
      <c r="G154" s="59">
        <v>67</v>
      </c>
      <c r="H154" s="33" t="s">
        <v>39</v>
      </c>
    </row>
    <row r="155" spans="1:8" ht="12" customHeight="1">
      <c r="A155" s="32" t="s">
        <v>11</v>
      </c>
      <c r="B155" s="8" t="s">
        <v>98</v>
      </c>
      <c r="C155" s="59">
        <v>7</v>
      </c>
      <c r="D155" s="8" t="s">
        <v>97</v>
      </c>
      <c r="E155" s="8" t="s">
        <v>33</v>
      </c>
      <c r="F155" s="59">
        <v>1</v>
      </c>
      <c r="G155" s="59">
        <v>68</v>
      </c>
      <c r="H155" s="33" t="s">
        <v>33</v>
      </c>
    </row>
    <row r="156" spans="1:8" ht="12" customHeight="1">
      <c r="A156" s="32" t="s">
        <v>11</v>
      </c>
      <c r="B156" s="8" t="s">
        <v>99</v>
      </c>
      <c r="C156" s="59">
        <v>1</v>
      </c>
      <c r="D156" s="8" t="s">
        <v>90</v>
      </c>
      <c r="E156" s="8" t="s">
        <v>39</v>
      </c>
      <c r="F156" s="59">
        <v>1</v>
      </c>
      <c r="G156" s="59">
        <v>60</v>
      </c>
      <c r="H156" s="33" t="s">
        <v>39</v>
      </c>
    </row>
    <row r="157" spans="1:8" ht="12" customHeight="1">
      <c r="A157" s="32" t="s">
        <v>11</v>
      </c>
      <c r="B157" s="8" t="s">
        <v>99</v>
      </c>
      <c r="C157" s="59">
        <v>2</v>
      </c>
      <c r="D157" s="8" t="s">
        <v>91</v>
      </c>
      <c r="E157" s="8" t="s">
        <v>46</v>
      </c>
      <c r="F157" s="59">
        <v>1</v>
      </c>
      <c r="G157" s="59">
        <v>61</v>
      </c>
      <c r="H157" s="33" t="s">
        <v>46</v>
      </c>
    </row>
    <row r="158" spans="1:8" ht="12" customHeight="1">
      <c r="A158" s="32" t="s">
        <v>11</v>
      </c>
      <c r="B158" s="8" t="s">
        <v>99</v>
      </c>
      <c r="C158" s="59">
        <v>3</v>
      </c>
      <c r="D158" s="8" t="s">
        <v>92</v>
      </c>
      <c r="E158" s="8" t="s">
        <v>49</v>
      </c>
      <c r="F158" s="59">
        <v>1</v>
      </c>
      <c r="G158" s="59">
        <v>63</v>
      </c>
      <c r="H158" s="33" t="s">
        <v>49</v>
      </c>
    </row>
    <row r="159" spans="1:8" ht="12" customHeight="1">
      <c r="A159" s="32" t="s">
        <v>11</v>
      </c>
      <c r="B159" s="8" t="s">
        <v>99</v>
      </c>
      <c r="C159" s="59">
        <v>4</v>
      </c>
      <c r="D159" s="8" t="s">
        <v>93</v>
      </c>
      <c r="E159" s="8" t="s">
        <v>40</v>
      </c>
      <c r="F159" s="59">
        <v>1</v>
      </c>
      <c r="G159" s="59">
        <v>64</v>
      </c>
      <c r="H159" s="33" t="s">
        <v>40</v>
      </c>
    </row>
    <row r="160" spans="1:8" ht="12" customHeight="1">
      <c r="A160" s="32" t="s">
        <v>11</v>
      </c>
      <c r="B160" s="8" t="s">
        <v>99</v>
      </c>
      <c r="C160" s="59">
        <v>5</v>
      </c>
      <c r="D160" s="8" t="s">
        <v>94</v>
      </c>
      <c r="E160" s="8" t="s">
        <v>50</v>
      </c>
      <c r="F160" s="59">
        <v>1</v>
      </c>
      <c r="G160" s="59">
        <v>65</v>
      </c>
      <c r="H160" s="33" t="s">
        <v>50</v>
      </c>
    </row>
    <row r="161" spans="1:8" ht="12" customHeight="1">
      <c r="A161" s="32" t="s">
        <v>11</v>
      </c>
      <c r="B161" s="8" t="s">
        <v>99</v>
      </c>
      <c r="C161" s="59">
        <v>6</v>
      </c>
      <c r="D161" s="8" t="s">
        <v>96</v>
      </c>
      <c r="E161" s="8" t="s">
        <v>33</v>
      </c>
      <c r="F161" s="59">
        <v>1</v>
      </c>
      <c r="G161" s="59">
        <v>67</v>
      </c>
      <c r="H161" s="33" t="s">
        <v>33</v>
      </c>
    </row>
    <row r="162" spans="1:8" ht="12" customHeight="1">
      <c r="A162" s="32" t="s">
        <v>11</v>
      </c>
      <c r="B162" s="8" t="s">
        <v>99</v>
      </c>
      <c r="C162" s="59">
        <v>7</v>
      </c>
      <c r="D162" s="8" t="s">
        <v>97</v>
      </c>
      <c r="E162" s="8" t="s">
        <v>33</v>
      </c>
      <c r="F162" s="59">
        <v>1</v>
      </c>
      <c r="G162" s="59">
        <v>68</v>
      </c>
      <c r="H162" s="33" t="s">
        <v>33</v>
      </c>
    </row>
    <row r="163" spans="1:8" ht="12" customHeight="1">
      <c r="A163" s="32" t="s">
        <v>11</v>
      </c>
      <c r="B163" s="8" t="s">
        <v>100</v>
      </c>
      <c r="C163" s="59">
        <v>1</v>
      </c>
      <c r="D163" s="8" t="s">
        <v>90</v>
      </c>
      <c r="E163" s="8" t="s">
        <v>42</v>
      </c>
      <c r="F163" s="59">
        <v>1</v>
      </c>
      <c r="G163" s="59">
        <v>60</v>
      </c>
      <c r="H163" s="33" t="s">
        <v>42</v>
      </c>
    </row>
    <row r="164" spans="1:8" ht="12" customHeight="1">
      <c r="A164" s="32" t="s">
        <v>11</v>
      </c>
      <c r="B164" s="8" t="s">
        <v>100</v>
      </c>
      <c r="C164" s="59">
        <v>2</v>
      </c>
      <c r="D164" s="8" t="s">
        <v>91</v>
      </c>
      <c r="E164" s="8" t="s">
        <v>48</v>
      </c>
      <c r="F164" s="59">
        <v>1</v>
      </c>
      <c r="G164" s="59">
        <v>61</v>
      </c>
      <c r="H164" s="33" t="s">
        <v>48</v>
      </c>
    </row>
    <row r="165" spans="1:8" ht="12" customHeight="1">
      <c r="A165" s="32" t="s">
        <v>11</v>
      </c>
      <c r="B165" s="8" t="s">
        <v>100</v>
      </c>
      <c r="C165" s="59">
        <v>3</v>
      </c>
      <c r="D165" s="8" t="s">
        <v>92</v>
      </c>
      <c r="E165" s="8" t="s">
        <v>33</v>
      </c>
      <c r="F165" s="59">
        <v>1</v>
      </c>
      <c r="G165" s="59">
        <v>63</v>
      </c>
      <c r="H165" s="33" t="s">
        <v>33</v>
      </c>
    </row>
    <row r="166" spans="1:8" ht="12" customHeight="1">
      <c r="A166" s="32" t="s">
        <v>11</v>
      </c>
      <c r="B166" s="8" t="s">
        <v>100</v>
      </c>
      <c r="C166" s="59">
        <v>4</v>
      </c>
      <c r="D166" s="8" t="s">
        <v>93</v>
      </c>
      <c r="E166" s="8" t="s">
        <v>40</v>
      </c>
      <c r="F166" s="59">
        <v>1</v>
      </c>
      <c r="G166" s="59">
        <v>64</v>
      </c>
      <c r="H166" s="33" t="s">
        <v>40</v>
      </c>
    </row>
    <row r="167" spans="1:8" ht="12" customHeight="1">
      <c r="A167" s="32" t="s">
        <v>11</v>
      </c>
      <c r="B167" s="8" t="s">
        <v>100</v>
      </c>
      <c r="C167" s="59">
        <v>5</v>
      </c>
      <c r="D167" s="8" t="s">
        <v>94</v>
      </c>
      <c r="E167" s="8" t="s">
        <v>40</v>
      </c>
      <c r="F167" s="59">
        <v>1</v>
      </c>
      <c r="G167" s="59">
        <v>65</v>
      </c>
      <c r="H167" s="33" t="s">
        <v>40</v>
      </c>
    </row>
    <row r="168" spans="1:8" ht="12" customHeight="1">
      <c r="A168" s="32" t="s">
        <v>11</v>
      </c>
      <c r="B168" s="8" t="s">
        <v>100</v>
      </c>
      <c r="C168" s="59">
        <v>6</v>
      </c>
      <c r="D168" s="8" t="s">
        <v>96</v>
      </c>
      <c r="E168" s="8" t="s">
        <v>35</v>
      </c>
      <c r="F168" s="59">
        <v>1</v>
      </c>
      <c r="G168" s="59">
        <v>67</v>
      </c>
      <c r="H168" s="33" t="s">
        <v>35</v>
      </c>
    </row>
    <row r="169" spans="1:8" ht="12" customHeight="1">
      <c r="A169" s="32" t="s">
        <v>11</v>
      </c>
      <c r="B169" s="8" t="s">
        <v>100</v>
      </c>
      <c r="C169" s="59">
        <v>7</v>
      </c>
      <c r="D169" s="8" t="s">
        <v>97</v>
      </c>
      <c r="E169" s="8" t="s">
        <v>35</v>
      </c>
      <c r="F169" s="59">
        <v>1</v>
      </c>
      <c r="G169" s="59">
        <v>68</v>
      </c>
      <c r="H169" s="33" t="s">
        <v>35</v>
      </c>
    </row>
    <row r="170" spans="1:8" ht="12" customHeight="1">
      <c r="A170" s="32" t="s">
        <v>11</v>
      </c>
      <c r="B170" s="8" t="s">
        <v>101</v>
      </c>
      <c r="C170" s="59">
        <v>1</v>
      </c>
      <c r="D170" s="8" t="s">
        <v>90</v>
      </c>
      <c r="E170" s="8" t="s">
        <v>41</v>
      </c>
      <c r="F170" s="59">
        <v>1</v>
      </c>
      <c r="G170" s="59">
        <v>60</v>
      </c>
      <c r="H170" s="33" t="s">
        <v>41</v>
      </c>
    </row>
    <row r="171" spans="1:8" ht="12" customHeight="1">
      <c r="A171" s="32" t="s">
        <v>11</v>
      </c>
      <c r="B171" s="8" t="s">
        <v>101</v>
      </c>
      <c r="C171" s="59">
        <v>2</v>
      </c>
      <c r="D171" s="8" t="s">
        <v>91</v>
      </c>
      <c r="E171" s="8" t="s">
        <v>34</v>
      </c>
      <c r="F171" s="59">
        <v>1</v>
      </c>
      <c r="G171" s="59">
        <v>61</v>
      </c>
      <c r="H171" s="33" t="s">
        <v>107</v>
      </c>
    </row>
    <row r="172" spans="1:8" ht="12" customHeight="1">
      <c r="A172" s="32" t="s">
        <v>11</v>
      </c>
      <c r="B172" s="8" t="s">
        <v>101</v>
      </c>
      <c r="C172" s="59">
        <v>3</v>
      </c>
      <c r="D172" s="8" t="s">
        <v>92</v>
      </c>
      <c r="E172" s="8" t="s">
        <v>37</v>
      </c>
      <c r="F172" s="59">
        <v>1</v>
      </c>
      <c r="G172" s="59">
        <v>63</v>
      </c>
      <c r="H172" s="33" t="s">
        <v>105</v>
      </c>
    </row>
    <row r="173" spans="1:8" ht="12" customHeight="1">
      <c r="A173" s="32" t="s">
        <v>11</v>
      </c>
      <c r="B173" s="8" t="s">
        <v>101</v>
      </c>
      <c r="C173" s="59">
        <v>4</v>
      </c>
      <c r="D173" s="8" t="s">
        <v>93</v>
      </c>
      <c r="E173" s="8" t="s">
        <v>36</v>
      </c>
      <c r="F173" s="59">
        <v>1</v>
      </c>
      <c r="G173" s="59">
        <v>64</v>
      </c>
      <c r="H173" s="33" t="s">
        <v>36</v>
      </c>
    </row>
    <row r="174" spans="1:8" ht="12" customHeight="1">
      <c r="A174" s="32" t="s">
        <v>11</v>
      </c>
      <c r="B174" s="8" t="s">
        <v>101</v>
      </c>
      <c r="C174" s="59">
        <v>5</v>
      </c>
      <c r="D174" s="8" t="s">
        <v>94</v>
      </c>
      <c r="E174" s="8" t="s">
        <v>47</v>
      </c>
      <c r="F174" s="59">
        <v>1</v>
      </c>
      <c r="G174" s="59">
        <v>65</v>
      </c>
      <c r="H174" s="33" t="s">
        <v>47</v>
      </c>
    </row>
    <row r="175" spans="1:8" ht="12" customHeight="1">
      <c r="A175" s="32" t="s">
        <v>11</v>
      </c>
      <c r="B175" s="8" t="s">
        <v>101</v>
      </c>
      <c r="C175" s="59">
        <v>6</v>
      </c>
      <c r="D175" s="8" t="s">
        <v>96</v>
      </c>
      <c r="E175" s="8" t="s">
        <v>38</v>
      </c>
      <c r="F175" s="59">
        <v>1</v>
      </c>
      <c r="G175" s="59">
        <v>67</v>
      </c>
      <c r="H175" s="33" t="s">
        <v>38</v>
      </c>
    </row>
    <row r="176" spans="1:8" ht="12" customHeight="1">
      <c r="A176" s="32" t="s">
        <v>11</v>
      </c>
      <c r="B176" s="8" t="s">
        <v>101</v>
      </c>
      <c r="C176" s="59">
        <v>7</v>
      </c>
      <c r="D176" s="8" t="s">
        <v>97</v>
      </c>
      <c r="E176" s="8" t="s">
        <v>38</v>
      </c>
      <c r="F176" s="59">
        <v>1</v>
      </c>
      <c r="G176" s="59">
        <v>68</v>
      </c>
      <c r="H176" s="33" t="s">
        <v>38</v>
      </c>
    </row>
    <row r="177" spans="1:8" ht="12" customHeight="1">
      <c r="A177" s="32" t="s">
        <v>12</v>
      </c>
      <c r="B177" s="8" t="s">
        <v>89</v>
      </c>
      <c r="C177" s="59">
        <v>1</v>
      </c>
      <c r="D177" s="8" t="s">
        <v>90</v>
      </c>
      <c r="E177" s="8" t="s">
        <v>36</v>
      </c>
      <c r="F177" s="59">
        <v>1</v>
      </c>
      <c r="G177" s="59">
        <v>74</v>
      </c>
      <c r="H177" s="33" t="s">
        <v>36</v>
      </c>
    </row>
    <row r="178" spans="1:8" ht="12" customHeight="1">
      <c r="A178" s="32" t="s">
        <v>12</v>
      </c>
      <c r="B178" s="8" t="s">
        <v>89</v>
      </c>
      <c r="C178" s="59">
        <v>2</v>
      </c>
      <c r="D178" s="8" t="s">
        <v>91</v>
      </c>
      <c r="E178" s="8" t="s">
        <v>33</v>
      </c>
      <c r="F178" s="59">
        <v>1</v>
      </c>
      <c r="G178" s="59">
        <v>75</v>
      </c>
      <c r="H178" s="33" t="s">
        <v>33</v>
      </c>
    </row>
    <row r="179" spans="1:8" ht="12" customHeight="1">
      <c r="A179" s="32" t="s">
        <v>12</v>
      </c>
      <c r="B179" s="8" t="s">
        <v>89</v>
      </c>
      <c r="C179" s="59">
        <v>3</v>
      </c>
      <c r="D179" s="8" t="s">
        <v>92</v>
      </c>
      <c r="E179" s="8" t="s">
        <v>33</v>
      </c>
      <c r="F179" s="59">
        <v>1</v>
      </c>
      <c r="G179" s="59">
        <v>77</v>
      </c>
      <c r="H179" s="33" t="s">
        <v>33</v>
      </c>
    </row>
    <row r="180" spans="1:8" ht="12" customHeight="1">
      <c r="A180" s="32" t="s">
        <v>12</v>
      </c>
      <c r="B180" s="8" t="s">
        <v>89</v>
      </c>
      <c r="C180" s="59">
        <v>4</v>
      </c>
      <c r="D180" s="8" t="s">
        <v>93</v>
      </c>
      <c r="E180" s="8" t="s">
        <v>34</v>
      </c>
      <c r="F180" s="59">
        <v>1</v>
      </c>
      <c r="G180" s="59">
        <v>78</v>
      </c>
      <c r="H180" s="33" t="s">
        <v>34</v>
      </c>
    </row>
    <row r="181" spans="1:8" ht="12" customHeight="1">
      <c r="A181" s="32" t="s">
        <v>12</v>
      </c>
      <c r="B181" s="8" t="s">
        <v>89</v>
      </c>
      <c r="C181" s="59">
        <v>5</v>
      </c>
      <c r="D181" s="8" t="s">
        <v>94</v>
      </c>
      <c r="E181" s="8" t="s">
        <v>34</v>
      </c>
      <c r="F181" s="59">
        <v>1</v>
      </c>
      <c r="G181" s="59">
        <v>79</v>
      </c>
      <c r="H181" s="33" t="s">
        <v>34</v>
      </c>
    </row>
    <row r="182" spans="1:8" ht="12" customHeight="1">
      <c r="A182" s="32" t="s">
        <v>12</v>
      </c>
      <c r="B182" s="8" t="s">
        <v>89</v>
      </c>
      <c r="C182" s="59">
        <v>6</v>
      </c>
      <c r="D182" s="8" t="s">
        <v>96</v>
      </c>
      <c r="E182" s="8" t="s">
        <v>37</v>
      </c>
      <c r="F182" s="59">
        <v>1</v>
      </c>
      <c r="G182" s="59">
        <v>81</v>
      </c>
      <c r="H182" s="33" t="s">
        <v>37</v>
      </c>
    </row>
    <row r="183" spans="1:8" ht="12" customHeight="1">
      <c r="A183" s="32" t="s">
        <v>12</v>
      </c>
      <c r="B183" s="8" t="s">
        <v>89</v>
      </c>
      <c r="C183" s="59">
        <v>7</v>
      </c>
      <c r="D183" s="8" t="s">
        <v>97</v>
      </c>
      <c r="E183" s="8" t="s">
        <v>37</v>
      </c>
      <c r="F183" s="59">
        <v>1</v>
      </c>
      <c r="G183" s="59">
        <v>82</v>
      </c>
      <c r="H183" s="33" t="s">
        <v>37</v>
      </c>
    </row>
    <row r="184" spans="1:8" ht="12" customHeight="1">
      <c r="A184" s="32" t="s">
        <v>12</v>
      </c>
      <c r="B184" s="8" t="s">
        <v>98</v>
      </c>
      <c r="C184" s="59">
        <v>1</v>
      </c>
      <c r="D184" s="8" t="s">
        <v>90</v>
      </c>
      <c r="E184" s="8" t="s">
        <v>47</v>
      </c>
      <c r="F184" s="59">
        <v>1</v>
      </c>
      <c r="G184" s="59">
        <v>74</v>
      </c>
      <c r="H184" s="33" t="s">
        <v>47</v>
      </c>
    </row>
    <row r="185" spans="1:8" ht="12" customHeight="1">
      <c r="A185" s="32" t="s">
        <v>12</v>
      </c>
      <c r="B185" s="8" t="s">
        <v>98</v>
      </c>
      <c r="C185" s="59">
        <v>2</v>
      </c>
      <c r="D185" s="8" t="s">
        <v>91</v>
      </c>
      <c r="E185" s="8" t="s">
        <v>34</v>
      </c>
      <c r="F185" s="59">
        <v>1</v>
      </c>
      <c r="G185" s="59">
        <v>75</v>
      </c>
      <c r="H185" s="33" t="s">
        <v>34</v>
      </c>
    </row>
    <row r="186" spans="1:8" ht="12" customHeight="1">
      <c r="A186" s="32" t="s">
        <v>12</v>
      </c>
      <c r="B186" s="8" t="s">
        <v>98</v>
      </c>
      <c r="C186" s="59">
        <v>3</v>
      </c>
      <c r="D186" s="8" t="s">
        <v>92</v>
      </c>
      <c r="E186" s="8" t="s">
        <v>34</v>
      </c>
      <c r="F186" s="59">
        <v>1</v>
      </c>
      <c r="G186" s="59">
        <v>77</v>
      </c>
      <c r="H186" s="33" t="s">
        <v>34</v>
      </c>
    </row>
    <row r="187" spans="1:8" ht="12" customHeight="1">
      <c r="A187" s="32" t="s">
        <v>12</v>
      </c>
      <c r="B187" s="8" t="s">
        <v>98</v>
      </c>
      <c r="C187" s="59">
        <v>4</v>
      </c>
      <c r="D187" s="8" t="s">
        <v>93</v>
      </c>
      <c r="E187" s="8" t="s">
        <v>46</v>
      </c>
      <c r="F187" s="59">
        <v>1</v>
      </c>
      <c r="G187" s="59">
        <v>78</v>
      </c>
      <c r="H187" s="33" t="s">
        <v>46</v>
      </c>
    </row>
    <row r="188" spans="1:8" ht="12" customHeight="1">
      <c r="A188" s="32" t="s">
        <v>12</v>
      </c>
      <c r="B188" s="8" t="s">
        <v>98</v>
      </c>
      <c r="C188" s="59">
        <v>5</v>
      </c>
      <c r="D188" s="8" t="s">
        <v>94</v>
      </c>
      <c r="E188" s="8" t="s">
        <v>50</v>
      </c>
      <c r="F188" s="59">
        <v>1</v>
      </c>
      <c r="G188" s="59">
        <v>79</v>
      </c>
      <c r="H188" s="33" t="s">
        <v>50</v>
      </c>
    </row>
    <row r="189" spans="1:8" ht="12" customHeight="1">
      <c r="A189" s="32" t="s">
        <v>12</v>
      </c>
      <c r="B189" s="8" t="s">
        <v>98</v>
      </c>
      <c r="C189" s="59">
        <v>6</v>
      </c>
      <c r="D189" s="8" t="s">
        <v>96</v>
      </c>
      <c r="E189" s="8" t="s">
        <v>40</v>
      </c>
      <c r="F189" s="59">
        <v>1</v>
      </c>
      <c r="G189" s="59">
        <v>81</v>
      </c>
      <c r="H189" s="33" t="s">
        <v>40</v>
      </c>
    </row>
    <row r="190" spans="1:8" ht="12" customHeight="1">
      <c r="A190" s="32" t="s">
        <v>12</v>
      </c>
      <c r="B190" s="8" t="s">
        <v>98</v>
      </c>
      <c r="C190" s="59">
        <v>7</v>
      </c>
      <c r="D190" s="8" t="s">
        <v>97</v>
      </c>
      <c r="E190" s="8" t="s">
        <v>36</v>
      </c>
      <c r="F190" s="59">
        <v>1</v>
      </c>
      <c r="G190" s="59">
        <v>82</v>
      </c>
      <c r="H190" s="33" t="s">
        <v>36</v>
      </c>
    </row>
    <row r="191" spans="1:8" ht="12" customHeight="1">
      <c r="A191" s="32" t="s">
        <v>12</v>
      </c>
      <c r="B191" s="8" t="s">
        <v>99</v>
      </c>
      <c r="C191" s="59">
        <v>1</v>
      </c>
      <c r="D191" s="8" t="s">
        <v>90</v>
      </c>
      <c r="E191" s="8" t="s">
        <v>34</v>
      </c>
      <c r="F191" s="59">
        <v>1</v>
      </c>
      <c r="G191" s="59">
        <v>74</v>
      </c>
      <c r="H191" s="33" t="s">
        <v>34</v>
      </c>
    </row>
    <row r="192" spans="1:8" ht="12" customHeight="1">
      <c r="A192" s="32" t="s">
        <v>12</v>
      </c>
      <c r="B192" s="8" t="s">
        <v>99</v>
      </c>
      <c r="C192" s="59">
        <v>2</v>
      </c>
      <c r="D192" s="8" t="s">
        <v>91</v>
      </c>
      <c r="E192" s="8" t="s">
        <v>40</v>
      </c>
      <c r="F192" s="59">
        <v>1</v>
      </c>
      <c r="G192" s="59">
        <v>75</v>
      </c>
      <c r="H192" s="33" t="s">
        <v>40</v>
      </c>
    </row>
    <row r="193" spans="1:8" ht="12" customHeight="1">
      <c r="A193" s="32" t="s">
        <v>12</v>
      </c>
      <c r="B193" s="8" t="s">
        <v>99</v>
      </c>
      <c r="C193" s="59">
        <v>3</v>
      </c>
      <c r="D193" s="8" t="s">
        <v>92</v>
      </c>
      <c r="E193" s="8" t="s">
        <v>40</v>
      </c>
      <c r="F193" s="59">
        <v>1</v>
      </c>
      <c r="G193" s="59">
        <v>77</v>
      </c>
      <c r="H193" s="33" t="s">
        <v>108</v>
      </c>
    </row>
    <row r="194" spans="1:8" ht="12" customHeight="1">
      <c r="A194" s="32" t="s">
        <v>12</v>
      </c>
      <c r="B194" s="8" t="s">
        <v>99</v>
      </c>
      <c r="C194" s="59">
        <v>4</v>
      </c>
      <c r="D194" s="8" t="s">
        <v>93</v>
      </c>
      <c r="E194" s="8" t="s">
        <v>35</v>
      </c>
      <c r="F194" s="59">
        <v>1</v>
      </c>
      <c r="G194" s="59">
        <v>78</v>
      </c>
      <c r="H194" s="33" t="s">
        <v>35</v>
      </c>
    </row>
    <row r="195" spans="1:8" ht="12" customHeight="1">
      <c r="A195" s="32" t="s">
        <v>12</v>
      </c>
      <c r="B195" s="8" t="s">
        <v>99</v>
      </c>
      <c r="C195" s="59">
        <v>5</v>
      </c>
      <c r="D195" s="8" t="s">
        <v>94</v>
      </c>
      <c r="E195" s="8" t="s">
        <v>35</v>
      </c>
      <c r="F195" s="59">
        <v>1</v>
      </c>
      <c r="G195" s="59">
        <v>79</v>
      </c>
      <c r="H195" s="33" t="s">
        <v>35</v>
      </c>
    </row>
    <row r="196" spans="1:8" ht="12" customHeight="1">
      <c r="A196" s="32" t="s">
        <v>12</v>
      </c>
      <c r="B196" s="8" t="s">
        <v>99</v>
      </c>
      <c r="C196" s="59">
        <v>6</v>
      </c>
      <c r="D196" s="8" t="s">
        <v>96</v>
      </c>
      <c r="E196" s="8" t="s">
        <v>36</v>
      </c>
      <c r="F196" s="59">
        <v>1</v>
      </c>
      <c r="G196" s="59">
        <v>81</v>
      </c>
      <c r="H196" s="33" t="s">
        <v>36</v>
      </c>
    </row>
    <row r="197" spans="1:8" ht="12" customHeight="1">
      <c r="A197" s="32" t="s">
        <v>12</v>
      </c>
      <c r="B197" s="8" t="s">
        <v>99</v>
      </c>
      <c r="C197" s="59">
        <v>7</v>
      </c>
      <c r="D197" s="8" t="s">
        <v>97</v>
      </c>
      <c r="E197" s="8" t="s">
        <v>36</v>
      </c>
      <c r="F197" s="59">
        <v>1</v>
      </c>
      <c r="G197" s="59">
        <v>82</v>
      </c>
      <c r="H197" s="33" t="s">
        <v>36</v>
      </c>
    </row>
    <row r="198" spans="1:8" ht="12" customHeight="1">
      <c r="A198" s="32" t="s">
        <v>12</v>
      </c>
      <c r="B198" s="8" t="s">
        <v>100</v>
      </c>
      <c r="C198" s="59">
        <v>1</v>
      </c>
      <c r="D198" s="8" t="s">
        <v>90</v>
      </c>
      <c r="E198" s="8" t="s">
        <v>48</v>
      </c>
      <c r="F198" s="59">
        <v>1</v>
      </c>
      <c r="G198" s="59">
        <v>74</v>
      </c>
      <c r="H198" s="33" t="s">
        <v>48</v>
      </c>
    </row>
    <row r="199" spans="1:8" ht="12" customHeight="1">
      <c r="A199" s="32" t="s">
        <v>12</v>
      </c>
      <c r="B199" s="8" t="s">
        <v>100</v>
      </c>
      <c r="C199" s="59">
        <v>2</v>
      </c>
      <c r="D199" s="8" t="s">
        <v>91</v>
      </c>
      <c r="E199" s="8" t="s">
        <v>35</v>
      </c>
      <c r="F199" s="59">
        <v>1</v>
      </c>
      <c r="G199" s="59">
        <v>75</v>
      </c>
      <c r="H199" s="33" t="s">
        <v>35</v>
      </c>
    </row>
    <row r="200" spans="1:8" ht="12" customHeight="1">
      <c r="A200" s="32" t="s">
        <v>12</v>
      </c>
      <c r="B200" s="8" t="s">
        <v>100</v>
      </c>
      <c r="C200" s="59">
        <v>3</v>
      </c>
      <c r="D200" s="8" t="s">
        <v>92</v>
      </c>
      <c r="E200" s="8" t="s">
        <v>35</v>
      </c>
      <c r="F200" s="59">
        <v>1</v>
      </c>
      <c r="G200" s="59">
        <v>77</v>
      </c>
      <c r="H200" s="33" t="s">
        <v>35</v>
      </c>
    </row>
    <row r="201" spans="1:8" ht="12" customHeight="1">
      <c r="A201" s="32" t="s">
        <v>12</v>
      </c>
      <c r="B201" s="8" t="s">
        <v>100</v>
      </c>
      <c r="C201" s="59">
        <v>4</v>
      </c>
      <c r="D201" s="8" t="s">
        <v>93</v>
      </c>
      <c r="E201" s="8" t="s">
        <v>42</v>
      </c>
      <c r="F201" s="59">
        <v>1</v>
      </c>
      <c r="G201" s="59">
        <v>78</v>
      </c>
      <c r="H201" s="33" t="s">
        <v>42</v>
      </c>
    </row>
    <row r="202" spans="1:8" ht="12" customHeight="1">
      <c r="A202" s="32" t="s">
        <v>12</v>
      </c>
      <c r="B202" s="8" t="s">
        <v>100</v>
      </c>
      <c r="C202" s="59">
        <v>5</v>
      </c>
      <c r="D202" s="8" t="s">
        <v>94</v>
      </c>
      <c r="E202" s="8" t="s">
        <v>33</v>
      </c>
      <c r="F202" s="59">
        <v>1</v>
      </c>
      <c r="G202" s="59">
        <v>79</v>
      </c>
      <c r="H202" s="33" t="s">
        <v>33</v>
      </c>
    </row>
    <row r="203" spans="1:8" ht="12" customHeight="1">
      <c r="A203" s="32" t="s">
        <v>12</v>
      </c>
      <c r="B203" s="8" t="s">
        <v>100</v>
      </c>
      <c r="C203" s="59">
        <v>6</v>
      </c>
      <c r="D203" s="8" t="s">
        <v>96</v>
      </c>
      <c r="E203" s="8" t="s">
        <v>38</v>
      </c>
      <c r="F203" s="59">
        <v>1</v>
      </c>
      <c r="G203" s="59">
        <v>81</v>
      </c>
      <c r="H203" s="33" t="s">
        <v>38</v>
      </c>
    </row>
    <row r="204" spans="1:8" ht="12" customHeight="1">
      <c r="A204" s="32" t="s">
        <v>12</v>
      </c>
      <c r="B204" s="8" t="s">
        <v>100</v>
      </c>
      <c r="C204" s="59">
        <v>7</v>
      </c>
      <c r="D204" s="8" t="s">
        <v>97</v>
      </c>
      <c r="E204" s="8" t="s">
        <v>38</v>
      </c>
      <c r="F204" s="59">
        <v>1</v>
      </c>
      <c r="G204" s="59">
        <v>82</v>
      </c>
      <c r="H204" s="33" t="s">
        <v>38</v>
      </c>
    </row>
    <row r="205" spans="1:8" ht="12" customHeight="1">
      <c r="A205" s="32" t="s">
        <v>12</v>
      </c>
      <c r="B205" s="8" t="s">
        <v>101</v>
      </c>
      <c r="C205" s="59">
        <v>1</v>
      </c>
      <c r="D205" s="8" t="s">
        <v>90</v>
      </c>
      <c r="E205" s="8" t="s">
        <v>41</v>
      </c>
      <c r="F205" s="59">
        <v>1</v>
      </c>
      <c r="G205" s="59">
        <v>74</v>
      </c>
      <c r="H205" s="33" t="s">
        <v>41</v>
      </c>
    </row>
    <row r="206" spans="1:8" ht="12" customHeight="1">
      <c r="A206" s="32" t="s">
        <v>12</v>
      </c>
      <c r="B206" s="8" t="s">
        <v>101</v>
      </c>
      <c r="C206" s="59">
        <v>2</v>
      </c>
      <c r="D206" s="8" t="s">
        <v>91</v>
      </c>
      <c r="E206" s="8" t="s">
        <v>33</v>
      </c>
      <c r="F206" s="59">
        <v>1</v>
      </c>
      <c r="G206" s="59">
        <v>75</v>
      </c>
      <c r="H206" s="33" t="s">
        <v>33</v>
      </c>
    </row>
    <row r="207" spans="1:8" ht="12" customHeight="1">
      <c r="A207" s="32" t="s">
        <v>12</v>
      </c>
      <c r="B207" s="8" t="s">
        <v>101</v>
      </c>
      <c r="C207" s="59">
        <v>3</v>
      </c>
      <c r="D207" s="8" t="s">
        <v>92</v>
      </c>
      <c r="E207" s="8" t="s">
        <v>49</v>
      </c>
      <c r="F207" s="59">
        <v>1</v>
      </c>
      <c r="G207" s="59">
        <v>77</v>
      </c>
      <c r="H207" s="33" t="s">
        <v>49</v>
      </c>
    </row>
    <row r="208" spans="1:8" ht="12" customHeight="1">
      <c r="A208" s="32" t="s">
        <v>12</v>
      </c>
      <c r="B208" s="8" t="s">
        <v>101</v>
      </c>
      <c r="C208" s="59">
        <v>4</v>
      </c>
      <c r="D208" s="8" t="s">
        <v>93</v>
      </c>
      <c r="E208" s="8" t="s">
        <v>39</v>
      </c>
      <c r="F208" s="59">
        <v>1</v>
      </c>
      <c r="G208" s="59">
        <v>78</v>
      </c>
      <c r="H208" s="33" t="s">
        <v>39</v>
      </c>
    </row>
    <row r="209" spans="1:8" ht="12" customHeight="1">
      <c r="A209" s="32" t="s">
        <v>12</v>
      </c>
      <c r="B209" s="8" t="s">
        <v>101</v>
      </c>
      <c r="C209" s="59">
        <v>5</v>
      </c>
      <c r="D209" s="8" t="s">
        <v>94</v>
      </c>
      <c r="E209" s="8" t="s">
        <v>39</v>
      </c>
      <c r="F209" s="59">
        <v>1</v>
      </c>
      <c r="G209" s="59">
        <v>79</v>
      </c>
      <c r="H209" s="33" t="s">
        <v>39</v>
      </c>
    </row>
    <row r="210" spans="1:8" ht="12" customHeight="1">
      <c r="A210" s="32" t="s">
        <v>12</v>
      </c>
      <c r="B210" s="8" t="s">
        <v>101</v>
      </c>
      <c r="C210" s="59">
        <v>6</v>
      </c>
      <c r="D210" s="8" t="s">
        <v>96</v>
      </c>
      <c r="E210" s="8" t="s">
        <v>45</v>
      </c>
      <c r="F210" s="59">
        <v>1</v>
      </c>
      <c r="G210" s="59">
        <v>81</v>
      </c>
      <c r="H210" s="33" t="s">
        <v>45</v>
      </c>
    </row>
    <row r="211" spans="1:8" ht="12" customHeight="1">
      <c r="A211" s="32" t="s">
        <v>12</v>
      </c>
      <c r="B211" s="8" t="s">
        <v>101</v>
      </c>
      <c r="C211" s="59">
        <v>7</v>
      </c>
      <c r="D211" s="8" t="s">
        <v>97</v>
      </c>
      <c r="E211" s="8" t="s">
        <v>40</v>
      </c>
      <c r="F211" s="59">
        <v>1</v>
      </c>
      <c r="G211" s="59">
        <v>82</v>
      </c>
      <c r="H211" s="33" t="s">
        <v>40</v>
      </c>
    </row>
    <row r="212" spans="1:8" ht="12" customHeight="1">
      <c r="A212" s="32" t="s">
        <v>13</v>
      </c>
      <c r="B212" s="8" t="s">
        <v>89</v>
      </c>
      <c r="C212" s="59">
        <v>1</v>
      </c>
      <c r="D212" s="8" t="s">
        <v>90</v>
      </c>
      <c r="E212" s="8" t="s">
        <v>48</v>
      </c>
      <c r="F212" s="59">
        <v>1</v>
      </c>
      <c r="G212" s="59">
        <v>88</v>
      </c>
      <c r="H212" s="33" t="s">
        <v>48</v>
      </c>
    </row>
    <row r="213" spans="1:8" ht="12" customHeight="1">
      <c r="A213" s="32" t="s">
        <v>13</v>
      </c>
      <c r="B213" s="8" t="s">
        <v>89</v>
      </c>
      <c r="C213" s="59">
        <v>2</v>
      </c>
      <c r="D213" s="8" t="s">
        <v>91</v>
      </c>
      <c r="E213" s="8" t="s">
        <v>34</v>
      </c>
      <c r="F213" s="59">
        <v>1</v>
      </c>
      <c r="G213" s="59">
        <v>89</v>
      </c>
      <c r="H213" s="33" t="s">
        <v>34</v>
      </c>
    </row>
    <row r="214" spans="1:8" ht="12" customHeight="1">
      <c r="A214" s="32" t="s">
        <v>13</v>
      </c>
      <c r="B214" s="8" t="s">
        <v>89</v>
      </c>
      <c r="C214" s="59">
        <v>3</v>
      </c>
      <c r="D214" s="8" t="s">
        <v>92</v>
      </c>
      <c r="E214" s="8" t="s">
        <v>35</v>
      </c>
      <c r="F214" s="59">
        <v>1</v>
      </c>
      <c r="G214" s="59">
        <v>91</v>
      </c>
      <c r="H214" s="33" t="s">
        <v>35</v>
      </c>
    </row>
    <row r="215" spans="1:8" ht="12" customHeight="1">
      <c r="A215" s="32" t="s">
        <v>13</v>
      </c>
      <c r="B215" s="8" t="s">
        <v>89</v>
      </c>
      <c r="C215" s="59">
        <v>4</v>
      </c>
      <c r="D215" s="8" t="s">
        <v>93</v>
      </c>
      <c r="E215" s="8" t="s">
        <v>40</v>
      </c>
      <c r="F215" s="59">
        <v>1</v>
      </c>
      <c r="G215" s="59">
        <v>92</v>
      </c>
      <c r="H215" s="33" t="s">
        <v>40</v>
      </c>
    </row>
    <row r="216" spans="1:8" ht="12" customHeight="1">
      <c r="A216" s="32" t="s">
        <v>13</v>
      </c>
      <c r="B216" s="8" t="s">
        <v>89</v>
      </c>
      <c r="C216" s="59">
        <v>5</v>
      </c>
      <c r="D216" s="8" t="s">
        <v>94</v>
      </c>
      <c r="E216" s="8" t="s">
        <v>38</v>
      </c>
      <c r="F216" s="59">
        <v>1</v>
      </c>
      <c r="G216" s="59">
        <v>93</v>
      </c>
      <c r="H216" s="33" t="s">
        <v>38</v>
      </c>
    </row>
    <row r="217" spans="1:8" ht="12" customHeight="1">
      <c r="A217" s="32" t="s">
        <v>13</v>
      </c>
      <c r="B217" s="8" t="s">
        <v>89</v>
      </c>
      <c r="C217" s="59">
        <v>6</v>
      </c>
      <c r="D217" s="8" t="s">
        <v>96</v>
      </c>
      <c r="E217" s="8" t="s">
        <v>38</v>
      </c>
      <c r="F217" s="59">
        <v>1</v>
      </c>
      <c r="G217" s="59">
        <v>95</v>
      </c>
      <c r="H217" s="33" t="s">
        <v>38</v>
      </c>
    </row>
    <row r="218" spans="1:8" ht="12" customHeight="1">
      <c r="A218" s="32" t="s">
        <v>13</v>
      </c>
      <c r="B218" s="8" t="s">
        <v>89</v>
      </c>
      <c r="C218" s="59">
        <v>7</v>
      </c>
      <c r="D218" s="8" t="s">
        <v>97</v>
      </c>
      <c r="E218" s="8" t="s">
        <v>36</v>
      </c>
      <c r="F218" s="59">
        <v>1</v>
      </c>
      <c r="G218" s="59">
        <v>96</v>
      </c>
      <c r="H218" s="33" t="s">
        <v>36</v>
      </c>
    </row>
    <row r="219" spans="1:8" ht="12" customHeight="1">
      <c r="A219" s="32" t="s">
        <v>13</v>
      </c>
      <c r="B219" s="8" t="s">
        <v>98</v>
      </c>
      <c r="C219" s="59">
        <v>1</v>
      </c>
      <c r="D219" s="8" t="s">
        <v>90</v>
      </c>
      <c r="E219" s="8" t="s">
        <v>45</v>
      </c>
      <c r="F219" s="59">
        <v>1</v>
      </c>
      <c r="G219" s="59">
        <v>88</v>
      </c>
      <c r="H219" s="33" t="s">
        <v>45</v>
      </c>
    </row>
    <row r="220" spans="1:8" ht="12" customHeight="1">
      <c r="A220" s="32" t="s">
        <v>13</v>
      </c>
      <c r="B220" s="8" t="s">
        <v>98</v>
      </c>
      <c r="C220" s="59">
        <v>2</v>
      </c>
      <c r="D220" s="8" t="s">
        <v>91</v>
      </c>
      <c r="E220" s="8" t="s">
        <v>35</v>
      </c>
      <c r="F220" s="59">
        <v>1</v>
      </c>
      <c r="G220" s="59">
        <v>89</v>
      </c>
      <c r="H220" s="33" t="s">
        <v>104</v>
      </c>
    </row>
    <row r="221" spans="1:8" ht="12" customHeight="1">
      <c r="A221" s="32" t="s">
        <v>13</v>
      </c>
      <c r="B221" s="8" t="s">
        <v>98</v>
      </c>
      <c r="C221" s="59">
        <v>3</v>
      </c>
      <c r="D221" s="8" t="s">
        <v>92</v>
      </c>
      <c r="E221" s="8" t="s">
        <v>36</v>
      </c>
      <c r="F221" s="59">
        <v>1</v>
      </c>
      <c r="G221" s="59">
        <v>91</v>
      </c>
      <c r="H221" s="33" t="s">
        <v>36</v>
      </c>
    </row>
    <row r="222" spans="1:8" ht="12" customHeight="1">
      <c r="A222" s="32" t="s">
        <v>13</v>
      </c>
      <c r="B222" s="8" t="s">
        <v>98</v>
      </c>
      <c r="C222" s="59">
        <v>4</v>
      </c>
      <c r="D222" s="8" t="s">
        <v>93</v>
      </c>
      <c r="E222" s="8" t="s">
        <v>36</v>
      </c>
      <c r="F222" s="59">
        <v>1</v>
      </c>
      <c r="G222" s="59">
        <v>92</v>
      </c>
      <c r="H222" s="33" t="s">
        <v>36</v>
      </c>
    </row>
    <row r="223" spans="1:8" ht="12" customHeight="1">
      <c r="A223" s="32" t="s">
        <v>13</v>
      </c>
      <c r="B223" s="8" t="s">
        <v>98</v>
      </c>
      <c r="C223" s="59">
        <v>5</v>
      </c>
      <c r="D223" s="8" t="s">
        <v>94</v>
      </c>
      <c r="E223" s="8" t="s">
        <v>42</v>
      </c>
      <c r="F223" s="59">
        <v>1</v>
      </c>
      <c r="G223" s="59">
        <v>93</v>
      </c>
      <c r="H223" s="33" t="s">
        <v>42</v>
      </c>
    </row>
    <row r="224" spans="1:8" ht="12" customHeight="1">
      <c r="A224" s="32" t="s">
        <v>13</v>
      </c>
      <c r="B224" s="8" t="s">
        <v>98</v>
      </c>
      <c r="C224" s="59">
        <v>6</v>
      </c>
      <c r="D224" s="8" t="s">
        <v>96</v>
      </c>
      <c r="E224" s="8" t="s">
        <v>33</v>
      </c>
      <c r="F224" s="59">
        <v>1</v>
      </c>
      <c r="G224" s="59">
        <v>95</v>
      </c>
      <c r="H224" s="33" t="s">
        <v>33</v>
      </c>
    </row>
    <row r="225" spans="1:8" ht="12" customHeight="1">
      <c r="A225" s="32" t="s">
        <v>13</v>
      </c>
      <c r="B225" s="8" t="s">
        <v>98</v>
      </c>
      <c r="C225" s="59">
        <v>7</v>
      </c>
      <c r="D225" s="8" t="s">
        <v>97</v>
      </c>
      <c r="E225" s="8" t="s">
        <v>33</v>
      </c>
      <c r="F225" s="59">
        <v>1</v>
      </c>
      <c r="G225" s="59">
        <v>96</v>
      </c>
      <c r="H225" s="33" t="s">
        <v>33</v>
      </c>
    </row>
    <row r="226" spans="1:8" ht="12" customHeight="1">
      <c r="A226" s="32" t="s">
        <v>13</v>
      </c>
      <c r="B226" s="8" t="s">
        <v>99</v>
      </c>
      <c r="C226" s="59">
        <v>1</v>
      </c>
      <c r="D226" s="8" t="s">
        <v>90</v>
      </c>
      <c r="E226" s="8" t="s">
        <v>33</v>
      </c>
      <c r="F226" s="59">
        <v>1</v>
      </c>
      <c r="G226" s="59">
        <v>88</v>
      </c>
      <c r="H226" s="33" t="s">
        <v>33</v>
      </c>
    </row>
    <row r="227" spans="1:8" ht="12" customHeight="1">
      <c r="A227" s="32" t="s">
        <v>13</v>
      </c>
      <c r="B227" s="8" t="s">
        <v>99</v>
      </c>
      <c r="C227" s="59">
        <v>2</v>
      </c>
      <c r="D227" s="8" t="s">
        <v>91</v>
      </c>
      <c r="E227" s="8" t="s">
        <v>49</v>
      </c>
      <c r="F227" s="59">
        <v>1</v>
      </c>
      <c r="G227" s="59">
        <v>89</v>
      </c>
      <c r="H227" s="33" t="s">
        <v>49</v>
      </c>
    </row>
    <row r="228" spans="1:8" ht="12" customHeight="1">
      <c r="A228" s="32" t="s">
        <v>13</v>
      </c>
      <c r="B228" s="8" t="s">
        <v>99</v>
      </c>
      <c r="C228" s="59">
        <v>3</v>
      </c>
      <c r="D228" s="8" t="s">
        <v>92</v>
      </c>
      <c r="E228" s="8" t="s">
        <v>39</v>
      </c>
      <c r="F228" s="59">
        <v>1</v>
      </c>
      <c r="G228" s="59">
        <v>91</v>
      </c>
      <c r="H228" s="33" t="s">
        <v>39</v>
      </c>
    </row>
    <row r="229" spans="1:8" ht="12" customHeight="1">
      <c r="A229" s="32" t="s">
        <v>13</v>
      </c>
      <c r="B229" s="8" t="s">
        <v>99</v>
      </c>
      <c r="C229" s="59">
        <v>4</v>
      </c>
      <c r="D229" s="8" t="s">
        <v>93</v>
      </c>
      <c r="E229" s="8" t="s">
        <v>39</v>
      </c>
      <c r="F229" s="59">
        <v>1</v>
      </c>
      <c r="G229" s="59">
        <v>92</v>
      </c>
      <c r="H229" s="33" t="s">
        <v>39</v>
      </c>
    </row>
    <row r="230" spans="1:8" ht="12" customHeight="1">
      <c r="A230" s="32" t="s">
        <v>13</v>
      </c>
      <c r="B230" s="8" t="s">
        <v>99</v>
      </c>
      <c r="C230" s="59">
        <v>5</v>
      </c>
      <c r="D230" s="8" t="s">
        <v>94</v>
      </c>
      <c r="E230" s="8" t="s">
        <v>50</v>
      </c>
      <c r="F230" s="59">
        <v>1</v>
      </c>
      <c r="G230" s="59">
        <v>93</v>
      </c>
      <c r="H230" s="33" t="s">
        <v>50</v>
      </c>
    </row>
    <row r="231" spans="1:8" ht="12" customHeight="1">
      <c r="A231" s="32" t="s">
        <v>13</v>
      </c>
      <c r="B231" s="8" t="s">
        <v>99</v>
      </c>
      <c r="C231" s="59">
        <v>6</v>
      </c>
      <c r="D231" s="8" t="s">
        <v>96</v>
      </c>
      <c r="E231" s="8" t="s">
        <v>40</v>
      </c>
      <c r="F231" s="59">
        <v>1</v>
      </c>
      <c r="G231" s="59">
        <v>95</v>
      </c>
      <c r="H231" s="33" t="s">
        <v>40</v>
      </c>
    </row>
    <row r="232" spans="1:8" ht="12" customHeight="1">
      <c r="A232" s="32" t="s">
        <v>13</v>
      </c>
      <c r="B232" s="8" t="s">
        <v>99</v>
      </c>
      <c r="C232" s="59">
        <v>7</v>
      </c>
      <c r="D232" s="8" t="s">
        <v>97</v>
      </c>
      <c r="E232" s="8" t="s">
        <v>40</v>
      </c>
      <c r="F232" s="59">
        <v>1</v>
      </c>
      <c r="G232" s="59">
        <v>96</v>
      </c>
      <c r="H232" s="33" t="s">
        <v>40</v>
      </c>
    </row>
    <row r="233" spans="1:8" ht="12" customHeight="1">
      <c r="A233" s="32" t="s">
        <v>13</v>
      </c>
      <c r="B233" s="8" t="s">
        <v>100</v>
      </c>
      <c r="C233" s="59">
        <v>1</v>
      </c>
      <c r="D233" s="8" t="s">
        <v>90</v>
      </c>
      <c r="E233" s="8" t="s">
        <v>34</v>
      </c>
      <c r="F233" s="59">
        <v>1</v>
      </c>
      <c r="G233" s="59">
        <v>88</v>
      </c>
      <c r="H233" s="33" t="s">
        <v>34</v>
      </c>
    </row>
    <row r="234" spans="1:8" ht="12" customHeight="1">
      <c r="A234" s="32" t="s">
        <v>13</v>
      </c>
      <c r="B234" s="8" t="s">
        <v>100</v>
      </c>
      <c r="C234" s="59">
        <v>2</v>
      </c>
      <c r="D234" s="8" t="s">
        <v>91</v>
      </c>
      <c r="E234" s="8" t="s">
        <v>34</v>
      </c>
      <c r="F234" s="59">
        <v>1</v>
      </c>
      <c r="G234" s="59">
        <v>89</v>
      </c>
      <c r="H234" s="33" t="s">
        <v>34</v>
      </c>
    </row>
    <row r="235" spans="1:8" ht="12" customHeight="1">
      <c r="A235" s="32" t="s">
        <v>13</v>
      </c>
      <c r="B235" s="8" t="s">
        <v>100</v>
      </c>
      <c r="C235" s="59">
        <v>3</v>
      </c>
      <c r="D235" s="8" t="s">
        <v>92</v>
      </c>
      <c r="E235" s="8" t="s">
        <v>40</v>
      </c>
      <c r="F235" s="59">
        <v>1</v>
      </c>
      <c r="G235" s="59">
        <v>91</v>
      </c>
      <c r="H235" s="33" t="s">
        <v>40</v>
      </c>
    </row>
    <row r="236" spans="1:8" ht="12" customHeight="1">
      <c r="A236" s="32" t="s">
        <v>13</v>
      </c>
      <c r="B236" s="8" t="s">
        <v>100</v>
      </c>
      <c r="C236" s="59">
        <v>4</v>
      </c>
      <c r="D236" s="8" t="s">
        <v>93</v>
      </c>
      <c r="E236" s="8" t="s">
        <v>46</v>
      </c>
      <c r="F236" s="59">
        <v>1</v>
      </c>
      <c r="G236" s="59">
        <v>92</v>
      </c>
      <c r="H236" s="33" t="s">
        <v>46</v>
      </c>
    </row>
    <row r="237" spans="1:8" ht="12" customHeight="1">
      <c r="A237" s="32" t="s">
        <v>13</v>
      </c>
      <c r="B237" s="8" t="s">
        <v>100</v>
      </c>
      <c r="C237" s="59">
        <v>5</v>
      </c>
      <c r="D237" s="8" t="s">
        <v>94</v>
      </c>
      <c r="E237" s="8" t="s">
        <v>36</v>
      </c>
      <c r="F237" s="59">
        <v>1</v>
      </c>
      <c r="G237" s="59">
        <v>93</v>
      </c>
      <c r="H237" s="33" t="s">
        <v>36</v>
      </c>
    </row>
    <row r="238" spans="1:8" ht="12" customHeight="1">
      <c r="A238" s="32" t="s">
        <v>13</v>
      </c>
      <c r="B238" s="8" t="s">
        <v>100</v>
      </c>
      <c r="C238" s="59">
        <v>6</v>
      </c>
      <c r="D238" s="8" t="s">
        <v>96</v>
      </c>
      <c r="E238" s="8" t="s">
        <v>37</v>
      </c>
      <c r="F238" s="59">
        <v>1</v>
      </c>
      <c r="G238" s="59">
        <v>95</v>
      </c>
      <c r="H238" s="33" t="s">
        <v>37</v>
      </c>
    </row>
    <row r="239" spans="1:8" ht="12" customHeight="1">
      <c r="A239" s="32" t="s">
        <v>13</v>
      </c>
      <c r="B239" s="8" t="s">
        <v>100</v>
      </c>
      <c r="C239" s="59">
        <v>7</v>
      </c>
      <c r="D239" s="8" t="s">
        <v>97</v>
      </c>
      <c r="E239" s="8" t="s">
        <v>37</v>
      </c>
      <c r="F239" s="59">
        <v>1</v>
      </c>
      <c r="G239" s="59">
        <v>96</v>
      </c>
      <c r="H239" s="33" t="s">
        <v>37</v>
      </c>
    </row>
    <row r="240" spans="1:8" ht="12" customHeight="1">
      <c r="A240" s="32" t="s">
        <v>13</v>
      </c>
      <c r="B240" s="8" t="s">
        <v>101</v>
      </c>
      <c r="C240" s="59">
        <v>1</v>
      </c>
      <c r="D240" s="8" t="s">
        <v>90</v>
      </c>
      <c r="E240" s="8" t="s">
        <v>41</v>
      </c>
      <c r="F240" s="59">
        <v>1</v>
      </c>
      <c r="G240" s="59">
        <v>88</v>
      </c>
      <c r="H240" s="33" t="s">
        <v>41</v>
      </c>
    </row>
    <row r="241" spans="1:8" ht="12" customHeight="1">
      <c r="A241" s="32" t="s">
        <v>13</v>
      </c>
      <c r="B241" s="8" t="s">
        <v>101</v>
      </c>
      <c r="C241" s="59">
        <v>2</v>
      </c>
      <c r="D241" s="8" t="s">
        <v>91</v>
      </c>
      <c r="E241" s="8" t="s">
        <v>47</v>
      </c>
      <c r="F241" s="59">
        <v>1</v>
      </c>
      <c r="G241" s="59">
        <v>89</v>
      </c>
      <c r="H241" s="33" t="s">
        <v>47</v>
      </c>
    </row>
    <row r="242" spans="1:8" ht="12" customHeight="1">
      <c r="A242" s="32" t="s">
        <v>13</v>
      </c>
      <c r="B242" s="8" t="s">
        <v>101</v>
      </c>
      <c r="C242" s="59">
        <v>3</v>
      </c>
      <c r="D242" s="8" t="s">
        <v>92</v>
      </c>
      <c r="E242" s="8" t="s">
        <v>35</v>
      </c>
      <c r="F242" s="59">
        <v>1</v>
      </c>
      <c r="G242" s="59">
        <v>91</v>
      </c>
      <c r="H242" s="33" t="s">
        <v>35</v>
      </c>
    </row>
    <row r="243" spans="1:8" ht="12" customHeight="1">
      <c r="A243" s="32" t="s">
        <v>13</v>
      </c>
      <c r="B243" s="8" t="s">
        <v>101</v>
      </c>
      <c r="C243" s="59">
        <v>4</v>
      </c>
      <c r="D243" s="8" t="s">
        <v>93</v>
      </c>
      <c r="E243" s="8" t="s">
        <v>35</v>
      </c>
      <c r="F243" s="59">
        <v>1</v>
      </c>
      <c r="G243" s="59">
        <v>92</v>
      </c>
      <c r="H243" s="33" t="s">
        <v>35</v>
      </c>
    </row>
    <row r="244" spans="1:8" ht="12" customHeight="1">
      <c r="A244" s="32" t="s">
        <v>13</v>
      </c>
      <c r="B244" s="8" t="s">
        <v>101</v>
      </c>
      <c r="C244" s="59">
        <v>5</v>
      </c>
      <c r="D244" s="8" t="s">
        <v>94</v>
      </c>
      <c r="E244" s="8" t="s">
        <v>33</v>
      </c>
      <c r="F244" s="59">
        <v>1</v>
      </c>
      <c r="G244" s="59">
        <v>93</v>
      </c>
      <c r="H244" s="33" t="s">
        <v>33</v>
      </c>
    </row>
    <row r="245" spans="1:8" ht="12" customHeight="1">
      <c r="A245" s="32" t="s">
        <v>13</v>
      </c>
      <c r="B245" s="8" t="s">
        <v>101</v>
      </c>
      <c r="C245" s="59">
        <v>6</v>
      </c>
      <c r="D245" s="8" t="s">
        <v>96</v>
      </c>
      <c r="E245" s="8" t="s">
        <v>34</v>
      </c>
      <c r="F245" s="59">
        <v>1</v>
      </c>
      <c r="G245" s="59">
        <v>95</v>
      </c>
      <c r="H245" s="33" t="s">
        <v>34</v>
      </c>
    </row>
    <row r="246" spans="1:8" ht="12" customHeight="1">
      <c r="A246" s="32" t="s">
        <v>13</v>
      </c>
      <c r="B246" s="8" t="s">
        <v>101</v>
      </c>
      <c r="C246" s="59">
        <v>7</v>
      </c>
      <c r="D246" s="8" t="s">
        <v>97</v>
      </c>
      <c r="E246" s="8" t="s">
        <v>34</v>
      </c>
      <c r="F246" s="59">
        <v>1</v>
      </c>
      <c r="G246" s="59">
        <v>96</v>
      </c>
      <c r="H246" s="33" t="s">
        <v>34</v>
      </c>
    </row>
    <row r="247" spans="1:8" ht="12" customHeight="1">
      <c r="A247" s="32" t="s">
        <v>14</v>
      </c>
      <c r="B247" s="8" t="s">
        <v>89</v>
      </c>
      <c r="C247" s="59">
        <v>1</v>
      </c>
      <c r="D247" s="8" t="s">
        <v>90</v>
      </c>
      <c r="E247" s="8" t="s">
        <v>34</v>
      </c>
      <c r="F247" s="59">
        <v>1</v>
      </c>
      <c r="G247" s="59">
        <v>102</v>
      </c>
      <c r="H247" s="33" t="s">
        <v>34</v>
      </c>
    </row>
    <row r="248" spans="1:8" ht="12" customHeight="1">
      <c r="A248" s="32" t="s">
        <v>14</v>
      </c>
      <c r="B248" s="8" t="s">
        <v>89</v>
      </c>
      <c r="C248" s="59">
        <v>2</v>
      </c>
      <c r="D248" s="8" t="s">
        <v>91</v>
      </c>
      <c r="E248" s="8" t="s">
        <v>34</v>
      </c>
      <c r="F248" s="59">
        <v>1</v>
      </c>
      <c r="G248" s="59">
        <v>103</v>
      </c>
      <c r="H248" s="33" t="s">
        <v>34</v>
      </c>
    </row>
    <row r="249" spans="1:8" ht="12" customHeight="1">
      <c r="A249" s="32" t="s">
        <v>14</v>
      </c>
      <c r="B249" s="8" t="s">
        <v>89</v>
      </c>
      <c r="C249" s="59">
        <v>3</v>
      </c>
      <c r="D249" s="8" t="s">
        <v>92</v>
      </c>
      <c r="E249" s="8" t="s">
        <v>49</v>
      </c>
      <c r="F249" s="59">
        <v>1</v>
      </c>
      <c r="G249" s="59">
        <v>105</v>
      </c>
      <c r="H249" s="33" t="s">
        <v>49</v>
      </c>
    </row>
    <row r="250" spans="1:8" ht="12" customHeight="1">
      <c r="A250" s="32" t="s">
        <v>14</v>
      </c>
      <c r="B250" s="8" t="s">
        <v>89</v>
      </c>
      <c r="C250" s="59">
        <v>4</v>
      </c>
      <c r="D250" s="8" t="s">
        <v>93</v>
      </c>
      <c r="E250" s="8" t="s">
        <v>36</v>
      </c>
      <c r="F250" s="59">
        <v>1</v>
      </c>
      <c r="G250" s="59">
        <v>106</v>
      </c>
      <c r="H250" s="33" t="s">
        <v>36</v>
      </c>
    </row>
    <row r="251" spans="1:8" ht="12" customHeight="1">
      <c r="A251" s="32" t="s">
        <v>14</v>
      </c>
      <c r="B251" s="8" t="s">
        <v>89</v>
      </c>
      <c r="C251" s="59">
        <v>5</v>
      </c>
      <c r="D251" s="8" t="s">
        <v>94</v>
      </c>
      <c r="E251" s="8" t="s">
        <v>36</v>
      </c>
      <c r="F251" s="59">
        <v>1</v>
      </c>
      <c r="G251" s="59">
        <v>107</v>
      </c>
      <c r="H251" s="33" t="s">
        <v>36</v>
      </c>
    </row>
    <row r="252" spans="1:8" ht="12" customHeight="1">
      <c r="A252" s="32" t="s">
        <v>14</v>
      </c>
      <c r="B252" s="8" t="s">
        <v>89</v>
      </c>
      <c r="C252" s="59">
        <v>6</v>
      </c>
      <c r="D252" s="8" t="s">
        <v>96</v>
      </c>
      <c r="E252" s="8" t="s">
        <v>40</v>
      </c>
      <c r="F252" s="59">
        <v>1</v>
      </c>
      <c r="G252" s="59">
        <v>109</v>
      </c>
      <c r="H252" s="33" t="s">
        <v>40</v>
      </c>
    </row>
    <row r="253" spans="1:8" ht="12" customHeight="1">
      <c r="A253" s="32" t="s">
        <v>14</v>
      </c>
      <c r="B253" s="8" t="s">
        <v>89</v>
      </c>
      <c r="C253" s="59">
        <v>7</v>
      </c>
      <c r="D253" s="8" t="s">
        <v>97</v>
      </c>
      <c r="E253" s="8" t="s">
        <v>40</v>
      </c>
      <c r="F253" s="59">
        <v>1</v>
      </c>
      <c r="G253" s="59">
        <v>110</v>
      </c>
      <c r="H253" s="33" t="s">
        <v>40</v>
      </c>
    </row>
    <row r="254" spans="1:8" ht="12" customHeight="1">
      <c r="A254" s="32" t="s">
        <v>14</v>
      </c>
      <c r="B254" s="8" t="s">
        <v>98</v>
      </c>
      <c r="C254" s="59">
        <v>1</v>
      </c>
      <c r="D254" s="8" t="s">
        <v>90</v>
      </c>
      <c r="E254" s="8" t="s">
        <v>39</v>
      </c>
      <c r="F254" s="59">
        <v>1</v>
      </c>
      <c r="G254" s="59">
        <v>102</v>
      </c>
      <c r="H254" s="33" t="s">
        <v>39</v>
      </c>
    </row>
    <row r="255" spans="1:8" ht="12" customHeight="1">
      <c r="A255" s="32" t="s">
        <v>14</v>
      </c>
      <c r="B255" s="8" t="s">
        <v>98</v>
      </c>
      <c r="C255" s="59">
        <v>2</v>
      </c>
      <c r="D255" s="8" t="s">
        <v>91</v>
      </c>
      <c r="E255" s="8" t="s">
        <v>39</v>
      </c>
      <c r="F255" s="59">
        <v>1</v>
      </c>
      <c r="G255" s="59">
        <v>103</v>
      </c>
      <c r="H255" s="33" t="s">
        <v>39</v>
      </c>
    </row>
    <row r="256" spans="1:8" ht="12" customHeight="1">
      <c r="A256" s="32" t="s">
        <v>14</v>
      </c>
      <c r="B256" s="8" t="s">
        <v>98</v>
      </c>
      <c r="C256" s="59">
        <v>3</v>
      </c>
      <c r="D256" s="8" t="s">
        <v>92</v>
      </c>
      <c r="E256" s="8" t="s">
        <v>37</v>
      </c>
      <c r="F256" s="59">
        <v>1</v>
      </c>
      <c r="G256" s="59">
        <v>105</v>
      </c>
      <c r="H256" s="33" t="s">
        <v>37</v>
      </c>
    </row>
    <row r="257" spans="1:8" ht="12" customHeight="1">
      <c r="A257" s="32" t="s">
        <v>14</v>
      </c>
      <c r="B257" s="8" t="s">
        <v>98</v>
      </c>
      <c r="C257" s="59">
        <v>4</v>
      </c>
      <c r="D257" s="8" t="s">
        <v>93</v>
      </c>
      <c r="E257" s="8" t="s">
        <v>37</v>
      </c>
      <c r="F257" s="59">
        <v>1</v>
      </c>
      <c r="G257" s="59">
        <v>106</v>
      </c>
      <c r="H257" s="33" t="s">
        <v>37</v>
      </c>
    </row>
    <row r="258" spans="1:8" ht="12" customHeight="1">
      <c r="A258" s="32" t="s">
        <v>14</v>
      </c>
      <c r="B258" s="8" t="s">
        <v>98</v>
      </c>
      <c r="C258" s="59">
        <v>5</v>
      </c>
      <c r="D258" s="8" t="s">
        <v>94</v>
      </c>
      <c r="E258" s="8" t="s">
        <v>48</v>
      </c>
      <c r="F258" s="59">
        <v>1</v>
      </c>
      <c r="G258" s="59">
        <v>107</v>
      </c>
      <c r="H258" s="33" t="s">
        <v>48</v>
      </c>
    </row>
    <row r="259" spans="1:8" ht="12" customHeight="1">
      <c r="A259" s="32" t="s">
        <v>14</v>
      </c>
      <c r="B259" s="8" t="s">
        <v>98</v>
      </c>
      <c r="C259" s="59">
        <v>6</v>
      </c>
      <c r="D259" s="8" t="s">
        <v>96</v>
      </c>
      <c r="E259" s="8" t="s">
        <v>45</v>
      </c>
      <c r="F259" s="59">
        <v>1</v>
      </c>
      <c r="G259" s="59">
        <v>109</v>
      </c>
      <c r="H259" s="33" t="s">
        <v>45</v>
      </c>
    </row>
    <row r="260" spans="1:8" ht="12" customHeight="1">
      <c r="A260" s="32" t="s">
        <v>14</v>
      </c>
      <c r="B260" s="8" t="s">
        <v>98</v>
      </c>
      <c r="C260" s="59">
        <v>7</v>
      </c>
      <c r="D260" s="8" t="s">
        <v>97</v>
      </c>
      <c r="E260" s="8" t="s">
        <v>46</v>
      </c>
      <c r="F260" s="59">
        <v>1</v>
      </c>
      <c r="G260" s="59">
        <v>110</v>
      </c>
      <c r="H260" s="33" t="s">
        <v>46</v>
      </c>
    </row>
    <row r="261" spans="1:8" ht="12" customHeight="1">
      <c r="A261" s="32" t="s">
        <v>14</v>
      </c>
      <c r="B261" s="8" t="s">
        <v>99</v>
      </c>
      <c r="C261" s="59">
        <v>1</v>
      </c>
      <c r="D261" s="8" t="s">
        <v>90</v>
      </c>
      <c r="E261" s="8" t="s">
        <v>38</v>
      </c>
      <c r="F261" s="59">
        <v>1</v>
      </c>
      <c r="G261" s="59">
        <v>102</v>
      </c>
      <c r="H261" s="33" t="s">
        <v>38</v>
      </c>
    </row>
    <row r="262" spans="1:8" ht="12" customHeight="1">
      <c r="A262" s="32" t="s">
        <v>14</v>
      </c>
      <c r="B262" s="8" t="s">
        <v>99</v>
      </c>
      <c r="C262" s="59">
        <v>2</v>
      </c>
      <c r="D262" s="8" t="s">
        <v>91</v>
      </c>
      <c r="E262" s="8" t="s">
        <v>38</v>
      </c>
      <c r="F262" s="59">
        <v>1</v>
      </c>
      <c r="G262" s="59">
        <v>103</v>
      </c>
      <c r="H262" s="33" t="s">
        <v>38</v>
      </c>
    </row>
    <row r="263" spans="1:8" ht="12" customHeight="1">
      <c r="A263" s="32" t="s">
        <v>14</v>
      </c>
      <c r="B263" s="8" t="s">
        <v>99</v>
      </c>
      <c r="C263" s="59">
        <v>3</v>
      </c>
      <c r="D263" s="8" t="s">
        <v>92</v>
      </c>
      <c r="E263" s="8" t="s">
        <v>35</v>
      </c>
      <c r="F263" s="59">
        <v>1</v>
      </c>
      <c r="G263" s="59">
        <v>105</v>
      </c>
      <c r="H263" s="33" t="s">
        <v>35</v>
      </c>
    </row>
    <row r="264" spans="1:8" ht="12" customHeight="1">
      <c r="A264" s="32" t="s">
        <v>14</v>
      </c>
      <c r="B264" s="8" t="s">
        <v>99</v>
      </c>
      <c r="C264" s="59">
        <v>4</v>
      </c>
      <c r="D264" s="8" t="s">
        <v>93</v>
      </c>
      <c r="E264" s="8" t="s">
        <v>35</v>
      </c>
      <c r="F264" s="59">
        <v>1</v>
      </c>
      <c r="G264" s="59">
        <v>106</v>
      </c>
      <c r="H264" s="33" t="s">
        <v>35</v>
      </c>
    </row>
    <row r="265" spans="1:8" ht="12" customHeight="1">
      <c r="A265" s="32" t="s">
        <v>14</v>
      </c>
      <c r="B265" s="8" t="s">
        <v>99</v>
      </c>
      <c r="C265" s="59">
        <v>5</v>
      </c>
      <c r="D265" s="8" t="s">
        <v>94</v>
      </c>
      <c r="E265" s="8" t="s">
        <v>50</v>
      </c>
      <c r="F265" s="59">
        <v>1</v>
      </c>
      <c r="G265" s="59">
        <v>107</v>
      </c>
      <c r="H265" s="33" t="s">
        <v>50</v>
      </c>
    </row>
    <row r="266" spans="1:8" ht="12" customHeight="1">
      <c r="A266" s="32" t="s">
        <v>14</v>
      </c>
      <c r="B266" s="8" t="s">
        <v>99</v>
      </c>
      <c r="C266" s="59">
        <v>6</v>
      </c>
      <c r="D266" s="8" t="s">
        <v>96</v>
      </c>
      <c r="E266" s="8" t="s">
        <v>33</v>
      </c>
      <c r="F266" s="59">
        <v>1</v>
      </c>
      <c r="G266" s="59">
        <v>109</v>
      </c>
      <c r="H266" s="33" t="s">
        <v>33</v>
      </c>
    </row>
    <row r="267" spans="1:8" ht="12" customHeight="1">
      <c r="A267" s="32" t="s">
        <v>14</v>
      </c>
      <c r="B267" s="8" t="s">
        <v>99</v>
      </c>
      <c r="C267" s="59">
        <v>7</v>
      </c>
      <c r="D267" s="8" t="s">
        <v>97</v>
      </c>
      <c r="E267" s="8" t="s">
        <v>40</v>
      </c>
      <c r="F267" s="59">
        <v>1</v>
      </c>
      <c r="G267" s="59">
        <v>110</v>
      </c>
      <c r="H267" s="33" t="s">
        <v>40</v>
      </c>
    </row>
    <row r="268" spans="1:8" ht="12" customHeight="1">
      <c r="A268" s="32" t="s">
        <v>14</v>
      </c>
      <c r="B268" s="8" t="s">
        <v>100</v>
      </c>
      <c r="C268" s="59">
        <v>1</v>
      </c>
      <c r="D268" s="8" t="s">
        <v>90</v>
      </c>
      <c r="E268" s="8" t="s">
        <v>34</v>
      </c>
      <c r="F268" s="59">
        <v>1</v>
      </c>
      <c r="G268" s="59">
        <v>102</v>
      </c>
      <c r="H268" s="33" t="s">
        <v>34</v>
      </c>
    </row>
    <row r="269" spans="1:8" ht="12" customHeight="1">
      <c r="A269" s="32" t="s">
        <v>14</v>
      </c>
      <c r="B269" s="8" t="s">
        <v>100</v>
      </c>
      <c r="C269" s="59">
        <v>2</v>
      </c>
      <c r="D269" s="8" t="s">
        <v>91</v>
      </c>
      <c r="E269" s="8" t="s">
        <v>33</v>
      </c>
      <c r="F269" s="59">
        <v>1</v>
      </c>
      <c r="G269" s="59">
        <v>103</v>
      </c>
      <c r="H269" s="33" t="s">
        <v>33</v>
      </c>
    </row>
    <row r="270" spans="1:8" ht="12" customHeight="1">
      <c r="A270" s="32" t="s">
        <v>14</v>
      </c>
      <c r="B270" s="8" t="s">
        <v>100</v>
      </c>
      <c r="C270" s="59">
        <v>3</v>
      </c>
      <c r="D270" s="8" t="s">
        <v>92</v>
      </c>
      <c r="E270" s="8" t="s">
        <v>33</v>
      </c>
      <c r="F270" s="59">
        <v>1</v>
      </c>
      <c r="G270" s="59">
        <v>105</v>
      </c>
      <c r="H270" s="33" t="s">
        <v>33</v>
      </c>
    </row>
    <row r="271" spans="1:8" ht="12" customHeight="1">
      <c r="A271" s="32" t="s">
        <v>14</v>
      </c>
      <c r="B271" s="8" t="s">
        <v>100</v>
      </c>
      <c r="C271" s="59">
        <v>4</v>
      </c>
      <c r="D271" s="8" t="s">
        <v>93</v>
      </c>
      <c r="E271" s="8" t="s">
        <v>35</v>
      </c>
      <c r="F271" s="59">
        <v>1</v>
      </c>
      <c r="G271" s="59">
        <v>106</v>
      </c>
      <c r="H271" s="33" t="s">
        <v>35</v>
      </c>
    </row>
    <row r="272" spans="1:8" ht="12" customHeight="1">
      <c r="A272" s="32" t="s">
        <v>14</v>
      </c>
      <c r="B272" s="8" t="s">
        <v>100</v>
      </c>
      <c r="C272" s="59">
        <v>5</v>
      </c>
      <c r="D272" s="8" t="s">
        <v>94</v>
      </c>
      <c r="E272" s="8" t="s">
        <v>35</v>
      </c>
      <c r="F272" s="59">
        <v>1</v>
      </c>
      <c r="G272" s="59">
        <v>107</v>
      </c>
      <c r="H272" s="33" t="s">
        <v>35</v>
      </c>
    </row>
    <row r="273" spans="1:8" ht="12" customHeight="1">
      <c r="A273" s="32" t="s">
        <v>14</v>
      </c>
      <c r="B273" s="8" t="s">
        <v>100</v>
      </c>
      <c r="C273" s="59">
        <v>6</v>
      </c>
      <c r="D273" s="8" t="s">
        <v>96</v>
      </c>
      <c r="E273" s="8" t="s">
        <v>36</v>
      </c>
      <c r="F273" s="59">
        <v>1</v>
      </c>
      <c r="G273" s="59">
        <v>109</v>
      </c>
      <c r="H273" s="33" t="s">
        <v>36</v>
      </c>
    </row>
    <row r="274" spans="1:8" ht="12" customHeight="1">
      <c r="A274" s="32" t="s">
        <v>14</v>
      </c>
      <c r="B274" s="8" t="s">
        <v>100</v>
      </c>
      <c r="C274" s="59">
        <v>7</v>
      </c>
      <c r="D274" s="8" t="s">
        <v>97</v>
      </c>
      <c r="E274" s="8" t="s">
        <v>36</v>
      </c>
      <c r="F274" s="59">
        <v>1</v>
      </c>
      <c r="G274" s="59">
        <v>110</v>
      </c>
      <c r="H274" s="33" t="s">
        <v>36</v>
      </c>
    </row>
    <row r="275" spans="1:8" ht="12" customHeight="1">
      <c r="A275" s="32" t="s">
        <v>14</v>
      </c>
      <c r="B275" s="8" t="s">
        <v>101</v>
      </c>
      <c r="C275" s="59">
        <v>1</v>
      </c>
      <c r="D275" s="8" t="s">
        <v>90</v>
      </c>
      <c r="E275" s="8" t="s">
        <v>41</v>
      </c>
      <c r="F275" s="59">
        <v>1</v>
      </c>
      <c r="G275" s="59">
        <v>102</v>
      </c>
      <c r="H275" s="33" t="s">
        <v>41</v>
      </c>
    </row>
    <row r="276" spans="1:8" ht="12" customHeight="1">
      <c r="A276" s="32" t="s">
        <v>14</v>
      </c>
      <c r="B276" s="8" t="s">
        <v>101</v>
      </c>
      <c r="C276" s="59">
        <v>2</v>
      </c>
      <c r="D276" s="8" t="s">
        <v>91</v>
      </c>
      <c r="E276" s="8" t="s">
        <v>40</v>
      </c>
      <c r="F276" s="59">
        <v>1</v>
      </c>
      <c r="G276" s="59">
        <v>103</v>
      </c>
      <c r="H276" s="33" t="s">
        <v>40</v>
      </c>
    </row>
    <row r="277" spans="1:8" ht="12" customHeight="1">
      <c r="A277" s="32" t="s">
        <v>14</v>
      </c>
      <c r="B277" s="8" t="s">
        <v>101</v>
      </c>
      <c r="C277" s="59">
        <v>3</v>
      </c>
      <c r="D277" s="8" t="s">
        <v>92</v>
      </c>
      <c r="E277" s="8" t="s">
        <v>42</v>
      </c>
      <c r="F277" s="59">
        <v>1</v>
      </c>
      <c r="G277" s="59">
        <v>105</v>
      </c>
      <c r="H277" s="33" t="s">
        <v>42</v>
      </c>
    </row>
    <row r="278" spans="1:8" ht="12" customHeight="1">
      <c r="A278" s="32" t="s">
        <v>14</v>
      </c>
      <c r="B278" s="8" t="s">
        <v>101</v>
      </c>
      <c r="C278" s="59">
        <v>4</v>
      </c>
      <c r="D278" s="8" t="s">
        <v>93</v>
      </c>
      <c r="E278" s="8" t="s">
        <v>33</v>
      </c>
      <c r="F278" s="59">
        <v>1</v>
      </c>
      <c r="G278" s="59">
        <v>106</v>
      </c>
      <c r="H278" s="33" t="s">
        <v>33</v>
      </c>
    </row>
    <row r="279" spans="1:8" ht="12" customHeight="1">
      <c r="A279" s="32" t="s">
        <v>14</v>
      </c>
      <c r="B279" s="8" t="s">
        <v>101</v>
      </c>
      <c r="C279" s="59">
        <v>5</v>
      </c>
      <c r="D279" s="8" t="s">
        <v>94</v>
      </c>
      <c r="E279" s="8" t="s">
        <v>47</v>
      </c>
      <c r="F279" s="59">
        <v>1</v>
      </c>
      <c r="G279" s="59">
        <v>107</v>
      </c>
      <c r="H279" s="33" t="s">
        <v>47</v>
      </c>
    </row>
    <row r="280" spans="1:8" ht="12" customHeight="1">
      <c r="A280" s="32" t="s">
        <v>14</v>
      </c>
      <c r="B280" s="8" t="s">
        <v>101</v>
      </c>
      <c r="C280" s="59">
        <v>6</v>
      </c>
      <c r="D280" s="8" t="s">
        <v>96</v>
      </c>
      <c r="E280" s="8" t="s">
        <v>34</v>
      </c>
      <c r="F280" s="59">
        <v>1</v>
      </c>
      <c r="G280" s="59">
        <v>109</v>
      </c>
      <c r="H280" s="33" t="s">
        <v>34</v>
      </c>
    </row>
    <row r="281" spans="1:8" ht="12" customHeight="1">
      <c r="A281" s="32" t="s">
        <v>14</v>
      </c>
      <c r="B281" s="8" t="s">
        <v>101</v>
      </c>
      <c r="C281" s="59">
        <v>7</v>
      </c>
      <c r="D281" s="8" t="s">
        <v>97</v>
      </c>
      <c r="E281" s="8" t="s">
        <v>34</v>
      </c>
      <c r="F281" s="59">
        <v>1</v>
      </c>
      <c r="G281" s="59">
        <v>110</v>
      </c>
      <c r="H281" s="33" t="s">
        <v>34</v>
      </c>
    </row>
    <row r="282" spans="1:8" ht="12" customHeight="1">
      <c r="A282" s="32" t="s">
        <v>15</v>
      </c>
      <c r="B282" s="8" t="s">
        <v>89</v>
      </c>
      <c r="C282" s="59">
        <v>1</v>
      </c>
      <c r="D282" s="8" t="s">
        <v>90</v>
      </c>
      <c r="E282" s="8" t="s">
        <v>37</v>
      </c>
      <c r="F282" s="59">
        <v>1</v>
      </c>
      <c r="G282" s="59">
        <v>116</v>
      </c>
      <c r="H282" s="33" t="s">
        <v>105</v>
      </c>
    </row>
    <row r="283" spans="1:8" ht="12" customHeight="1">
      <c r="A283" s="32" t="s">
        <v>15</v>
      </c>
      <c r="B283" s="8" t="s">
        <v>89</v>
      </c>
      <c r="C283" s="59">
        <v>2</v>
      </c>
      <c r="D283" s="8" t="s">
        <v>91</v>
      </c>
      <c r="E283" s="8" t="s">
        <v>37</v>
      </c>
      <c r="F283" s="59">
        <v>1</v>
      </c>
      <c r="G283" s="59">
        <v>117</v>
      </c>
      <c r="H283" s="33" t="s">
        <v>105</v>
      </c>
    </row>
    <row r="284" spans="1:8" ht="12" customHeight="1">
      <c r="A284" s="32" t="s">
        <v>15</v>
      </c>
      <c r="B284" s="8" t="s">
        <v>89</v>
      </c>
      <c r="C284" s="59">
        <v>3</v>
      </c>
      <c r="D284" s="8" t="s">
        <v>92</v>
      </c>
      <c r="E284" s="8" t="s">
        <v>36</v>
      </c>
      <c r="F284" s="59">
        <v>1</v>
      </c>
      <c r="G284" s="59">
        <v>119</v>
      </c>
      <c r="H284" s="33" t="s">
        <v>36</v>
      </c>
    </row>
    <row r="285" spans="1:8" ht="12" customHeight="1">
      <c r="A285" s="32" t="s">
        <v>15</v>
      </c>
      <c r="B285" s="8" t="s">
        <v>89</v>
      </c>
      <c r="C285" s="59">
        <v>4</v>
      </c>
      <c r="D285" s="8" t="s">
        <v>93</v>
      </c>
      <c r="E285" s="8" t="s">
        <v>33</v>
      </c>
      <c r="F285" s="59">
        <v>1</v>
      </c>
      <c r="G285" s="59">
        <v>120</v>
      </c>
      <c r="H285" s="33" t="s">
        <v>33</v>
      </c>
    </row>
    <row r="286" spans="1:8" ht="12" customHeight="1">
      <c r="A286" s="32" t="s">
        <v>15</v>
      </c>
      <c r="B286" s="8" t="s">
        <v>89</v>
      </c>
      <c r="C286" s="59">
        <v>5</v>
      </c>
      <c r="D286" s="8" t="s">
        <v>94</v>
      </c>
      <c r="E286" s="8" t="s">
        <v>33</v>
      </c>
      <c r="F286" s="59">
        <v>1</v>
      </c>
      <c r="G286" s="59">
        <v>121</v>
      </c>
      <c r="H286" s="33" t="s">
        <v>33</v>
      </c>
    </row>
    <row r="287" spans="1:8" ht="12" customHeight="1">
      <c r="A287" s="32" t="s">
        <v>15</v>
      </c>
      <c r="B287" s="8" t="s">
        <v>89</v>
      </c>
      <c r="C287" s="59">
        <v>6</v>
      </c>
      <c r="D287" s="8" t="s">
        <v>96</v>
      </c>
      <c r="E287" s="8" t="s">
        <v>34</v>
      </c>
      <c r="F287" s="59">
        <v>1</v>
      </c>
      <c r="G287" s="59">
        <v>123</v>
      </c>
      <c r="H287" s="33" t="s">
        <v>34</v>
      </c>
    </row>
    <row r="288" spans="1:8" ht="12" customHeight="1">
      <c r="A288" s="32" t="s">
        <v>15</v>
      </c>
      <c r="B288" s="8" t="s">
        <v>89</v>
      </c>
      <c r="C288" s="59">
        <v>7</v>
      </c>
      <c r="D288" s="8" t="s">
        <v>97</v>
      </c>
      <c r="E288" s="8" t="s">
        <v>47</v>
      </c>
      <c r="F288" s="59">
        <v>1</v>
      </c>
      <c r="G288" s="59">
        <v>124</v>
      </c>
      <c r="H288" s="33" t="s">
        <v>47</v>
      </c>
    </row>
    <row r="289" spans="1:8" ht="12" customHeight="1">
      <c r="A289" s="32" t="s">
        <v>15</v>
      </c>
      <c r="B289" s="8" t="s">
        <v>98</v>
      </c>
      <c r="C289" s="59">
        <v>1</v>
      </c>
      <c r="D289" s="8" t="s">
        <v>90</v>
      </c>
      <c r="E289" s="8" t="s">
        <v>48</v>
      </c>
      <c r="F289" s="59">
        <v>1</v>
      </c>
      <c r="G289" s="59">
        <v>116</v>
      </c>
      <c r="H289" s="33" t="s">
        <v>48</v>
      </c>
    </row>
    <row r="290" spans="1:8" ht="12" customHeight="1">
      <c r="A290" s="32" t="s">
        <v>15</v>
      </c>
      <c r="B290" s="8" t="s">
        <v>98</v>
      </c>
      <c r="C290" s="59">
        <v>2</v>
      </c>
      <c r="D290" s="8" t="s">
        <v>91</v>
      </c>
      <c r="E290" s="8" t="s">
        <v>35</v>
      </c>
      <c r="F290" s="59">
        <v>1</v>
      </c>
      <c r="G290" s="59">
        <v>117</v>
      </c>
      <c r="H290" s="33" t="s">
        <v>35</v>
      </c>
    </row>
    <row r="291" spans="1:8" ht="12" customHeight="1">
      <c r="A291" s="32" t="s">
        <v>15</v>
      </c>
      <c r="B291" s="8" t="s">
        <v>98</v>
      </c>
      <c r="C291" s="59">
        <v>3</v>
      </c>
      <c r="D291" s="8" t="s">
        <v>92</v>
      </c>
      <c r="E291" s="8" t="s">
        <v>35</v>
      </c>
      <c r="F291" s="59">
        <v>1</v>
      </c>
      <c r="G291" s="59">
        <v>119</v>
      </c>
      <c r="H291" s="33" t="s">
        <v>35</v>
      </c>
    </row>
    <row r="292" spans="1:8" ht="12" customHeight="1">
      <c r="A292" s="32" t="s">
        <v>15</v>
      </c>
      <c r="B292" s="8" t="s">
        <v>98</v>
      </c>
      <c r="C292" s="59">
        <v>4</v>
      </c>
      <c r="D292" s="8" t="s">
        <v>93</v>
      </c>
      <c r="E292" s="8" t="s">
        <v>34</v>
      </c>
      <c r="F292" s="59">
        <v>1</v>
      </c>
      <c r="G292" s="59">
        <v>120</v>
      </c>
      <c r="H292" s="33" t="s">
        <v>34</v>
      </c>
    </row>
    <row r="293" spans="1:8" ht="12" customHeight="1">
      <c r="A293" s="32" t="s">
        <v>15</v>
      </c>
      <c r="B293" s="8" t="s">
        <v>98</v>
      </c>
      <c r="C293" s="59">
        <v>5</v>
      </c>
      <c r="D293" s="8" t="s">
        <v>94</v>
      </c>
      <c r="E293" s="8" t="s">
        <v>50</v>
      </c>
      <c r="F293" s="59">
        <v>1</v>
      </c>
      <c r="G293" s="59">
        <v>121</v>
      </c>
      <c r="H293" s="33" t="s">
        <v>50</v>
      </c>
    </row>
    <row r="294" spans="1:8" ht="12" customHeight="1">
      <c r="A294" s="32" t="s">
        <v>15</v>
      </c>
      <c r="B294" s="8" t="s">
        <v>98</v>
      </c>
      <c r="C294" s="59">
        <v>6</v>
      </c>
      <c r="D294" s="8" t="s">
        <v>96</v>
      </c>
      <c r="E294" s="8" t="s">
        <v>44</v>
      </c>
      <c r="F294" s="59">
        <v>1</v>
      </c>
      <c r="G294" s="59">
        <v>123</v>
      </c>
      <c r="H294" s="33" t="s">
        <v>44</v>
      </c>
    </row>
    <row r="295" spans="1:8" ht="12" customHeight="1">
      <c r="A295" s="32" t="s">
        <v>15</v>
      </c>
      <c r="B295" s="8" t="s">
        <v>98</v>
      </c>
      <c r="C295" s="59">
        <v>7</v>
      </c>
      <c r="D295" s="8" t="s">
        <v>97</v>
      </c>
      <c r="E295" s="8" t="s">
        <v>44</v>
      </c>
      <c r="F295" s="59">
        <v>1</v>
      </c>
      <c r="G295" s="59">
        <v>124</v>
      </c>
      <c r="H295" s="33" t="s">
        <v>44</v>
      </c>
    </row>
    <row r="296" spans="1:8" ht="12" customHeight="1">
      <c r="A296" s="32" t="s">
        <v>15</v>
      </c>
      <c r="B296" s="8" t="s">
        <v>99</v>
      </c>
      <c r="C296" s="59">
        <v>1</v>
      </c>
      <c r="D296" s="8" t="s">
        <v>90</v>
      </c>
      <c r="E296" s="8" t="s">
        <v>51</v>
      </c>
      <c r="F296" s="59">
        <v>1</v>
      </c>
      <c r="G296" s="59">
        <v>116</v>
      </c>
      <c r="H296" s="33" t="s">
        <v>51</v>
      </c>
    </row>
    <row r="297" spans="1:8" ht="12" customHeight="1">
      <c r="A297" s="32" t="s">
        <v>15</v>
      </c>
      <c r="B297" s="8" t="s">
        <v>99</v>
      </c>
      <c r="C297" s="59">
        <v>2</v>
      </c>
      <c r="D297" s="8" t="s">
        <v>91</v>
      </c>
      <c r="E297" s="8" t="s">
        <v>36</v>
      </c>
      <c r="F297" s="59">
        <v>1</v>
      </c>
      <c r="G297" s="59">
        <v>117</v>
      </c>
      <c r="H297" s="33" t="s">
        <v>36</v>
      </c>
    </row>
    <row r="298" spans="1:8" ht="12" customHeight="1">
      <c r="A298" s="32" t="s">
        <v>15</v>
      </c>
      <c r="B298" s="8" t="s">
        <v>99</v>
      </c>
      <c r="C298" s="59">
        <v>3</v>
      </c>
      <c r="D298" s="8" t="s">
        <v>92</v>
      </c>
      <c r="E298" s="8" t="s">
        <v>36</v>
      </c>
      <c r="F298" s="59">
        <v>1</v>
      </c>
      <c r="G298" s="59">
        <v>119</v>
      </c>
      <c r="H298" s="33" t="s">
        <v>36</v>
      </c>
    </row>
    <row r="299" spans="1:8" ht="12" customHeight="1">
      <c r="A299" s="32" t="s">
        <v>15</v>
      </c>
      <c r="B299" s="8" t="s">
        <v>99</v>
      </c>
      <c r="C299" s="59">
        <v>4</v>
      </c>
      <c r="D299" s="8" t="s">
        <v>93</v>
      </c>
      <c r="E299" s="8" t="s">
        <v>42</v>
      </c>
      <c r="F299" s="59">
        <v>1</v>
      </c>
      <c r="G299" s="59">
        <v>120</v>
      </c>
      <c r="H299" s="33" t="s">
        <v>42</v>
      </c>
    </row>
    <row r="300" spans="1:8" ht="12" customHeight="1">
      <c r="A300" s="32" t="s">
        <v>15</v>
      </c>
      <c r="B300" s="8" t="s">
        <v>99</v>
      </c>
      <c r="C300" s="59">
        <v>5</v>
      </c>
      <c r="D300" s="8" t="s">
        <v>94</v>
      </c>
      <c r="E300" s="8" t="s">
        <v>39</v>
      </c>
      <c r="F300" s="59">
        <v>1</v>
      </c>
      <c r="G300" s="59">
        <v>121</v>
      </c>
      <c r="H300" s="33" t="s">
        <v>39</v>
      </c>
    </row>
    <row r="301" spans="1:8" ht="12" customHeight="1">
      <c r="A301" s="32" t="s">
        <v>15</v>
      </c>
      <c r="B301" s="8" t="s">
        <v>99</v>
      </c>
      <c r="C301" s="59">
        <v>6</v>
      </c>
      <c r="D301" s="8" t="s">
        <v>96</v>
      </c>
      <c r="E301" s="8" t="s">
        <v>39</v>
      </c>
      <c r="F301" s="59">
        <v>1</v>
      </c>
      <c r="G301" s="59">
        <v>123</v>
      </c>
      <c r="H301" s="33" t="s">
        <v>39</v>
      </c>
    </row>
    <row r="302" spans="1:8" ht="12" customHeight="1">
      <c r="A302" s="32" t="s">
        <v>15</v>
      </c>
      <c r="B302" s="8" t="s">
        <v>99</v>
      </c>
      <c r="C302" s="59">
        <v>7</v>
      </c>
      <c r="D302" s="8" t="s">
        <v>97</v>
      </c>
      <c r="E302" s="8" t="s">
        <v>35</v>
      </c>
      <c r="F302" s="59">
        <v>1</v>
      </c>
      <c r="G302" s="59">
        <v>124</v>
      </c>
      <c r="H302" s="33" t="s">
        <v>35</v>
      </c>
    </row>
    <row r="303" spans="1:8" ht="12" customHeight="1">
      <c r="A303" s="32" t="s">
        <v>15</v>
      </c>
      <c r="B303" s="8" t="s">
        <v>100</v>
      </c>
      <c r="C303" s="59">
        <v>1</v>
      </c>
      <c r="D303" s="8" t="s">
        <v>90</v>
      </c>
      <c r="E303" s="8" t="s">
        <v>38</v>
      </c>
      <c r="F303" s="59">
        <v>1</v>
      </c>
      <c r="G303" s="59">
        <v>116</v>
      </c>
      <c r="H303" s="33" t="s">
        <v>38</v>
      </c>
    </row>
    <row r="304" spans="1:8" ht="12" customHeight="1">
      <c r="A304" s="32" t="s">
        <v>15</v>
      </c>
      <c r="B304" s="8" t="s">
        <v>100</v>
      </c>
      <c r="C304" s="59">
        <v>2</v>
      </c>
      <c r="D304" s="8" t="s">
        <v>91</v>
      </c>
      <c r="E304" s="8" t="s">
        <v>38</v>
      </c>
      <c r="F304" s="59">
        <v>1</v>
      </c>
      <c r="G304" s="59">
        <v>117</v>
      </c>
      <c r="H304" s="33" t="s">
        <v>38</v>
      </c>
    </row>
    <row r="305" spans="1:8" ht="12" customHeight="1">
      <c r="A305" s="32" t="s">
        <v>15</v>
      </c>
      <c r="B305" s="8" t="s">
        <v>100</v>
      </c>
      <c r="C305" s="59">
        <v>3</v>
      </c>
      <c r="D305" s="8" t="s">
        <v>92</v>
      </c>
      <c r="E305" s="8" t="s">
        <v>36</v>
      </c>
      <c r="F305" s="59">
        <v>1</v>
      </c>
      <c r="G305" s="59">
        <v>119</v>
      </c>
      <c r="H305" s="33" t="s">
        <v>36</v>
      </c>
    </row>
    <row r="306" spans="1:8" ht="12" customHeight="1">
      <c r="A306" s="32" t="s">
        <v>15</v>
      </c>
      <c r="B306" s="8" t="s">
        <v>100</v>
      </c>
      <c r="C306" s="59">
        <v>4</v>
      </c>
      <c r="D306" s="8" t="s">
        <v>93</v>
      </c>
      <c r="E306" s="8" t="s">
        <v>33</v>
      </c>
      <c r="F306" s="59">
        <v>1</v>
      </c>
      <c r="G306" s="59">
        <v>120</v>
      </c>
      <c r="H306" s="33" t="s">
        <v>33</v>
      </c>
    </row>
    <row r="307" spans="1:8" ht="12" customHeight="1">
      <c r="A307" s="32" t="s">
        <v>15</v>
      </c>
      <c r="B307" s="8" t="s">
        <v>100</v>
      </c>
      <c r="C307" s="59">
        <v>5</v>
      </c>
      <c r="D307" s="8" t="s">
        <v>94</v>
      </c>
      <c r="E307" s="8" t="s">
        <v>46</v>
      </c>
      <c r="F307" s="59">
        <v>1</v>
      </c>
      <c r="G307" s="59">
        <v>121</v>
      </c>
      <c r="H307" s="33" t="s">
        <v>46</v>
      </c>
    </row>
    <row r="308" spans="1:8" ht="12" customHeight="1">
      <c r="A308" s="32" t="s">
        <v>15</v>
      </c>
      <c r="B308" s="8" t="s">
        <v>100</v>
      </c>
      <c r="C308" s="59">
        <v>6</v>
      </c>
      <c r="D308" s="8" t="s">
        <v>96</v>
      </c>
      <c r="E308" s="8" t="s">
        <v>34</v>
      </c>
      <c r="F308" s="59">
        <v>1</v>
      </c>
      <c r="G308" s="59">
        <v>123</v>
      </c>
      <c r="H308" s="33" t="s">
        <v>109</v>
      </c>
    </row>
    <row r="309" spans="1:8" ht="12" customHeight="1">
      <c r="A309" s="32" t="s">
        <v>15</v>
      </c>
      <c r="B309" s="8" t="s">
        <v>100</v>
      </c>
      <c r="C309" s="59">
        <v>7</v>
      </c>
      <c r="D309" s="8" t="s">
        <v>97</v>
      </c>
      <c r="E309" s="8" t="s">
        <v>34</v>
      </c>
      <c r="F309" s="59">
        <v>1</v>
      </c>
      <c r="G309" s="59">
        <v>124</v>
      </c>
      <c r="H309" s="33" t="s">
        <v>109</v>
      </c>
    </row>
    <row r="310" spans="1:8" ht="12" customHeight="1">
      <c r="A310" s="32" t="s">
        <v>15</v>
      </c>
      <c r="B310" s="8" t="s">
        <v>101</v>
      </c>
      <c r="C310" s="59">
        <v>1</v>
      </c>
      <c r="D310" s="8" t="s">
        <v>90</v>
      </c>
      <c r="E310" s="8" t="s">
        <v>41</v>
      </c>
      <c r="F310" s="59">
        <v>1</v>
      </c>
      <c r="G310" s="59">
        <v>116</v>
      </c>
      <c r="H310" s="33" t="s">
        <v>41</v>
      </c>
    </row>
    <row r="311" spans="1:8" ht="12" customHeight="1">
      <c r="A311" s="32" t="s">
        <v>15</v>
      </c>
      <c r="B311" s="8" t="s">
        <v>101</v>
      </c>
      <c r="C311" s="59">
        <v>2</v>
      </c>
      <c r="D311" s="8" t="s">
        <v>91</v>
      </c>
      <c r="E311" s="8" t="s">
        <v>43</v>
      </c>
      <c r="F311" s="59">
        <v>1</v>
      </c>
      <c r="G311" s="59">
        <v>117</v>
      </c>
      <c r="H311" s="33" t="s">
        <v>43</v>
      </c>
    </row>
    <row r="312" spans="1:8" ht="12" customHeight="1">
      <c r="A312" s="32" t="s">
        <v>15</v>
      </c>
      <c r="B312" s="8" t="s">
        <v>101</v>
      </c>
      <c r="C312" s="59">
        <v>3</v>
      </c>
      <c r="D312" s="8" t="s">
        <v>92</v>
      </c>
      <c r="E312" s="8" t="s">
        <v>43</v>
      </c>
      <c r="F312" s="59">
        <v>1</v>
      </c>
      <c r="G312" s="59">
        <v>119</v>
      </c>
      <c r="H312" s="33" t="s">
        <v>43</v>
      </c>
    </row>
    <row r="313" spans="1:8" ht="12" customHeight="1">
      <c r="A313" s="32" t="s">
        <v>15</v>
      </c>
      <c r="B313" s="8" t="s">
        <v>101</v>
      </c>
      <c r="C313" s="59">
        <v>4</v>
      </c>
      <c r="D313" s="8" t="s">
        <v>93</v>
      </c>
      <c r="E313" s="8" t="s">
        <v>49</v>
      </c>
      <c r="F313" s="59">
        <v>1</v>
      </c>
      <c r="G313" s="59">
        <v>120</v>
      </c>
      <c r="H313" s="33" t="s">
        <v>49</v>
      </c>
    </row>
    <row r="314" spans="1:8" ht="12" customHeight="1">
      <c r="A314" s="32" t="s">
        <v>15</v>
      </c>
      <c r="B314" s="8" t="s">
        <v>101</v>
      </c>
      <c r="C314" s="59">
        <v>5</v>
      </c>
      <c r="D314" s="8" t="s">
        <v>94</v>
      </c>
      <c r="E314" s="8" t="s">
        <v>45</v>
      </c>
      <c r="F314" s="59">
        <v>1</v>
      </c>
      <c r="G314" s="59">
        <v>121</v>
      </c>
      <c r="H314" s="33" t="s">
        <v>45</v>
      </c>
    </row>
    <row r="315" spans="1:8" ht="12" customHeight="1">
      <c r="A315" s="32" t="s">
        <v>15</v>
      </c>
      <c r="B315" s="8" t="s">
        <v>101</v>
      </c>
      <c r="C315" s="59">
        <v>6</v>
      </c>
      <c r="D315" s="8" t="s">
        <v>96</v>
      </c>
      <c r="E315" s="8" t="s">
        <v>35</v>
      </c>
      <c r="F315" s="59">
        <v>1</v>
      </c>
      <c r="G315" s="59">
        <v>123</v>
      </c>
      <c r="H315" s="33" t="s">
        <v>35</v>
      </c>
    </row>
    <row r="316" spans="1:8" ht="12" customHeight="1">
      <c r="A316" s="32" t="s">
        <v>15</v>
      </c>
      <c r="B316" s="8" t="s">
        <v>101</v>
      </c>
      <c r="C316" s="59">
        <v>7</v>
      </c>
      <c r="D316" s="8" t="s">
        <v>97</v>
      </c>
      <c r="E316" s="8" t="s">
        <v>33</v>
      </c>
      <c r="F316" s="59">
        <v>1</v>
      </c>
      <c r="G316" s="59">
        <v>124</v>
      </c>
      <c r="H316" s="33" t="s">
        <v>33</v>
      </c>
    </row>
    <row r="317" spans="1:8" ht="12" customHeight="1">
      <c r="A317" s="32" t="s">
        <v>16</v>
      </c>
      <c r="B317" s="8" t="s">
        <v>89</v>
      </c>
      <c r="C317" s="59">
        <v>1</v>
      </c>
      <c r="D317" s="8" t="s">
        <v>90</v>
      </c>
      <c r="E317" s="8" t="s">
        <v>39</v>
      </c>
      <c r="F317" s="59">
        <v>1</v>
      </c>
      <c r="G317" s="59">
        <v>130</v>
      </c>
      <c r="H317" s="33" t="s">
        <v>39</v>
      </c>
    </row>
    <row r="318" spans="1:8" ht="12" customHeight="1">
      <c r="A318" s="32" t="s">
        <v>16</v>
      </c>
      <c r="B318" s="8" t="s">
        <v>89</v>
      </c>
      <c r="C318" s="59">
        <v>2</v>
      </c>
      <c r="D318" s="8" t="s">
        <v>91</v>
      </c>
      <c r="E318" s="8" t="s">
        <v>39</v>
      </c>
      <c r="F318" s="59">
        <v>1</v>
      </c>
      <c r="G318" s="59">
        <v>131</v>
      </c>
      <c r="H318" s="33" t="s">
        <v>39</v>
      </c>
    </row>
    <row r="319" spans="1:8" ht="12" customHeight="1">
      <c r="A319" s="32" t="s">
        <v>16</v>
      </c>
      <c r="B319" s="8" t="s">
        <v>89</v>
      </c>
      <c r="C319" s="59">
        <v>3</v>
      </c>
      <c r="D319" s="8" t="s">
        <v>92</v>
      </c>
      <c r="E319" s="8" t="s">
        <v>34</v>
      </c>
      <c r="F319" s="59">
        <v>1</v>
      </c>
      <c r="G319" s="59">
        <v>133</v>
      </c>
      <c r="H319" s="33" t="s">
        <v>34</v>
      </c>
    </row>
    <row r="320" spans="1:8" ht="12" customHeight="1">
      <c r="A320" s="32" t="s">
        <v>16</v>
      </c>
      <c r="B320" s="8" t="s">
        <v>89</v>
      </c>
      <c r="C320" s="59">
        <v>4</v>
      </c>
      <c r="D320" s="8" t="s">
        <v>93</v>
      </c>
      <c r="E320" s="8" t="s">
        <v>49</v>
      </c>
      <c r="F320" s="59">
        <v>1</v>
      </c>
      <c r="G320" s="59">
        <v>134</v>
      </c>
      <c r="H320" s="33" t="s">
        <v>49</v>
      </c>
    </row>
    <row r="321" spans="1:8" ht="12" customHeight="1">
      <c r="A321" s="32" t="s">
        <v>16</v>
      </c>
      <c r="B321" s="8" t="s">
        <v>89</v>
      </c>
      <c r="C321" s="59">
        <v>5</v>
      </c>
      <c r="D321" s="8" t="s">
        <v>94</v>
      </c>
      <c r="E321" s="8" t="s">
        <v>36</v>
      </c>
      <c r="F321" s="59">
        <v>1</v>
      </c>
      <c r="G321" s="59">
        <v>135</v>
      </c>
      <c r="H321" s="33" t="s">
        <v>106</v>
      </c>
    </row>
    <row r="322" spans="1:8" ht="12" customHeight="1">
      <c r="A322" s="32" t="s">
        <v>16</v>
      </c>
      <c r="B322" s="8" t="s">
        <v>89</v>
      </c>
      <c r="C322" s="59">
        <v>6</v>
      </c>
      <c r="D322" s="8" t="s">
        <v>96</v>
      </c>
      <c r="E322" s="8" t="s">
        <v>36</v>
      </c>
      <c r="F322" s="59">
        <v>1</v>
      </c>
      <c r="G322" s="59">
        <v>137</v>
      </c>
      <c r="H322" s="33" t="s">
        <v>106</v>
      </c>
    </row>
    <row r="323" spans="1:8" ht="12" customHeight="1">
      <c r="A323" s="32" t="s">
        <v>16</v>
      </c>
      <c r="B323" s="8" t="s">
        <v>89</v>
      </c>
      <c r="C323" s="59">
        <v>7</v>
      </c>
      <c r="D323" s="8" t="s">
        <v>97</v>
      </c>
      <c r="E323" s="8" t="s">
        <v>51</v>
      </c>
      <c r="F323" s="59">
        <v>1</v>
      </c>
      <c r="G323" s="59">
        <v>138</v>
      </c>
      <c r="H323" s="33" t="s">
        <v>51</v>
      </c>
    </row>
    <row r="324" spans="1:8" ht="12" customHeight="1">
      <c r="A324" s="32" t="s">
        <v>16</v>
      </c>
      <c r="B324" s="8" t="s">
        <v>98</v>
      </c>
      <c r="C324" s="59">
        <v>1</v>
      </c>
      <c r="D324" s="8" t="s">
        <v>90</v>
      </c>
      <c r="E324" s="8" t="s">
        <v>35</v>
      </c>
      <c r="F324" s="59">
        <v>1</v>
      </c>
      <c r="G324" s="59">
        <v>130</v>
      </c>
      <c r="H324" s="33" t="s">
        <v>35</v>
      </c>
    </row>
    <row r="325" spans="1:8" ht="12" customHeight="1">
      <c r="A325" s="32" t="s">
        <v>16</v>
      </c>
      <c r="B325" s="8" t="s">
        <v>98</v>
      </c>
      <c r="C325" s="59">
        <v>2</v>
      </c>
      <c r="D325" s="8" t="s">
        <v>91</v>
      </c>
      <c r="E325" s="8" t="s">
        <v>33</v>
      </c>
      <c r="F325" s="59">
        <v>1</v>
      </c>
      <c r="G325" s="59">
        <v>131</v>
      </c>
      <c r="H325" s="33" t="s">
        <v>33</v>
      </c>
    </row>
    <row r="326" spans="1:8" ht="12" customHeight="1">
      <c r="A326" s="32" t="s">
        <v>16</v>
      </c>
      <c r="B326" s="8" t="s">
        <v>98</v>
      </c>
      <c r="C326" s="59">
        <v>3</v>
      </c>
      <c r="D326" s="8" t="s">
        <v>92</v>
      </c>
      <c r="E326" s="8" t="s">
        <v>38</v>
      </c>
      <c r="F326" s="59">
        <v>1</v>
      </c>
      <c r="G326" s="59">
        <v>133</v>
      </c>
      <c r="H326" s="33" t="s">
        <v>38</v>
      </c>
    </row>
    <row r="327" spans="1:8" ht="12" customHeight="1">
      <c r="A327" s="32" t="s">
        <v>16</v>
      </c>
      <c r="B327" s="8" t="s">
        <v>98</v>
      </c>
      <c r="C327" s="59">
        <v>4</v>
      </c>
      <c r="D327" s="8" t="s">
        <v>93</v>
      </c>
      <c r="E327" s="8" t="s">
        <v>38</v>
      </c>
      <c r="F327" s="59">
        <v>1</v>
      </c>
      <c r="G327" s="59">
        <v>134</v>
      </c>
      <c r="H327" s="33" t="s">
        <v>38</v>
      </c>
    </row>
    <row r="328" spans="1:8" ht="12" customHeight="1">
      <c r="A328" s="32" t="s">
        <v>16</v>
      </c>
      <c r="B328" s="8" t="s">
        <v>98</v>
      </c>
      <c r="C328" s="59">
        <v>5</v>
      </c>
      <c r="D328" s="8" t="s">
        <v>94</v>
      </c>
      <c r="E328" s="8" t="s">
        <v>36</v>
      </c>
      <c r="F328" s="59">
        <v>1</v>
      </c>
      <c r="G328" s="59">
        <v>135</v>
      </c>
      <c r="H328" s="33" t="s">
        <v>36</v>
      </c>
    </row>
    <row r="329" spans="1:8" ht="12" customHeight="1">
      <c r="A329" s="32" t="s">
        <v>16</v>
      </c>
      <c r="B329" s="8" t="s">
        <v>98</v>
      </c>
      <c r="C329" s="59">
        <v>6</v>
      </c>
      <c r="D329" s="8" t="s">
        <v>96</v>
      </c>
      <c r="E329" s="8" t="s">
        <v>37</v>
      </c>
      <c r="F329" s="59">
        <v>1</v>
      </c>
      <c r="G329" s="59">
        <v>137</v>
      </c>
      <c r="H329" s="33" t="s">
        <v>37</v>
      </c>
    </row>
    <row r="330" spans="1:8" ht="12" customHeight="1">
      <c r="A330" s="32" t="s">
        <v>16</v>
      </c>
      <c r="B330" s="8" t="s">
        <v>98</v>
      </c>
      <c r="C330" s="59">
        <v>7</v>
      </c>
      <c r="D330" s="8" t="s">
        <v>97</v>
      </c>
      <c r="E330" s="8" t="s">
        <v>37</v>
      </c>
      <c r="F330" s="59">
        <v>1</v>
      </c>
      <c r="G330" s="59">
        <v>138</v>
      </c>
      <c r="H330" s="33" t="s">
        <v>37</v>
      </c>
    </row>
    <row r="331" spans="1:8" ht="12" customHeight="1">
      <c r="A331" s="32" t="s">
        <v>16</v>
      </c>
      <c r="B331" s="8" t="s">
        <v>99</v>
      </c>
      <c r="C331" s="59">
        <v>1</v>
      </c>
      <c r="D331" s="8" t="s">
        <v>90</v>
      </c>
      <c r="E331" s="8" t="s">
        <v>36</v>
      </c>
      <c r="F331" s="59">
        <v>1</v>
      </c>
      <c r="G331" s="59">
        <v>130</v>
      </c>
      <c r="H331" s="33" t="s">
        <v>36</v>
      </c>
    </row>
    <row r="332" spans="1:8" ht="12" customHeight="1">
      <c r="A332" s="32" t="s">
        <v>16</v>
      </c>
      <c r="B332" s="8" t="s">
        <v>99</v>
      </c>
      <c r="C332" s="59">
        <v>2</v>
      </c>
      <c r="D332" s="8" t="s">
        <v>91</v>
      </c>
      <c r="E332" s="8" t="s">
        <v>47</v>
      </c>
      <c r="F332" s="59">
        <v>1</v>
      </c>
      <c r="G332" s="59">
        <v>131</v>
      </c>
      <c r="H332" s="33" t="s">
        <v>47</v>
      </c>
    </row>
    <row r="333" spans="1:8" ht="12" customHeight="1">
      <c r="A333" s="32" t="s">
        <v>16</v>
      </c>
      <c r="B333" s="8" t="s">
        <v>99</v>
      </c>
      <c r="C333" s="59">
        <v>3</v>
      </c>
      <c r="D333" s="8" t="s">
        <v>92</v>
      </c>
      <c r="E333" s="8" t="s">
        <v>33</v>
      </c>
      <c r="F333" s="59">
        <v>1</v>
      </c>
      <c r="G333" s="59">
        <v>133</v>
      </c>
      <c r="H333" s="33" t="s">
        <v>33</v>
      </c>
    </row>
    <row r="334" spans="1:8" ht="12" customHeight="1">
      <c r="A334" s="32" t="s">
        <v>16</v>
      </c>
      <c r="B334" s="8" t="s">
        <v>99</v>
      </c>
      <c r="C334" s="59">
        <v>4</v>
      </c>
      <c r="D334" s="8" t="s">
        <v>93</v>
      </c>
      <c r="E334" s="8" t="s">
        <v>33</v>
      </c>
      <c r="F334" s="59">
        <v>1</v>
      </c>
      <c r="G334" s="59">
        <v>134</v>
      </c>
      <c r="H334" s="33" t="s">
        <v>33</v>
      </c>
    </row>
    <row r="335" spans="1:8" ht="12" customHeight="1">
      <c r="A335" s="32" t="s">
        <v>16</v>
      </c>
      <c r="B335" s="8" t="s">
        <v>99</v>
      </c>
      <c r="C335" s="59">
        <v>5</v>
      </c>
      <c r="D335" s="8" t="s">
        <v>94</v>
      </c>
      <c r="E335" s="8" t="s">
        <v>50</v>
      </c>
      <c r="F335" s="59">
        <v>1</v>
      </c>
      <c r="G335" s="59">
        <v>135</v>
      </c>
      <c r="H335" s="33" t="s">
        <v>50</v>
      </c>
    </row>
    <row r="336" spans="1:8" ht="12" customHeight="1">
      <c r="A336" s="32" t="s">
        <v>16</v>
      </c>
      <c r="B336" s="8" t="s">
        <v>99</v>
      </c>
      <c r="C336" s="59">
        <v>6</v>
      </c>
      <c r="D336" s="8" t="s">
        <v>96</v>
      </c>
      <c r="E336" s="8" t="s">
        <v>34</v>
      </c>
      <c r="F336" s="59">
        <v>1</v>
      </c>
      <c r="G336" s="59">
        <v>137</v>
      </c>
      <c r="H336" s="33" t="s">
        <v>34</v>
      </c>
    </row>
    <row r="337" spans="1:8" ht="12" customHeight="1">
      <c r="A337" s="32" t="s">
        <v>16</v>
      </c>
      <c r="B337" s="8" t="s">
        <v>99</v>
      </c>
      <c r="C337" s="59">
        <v>7</v>
      </c>
      <c r="D337" s="8" t="s">
        <v>97</v>
      </c>
      <c r="E337" s="8" t="s">
        <v>45</v>
      </c>
      <c r="F337" s="59">
        <v>1</v>
      </c>
      <c r="G337" s="59">
        <v>138</v>
      </c>
      <c r="H337" s="33" t="s">
        <v>45</v>
      </c>
    </row>
    <row r="338" spans="1:8" ht="12" customHeight="1">
      <c r="A338" s="32" t="s">
        <v>16</v>
      </c>
      <c r="B338" s="8" t="s">
        <v>100</v>
      </c>
      <c r="C338" s="59">
        <v>1</v>
      </c>
      <c r="D338" s="8" t="s">
        <v>90</v>
      </c>
      <c r="E338" s="8" t="s">
        <v>33</v>
      </c>
      <c r="F338" s="59">
        <v>1</v>
      </c>
      <c r="G338" s="59">
        <v>130</v>
      </c>
      <c r="H338" s="33" t="s">
        <v>33</v>
      </c>
    </row>
    <row r="339" spans="1:8" ht="12" customHeight="1">
      <c r="A339" s="32" t="s">
        <v>16</v>
      </c>
      <c r="B339" s="8" t="s">
        <v>100</v>
      </c>
      <c r="C339" s="59">
        <v>2</v>
      </c>
      <c r="D339" s="8" t="s">
        <v>91</v>
      </c>
      <c r="E339" s="8" t="s">
        <v>48</v>
      </c>
      <c r="F339" s="59">
        <v>1</v>
      </c>
      <c r="G339" s="59">
        <v>131</v>
      </c>
      <c r="H339" s="33" t="s">
        <v>48</v>
      </c>
    </row>
    <row r="340" spans="1:8" ht="12" customHeight="1">
      <c r="A340" s="32" t="s">
        <v>16</v>
      </c>
      <c r="B340" s="8" t="s">
        <v>100</v>
      </c>
      <c r="C340" s="59">
        <v>3</v>
      </c>
      <c r="D340" s="8" t="s">
        <v>92</v>
      </c>
      <c r="E340" s="8" t="s">
        <v>35</v>
      </c>
      <c r="F340" s="59">
        <v>1</v>
      </c>
      <c r="G340" s="59">
        <v>133</v>
      </c>
      <c r="H340" s="33" t="s">
        <v>104</v>
      </c>
    </row>
    <row r="341" spans="1:8" ht="12" customHeight="1">
      <c r="A341" s="32" t="s">
        <v>16</v>
      </c>
      <c r="B341" s="8" t="s">
        <v>100</v>
      </c>
      <c r="C341" s="59">
        <v>4</v>
      </c>
      <c r="D341" s="8" t="s">
        <v>93</v>
      </c>
      <c r="E341" s="8" t="s">
        <v>35</v>
      </c>
      <c r="F341" s="59">
        <v>1</v>
      </c>
      <c r="G341" s="59">
        <v>134</v>
      </c>
      <c r="H341" s="33" t="s">
        <v>104</v>
      </c>
    </row>
    <row r="342" spans="1:8" ht="12" customHeight="1">
      <c r="A342" s="32" t="s">
        <v>16</v>
      </c>
      <c r="B342" s="8" t="s">
        <v>100</v>
      </c>
      <c r="C342" s="59">
        <v>5</v>
      </c>
      <c r="D342" s="8" t="s">
        <v>94</v>
      </c>
      <c r="E342" s="8" t="s">
        <v>44</v>
      </c>
      <c r="F342" s="59">
        <v>1</v>
      </c>
      <c r="G342" s="59">
        <v>135</v>
      </c>
      <c r="H342" s="33" t="s">
        <v>44</v>
      </c>
    </row>
    <row r="343" spans="1:8" ht="12" customHeight="1">
      <c r="A343" s="32" t="s">
        <v>16</v>
      </c>
      <c r="B343" s="8" t="s">
        <v>100</v>
      </c>
      <c r="C343" s="59">
        <v>6</v>
      </c>
      <c r="D343" s="8" t="s">
        <v>96</v>
      </c>
      <c r="E343" s="8" t="s">
        <v>44</v>
      </c>
      <c r="F343" s="59">
        <v>1</v>
      </c>
      <c r="G343" s="59">
        <v>137</v>
      </c>
      <c r="H343" s="33" t="s">
        <v>44</v>
      </c>
    </row>
    <row r="344" spans="1:8" ht="12" customHeight="1">
      <c r="A344" s="32" t="s">
        <v>16</v>
      </c>
      <c r="B344" s="8" t="s">
        <v>100</v>
      </c>
      <c r="C344" s="59">
        <v>7</v>
      </c>
      <c r="D344" s="8" t="s">
        <v>97</v>
      </c>
      <c r="E344" s="8" t="s">
        <v>46</v>
      </c>
      <c r="F344" s="59">
        <v>1</v>
      </c>
      <c r="G344" s="59">
        <v>138</v>
      </c>
      <c r="H344" s="33" t="s">
        <v>46</v>
      </c>
    </row>
    <row r="345" spans="1:8" ht="12" customHeight="1">
      <c r="A345" s="32" t="s">
        <v>16</v>
      </c>
      <c r="B345" s="8" t="s">
        <v>101</v>
      </c>
      <c r="C345" s="59">
        <v>1</v>
      </c>
      <c r="D345" s="8" t="s">
        <v>90</v>
      </c>
      <c r="E345" s="8" t="s">
        <v>41</v>
      </c>
      <c r="F345" s="59">
        <v>1</v>
      </c>
      <c r="G345" s="59">
        <v>130</v>
      </c>
      <c r="H345" s="33" t="s">
        <v>41</v>
      </c>
    </row>
    <row r="346" spans="1:8" ht="12" customHeight="1">
      <c r="A346" s="32" t="s">
        <v>16</v>
      </c>
      <c r="B346" s="8" t="s">
        <v>101</v>
      </c>
      <c r="C346" s="59">
        <v>2</v>
      </c>
      <c r="D346" s="8" t="s">
        <v>91</v>
      </c>
      <c r="E346" s="8" t="s">
        <v>34</v>
      </c>
      <c r="F346" s="59">
        <v>1</v>
      </c>
      <c r="G346" s="59">
        <v>131</v>
      </c>
      <c r="H346" s="33" t="s">
        <v>34</v>
      </c>
    </row>
    <row r="347" spans="1:8" ht="12" customHeight="1">
      <c r="A347" s="32" t="s">
        <v>16</v>
      </c>
      <c r="B347" s="8" t="s">
        <v>101</v>
      </c>
      <c r="C347" s="59">
        <v>3</v>
      </c>
      <c r="D347" s="8" t="s">
        <v>92</v>
      </c>
      <c r="E347" s="8" t="s">
        <v>34</v>
      </c>
      <c r="F347" s="59">
        <v>1</v>
      </c>
      <c r="G347" s="59">
        <v>133</v>
      </c>
      <c r="H347" s="33" t="s">
        <v>34</v>
      </c>
    </row>
    <row r="348" spans="1:8" ht="12" customHeight="1">
      <c r="A348" s="32" t="s">
        <v>16</v>
      </c>
      <c r="B348" s="8" t="s">
        <v>101</v>
      </c>
      <c r="C348" s="59">
        <v>4</v>
      </c>
      <c r="D348" s="8" t="s">
        <v>93</v>
      </c>
      <c r="E348" s="8" t="s">
        <v>43</v>
      </c>
      <c r="F348" s="59">
        <v>1</v>
      </c>
      <c r="G348" s="59">
        <v>134</v>
      </c>
      <c r="H348" s="33" t="s">
        <v>43</v>
      </c>
    </row>
    <row r="349" spans="1:8" ht="12" customHeight="1">
      <c r="A349" s="32" t="s">
        <v>16</v>
      </c>
      <c r="B349" s="8" t="s">
        <v>101</v>
      </c>
      <c r="C349" s="59">
        <v>5</v>
      </c>
      <c r="D349" s="8" t="s">
        <v>94</v>
      </c>
      <c r="E349" s="8" t="s">
        <v>43</v>
      </c>
      <c r="F349" s="59">
        <v>1</v>
      </c>
      <c r="G349" s="59">
        <v>135</v>
      </c>
      <c r="H349" s="33" t="s">
        <v>43</v>
      </c>
    </row>
    <row r="350" spans="1:8" ht="12" customHeight="1">
      <c r="A350" s="32" t="s">
        <v>16</v>
      </c>
      <c r="B350" s="8" t="s">
        <v>101</v>
      </c>
      <c r="C350" s="59">
        <v>6</v>
      </c>
      <c r="D350" s="8" t="s">
        <v>96</v>
      </c>
      <c r="E350" s="8" t="s">
        <v>42</v>
      </c>
      <c r="F350" s="59">
        <v>1</v>
      </c>
      <c r="G350" s="59">
        <v>137</v>
      </c>
      <c r="H350" s="33" t="s">
        <v>42</v>
      </c>
    </row>
    <row r="351" spans="1:8" ht="12" customHeight="1">
      <c r="A351" s="32" t="s">
        <v>16</v>
      </c>
      <c r="B351" s="8" t="s">
        <v>101</v>
      </c>
      <c r="C351" s="59">
        <v>7</v>
      </c>
      <c r="D351" s="8" t="s">
        <v>97</v>
      </c>
      <c r="E351" s="8" t="s">
        <v>35</v>
      </c>
      <c r="F351" s="59">
        <v>1</v>
      </c>
      <c r="G351" s="59">
        <v>138</v>
      </c>
      <c r="H351" s="33" t="s">
        <v>104</v>
      </c>
    </row>
    <row r="352" spans="1:8" ht="12" customHeight="1">
      <c r="A352" s="32" t="s">
        <v>17</v>
      </c>
      <c r="B352" s="8" t="s">
        <v>89</v>
      </c>
      <c r="C352" s="59">
        <v>1</v>
      </c>
      <c r="D352" s="8" t="s">
        <v>90</v>
      </c>
      <c r="E352" s="8" t="s">
        <v>51</v>
      </c>
      <c r="F352" s="59">
        <v>1</v>
      </c>
      <c r="G352" s="59">
        <v>144</v>
      </c>
      <c r="H352" s="33" t="s">
        <v>51</v>
      </c>
    </row>
    <row r="353" spans="1:8" ht="12" customHeight="1">
      <c r="A353" s="32" t="s">
        <v>17</v>
      </c>
      <c r="B353" s="8" t="s">
        <v>89</v>
      </c>
      <c r="C353" s="59">
        <v>2</v>
      </c>
      <c r="D353" s="8" t="s">
        <v>91</v>
      </c>
      <c r="E353" s="8" t="s">
        <v>46</v>
      </c>
      <c r="F353" s="59">
        <v>1</v>
      </c>
      <c r="G353" s="59">
        <v>145</v>
      </c>
      <c r="H353" s="33" t="s">
        <v>46</v>
      </c>
    </row>
    <row r="354" spans="1:8" ht="12" customHeight="1">
      <c r="A354" s="32" t="s">
        <v>17</v>
      </c>
      <c r="B354" s="8" t="s">
        <v>89</v>
      </c>
      <c r="C354" s="59">
        <v>3</v>
      </c>
      <c r="D354" s="8" t="s">
        <v>92</v>
      </c>
      <c r="E354" s="8" t="s">
        <v>38</v>
      </c>
      <c r="F354" s="59">
        <v>1</v>
      </c>
      <c r="G354" s="59">
        <v>147</v>
      </c>
      <c r="H354" s="33" t="s">
        <v>110</v>
      </c>
    </row>
    <row r="355" spans="1:8" ht="12" customHeight="1">
      <c r="A355" s="32" t="s">
        <v>17</v>
      </c>
      <c r="B355" s="8" t="s">
        <v>89</v>
      </c>
      <c r="C355" s="59">
        <v>4</v>
      </c>
      <c r="D355" s="8" t="s">
        <v>93</v>
      </c>
      <c r="E355" s="8" t="s">
        <v>38</v>
      </c>
      <c r="F355" s="59">
        <v>1</v>
      </c>
      <c r="G355" s="59">
        <v>148</v>
      </c>
      <c r="H355" s="33" t="s">
        <v>110</v>
      </c>
    </row>
    <row r="356" spans="1:8" ht="12" customHeight="1">
      <c r="A356" s="32" t="s">
        <v>17</v>
      </c>
      <c r="B356" s="8" t="s">
        <v>89</v>
      </c>
      <c r="C356" s="59">
        <v>5</v>
      </c>
      <c r="D356" s="8" t="s">
        <v>94</v>
      </c>
      <c r="E356" s="8" t="s">
        <v>47</v>
      </c>
      <c r="F356" s="59">
        <v>1</v>
      </c>
      <c r="G356" s="59">
        <v>149</v>
      </c>
      <c r="H356" s="33" t="s">
        <v>47</v>
      </c>
    </row>
    <row r="357" spans="1:8" ht="12" customHeight="1">
      <c r="A357" s="32" t="s">
        <v>17</v>
      </c>
      <c r="B357" s="8" t="s">
        <v>89</v>
      </c>
      <c r="C357" s="59">
        <v>6</v>
      </c>
      <c r="D357" s="8" t="s">
        <v>96</v>
      </c>
      <c r="E357" s="8" t="s">
        <v>33</v>
      </c>
      <c r="F357" s="59">
        <v>1</v>
      </c>
      <c r="G357" s="59">
        <v>151</v>
      </c>
      <c r="H357" s="33" t="s">
        <v>33</v>
      </c>
    </row>
    <row r="358" spans="1:8" ht="12" customHeight="1">
      <c r="A358" s="32" t="s">
        <v>17</v>
      </c>
      <c r="B358" s="8" t="s">
        <v>89</v>
      </c>
      <c r="C358" s="59">
        <v>7</v>
      </c>
      <c r="D358" s="8" t="s">
        <v>97</v>
      </c>
      <c r="E358" s="8" t="s">
        <v>33</v>
      </c>
      <c r="F358" s="59">
        <v>1</v>
      </c>
      <c r="G358" s="59">
        <v>152</v>
      </c>
      <c r="H358" s="33" t="s">
        <v>33</v>
      </c>
    </row>
    <row r="359" spans="1:8" ht="12" customHeight="1">
      <c r="A359" s="32" t="s">
        <v>17</v>
      </c>
      <c r="B359" s="8" t="s">
        <v>98</v>
      </c>
      <c r="C359" s="59">
        <v>1</v>
      </c>
      <c r="D359" s="8" t="s">
        <v>90</v>
      </c>
      <c r="E359" s="8" t="s">
        <v>34</v>
      </c>
      <c r="F359" s="59">
        <v>1</v>
      </c>
      <c r="G359" s="59">
        <v>144</v>
      </c>
      <c r="H359" s="33" t="s">
        <v>111</v>
      </c>
    </row>
    <row r="360" spans="1:8" ht="12" customHeight="1">
      <c r="A360" s="32" t="s">
        <v>17</v>
      </c>
      <c r="B360" s="8" t="s">
        <v>98</v>
      </c>
      <c r="C360" s="59">
        <v>2</v>
      </c>
      <c r="D360" s="8" t="s">
        <v>91</v>
      </c>
      <c r="E360" s="8" t="s">
        <v>48</v>
      </c>
      <c r="F360" s="59">
        <v>1</v>
      </c>
      <c r="G360" s="59">
        <v>145</v>
      </c>
      <c r="H360" s="33" t="s">
        <v>48</v>
      </c>
    </row>
    <row r="361" spans="1:8" ht="12" customHeight="1">
      <c r="A361" s="32" t="s">
        <v>17</v>
      </c>
      <c r="B361" s="8" t="s">
        <v>98</v>
      </c>
      <c r="C361" s="59">
        <v>3</v>
      </c>
      <c r="D361" s="8" t="s">
        <v>92</v>
      </c>
      <c r="E361" s="8" t="s">
        <v>44</v>
      </c>
      <c r="F361" s="59">
        <v>1</v>
      </c>
      <c r="G361" s="59">
        <v>147</v>
      </c>
      <c r="H361" s="33" t="s">
        <v>44</v>
      </c>
    </row>
    <row r="362" spans="1:8" ht="12" customHeight="1">
      <c r="A362" s="32" t="s">
        <v>17</v>
      </c>
      <c r="B362" s="8" t="s">
        <v>98</v>
      </c>
      <c r="C362" s="59">
        <v>4</v>
      </c>
      <c r="D362" s="8" t="s">
        <v>93</v>
      </c>
      <c r="E362" s="8" t="s">
        <v>44</v>
      </c>
      <c r="F362" s="59">
        <v>1</v>
      </c>
      <c r="G362" s="59">
        <v>148</v>
      </c>
      <c r="H362" s="33" t="s">
        <v>44</v>
      </c>
    </row>
    <row r="363" spans="1:8" ht="12" customHeight="1">
      <c r="A363" s="32" t="s">
        <v>17</v>
      </c>
      <c r="B363" s="8" t="s">
        <v>98</v>
      </c>
      <c r="C363" s="59">
        <v>5</v>
      </c>
      <c r="D363" s="8" t="s">
        <v>94</v>
      </c>
      <c r="E363" s="8" t="s">
        <v>50</v>
      </c>
      <c r="F363" s="59">
        <v>1</v>
      </c>
      <c r="G363" s="59">
        <v>149</v>
      </c>
      <c r="H363" s="33" t="s">
        <v>50</v>
      </c>
    </row>
    <row r="364" spans="1:8" ht="12" customHeight="1">
      <c r="A364" s="32" t="s">
        <v>17</v>
      </c>
      <c r="B364" s="8" t="s">
        <v>98</v>
      </c>
      <c r="C364" s="59">
        <v>6</v>
      </c>
      <c r="D364" s="8" t="s">
        <v>96</v>
      </c>
      <c r="E364" s="8" t="s">
        <v>35</v>
      </c>
      <c r="F364" s="59">
        <v>1</v>
      </c>
      <c r="G364" s="59">
        <v>151</v>
      </c>
      <c r="H364" s="33" t="s">
        <v>35</v>
      </c>
    </row>
    <row r="365" spans="1:8" ht="12" customHeight="1">
      <c r="A365" s="32" t="s">
        <v>17</v>
      </c>
      <c r="B365" s="8" t="s">
        <v>98</v>
      </c>
      <c r="C365" s="59">
        <v>7</v>
      </c>
      <c r="D365" s="8" t="s">
        <v>97</v>
      </c>
      <c r="E365" s="8" t="s">
        <v>36</v>
      </c>
      <c r="F365" s="59">
        <v>1</v>
      </c>
      <c r="G365" s="59">
        <v>152</v>
      </c>
      <c r="H365" s="33" t="s">
        <v>36</v>
      </c>
    </row>
    <row r="366" spans="1:8" ht="12" customHeight="1">
      <c r="A366" s="32" t="s">
        <v>17</v>
      </c>
      <c r="B366" s="8" t="s">
        <v>99</v>
      </c>
      <c r="C366" s="59">
        <v>1</v>
      </c>
      <c r="D366" s="8" t="s">
        <v>90</v>
      </c>
      <c r="E366" s="8" t="s">
        <v>35</v>
      </c>
      <c r="F366" s="59">
        <v>1</v>
      </c>
      <c r="G366" s="59">
        <v>144</v>
      </c>
      <c r="H366" s="33" t="s">
        <v>112</v>
      </c>
    </row>
    <row r="367" spans="1:8" ht="12" customHeight="1">
      <c r="A367" s="32" t="s">
        <v>17</v>
      </c>
      <c r="B367" s="8" t="s">
        <v>99</v>
      </c>
      <c r="C367" s="59">
        <v>2</v>
      </c>
      <c r="D367" s="8" t="s">
        <v>91</v>
      </c>
      <c r="E367" s="8" t="s">
        <v>35</v>
      </c>
      <c r="F367" s="59">
        <v>1</v>
      </c>
      <c r="G367" s="59">
        <v>145</v>
      </c>
      <c r="H367" s="33" t="s">
        <v>112</v>
      </c>
    </row>
    <row r="368" spans="1:8" ht="12" customHeight="1">
      <c r="A368" s="32" t="s">
        <v>17</v>
      </c>
      <c r="B368" s="8" t="s">
        <v>99</v>
      </c>
      <c r="C368" s="59">
        <v>3</v>
      </c>
      <c r="D368" s="8" t="s">
        <v>92</v>
      </c>
      <c r="E368" s="8" t="s">
        <v>33</v>
      </c>
      <c r="F368" s="59">
        <v>1</v>
      </c>
      <c r="G368" s="59">
        <v>147</v>
      </c>
      <c r="H368" s="33" t="s">
        <v>33</v>
      </c>
    </row>
    <row r="369" spans="1:8" ht="12" customHeight="1">
      <c r="A369" s="32" t="s">
        <v>17</v>
      </c>
      <c r="B369" s="8" t="s">
        <v>99</v>
      </c>
      <c r="C369" s="59">
        <v>4</v>
      </c>
      <c r="D369" s="8" t="s">
        <v>93</v>
      </c>
      <c r="E369" s="8" t="s">
        <v>34</v>
      </c>
      <c r="F369" s="59">
        <v>1</v>
      </c>
      <c r="G369" s="59">
        <v>148</v>
      </c>
      <c r="H369" s="33" t="s">
        <v>111</v>
      </c>
    </row>
    <row r="370" spans="1:8" ht="12" customHeight="1">
      <c r="A370" s="32" t="s">
        <v>17</v>
      </c>
      <c r="B370" s="8" t="s">
        <v>99</v>
      </c>
      <c r="C370" s="59">
        <v>5</v>
      </c>
      <c r="D370" s="8" t="s">
        <v>94</v>
      </c>
      <c r="E370" s="8" t="s">
        <v>42</v>
      </c>
      <c r="F370" s="59">
        <v>1</v>
      </c>
      <c r="G370" s="59">
        <v>149</v>
      </c>
      <c r="H370" s="33" t="s">
        <v>42</v>
      </c>
    </row>
    <row r="371" spans="1:8" ht="12" customHeight="1">
      <c r="A371" s="32" t="s">
        <v>17</v>
      </c>
      <c r="B371" s="8" t="s">
        <v>99</v>
      </c>
      <c r="C371" s="59">
        <v>6</v>
      </c>
      <c r="D371" s="8" t="s">
        <v>96</v>
      </c>
      <c r="E371" s="8" t="s">
        <v>43</v>
      </c>
      <c r="F371" s="59">
        <v>1</v>
      </c>
      <c r="G371" s="59">
        <v>151</v>
      </c>
      <c r="H371" s="33" t="s">
        <v>43</v>
      </c>
    </row>
    <row r="372" spans="1:8" ht="12" customHeight="1">
      <c r="A372" s="32" t="s">
        <v>17</v>
      </c>
      <c r="B372" s="8" t="s">
        <v>99</v>
      </c>
      <c r="C372" s="59">
        <v>7</v>
      </c>
      <c r="D372" s="8" t="s">
        <v>97</v>
      </c>
      <c r="E372" s="8" t="s">
        <v>43</v>
      </c>
      <c r="F372" s="59">
        <v>1</v>
      </c>
      <c r="G372" s="59">
        <v>152</v>
      </c>
      <c r="H372" s="33" t="s">
        <v>43</v>
      </c>
    </row>
    <row r="373" spans="1:8" ht="12" customHeight="1">
      <c r="A373" s="32" t="s">
        <v>17</v>
      </c>
      <c r="B373" s="8" t="s">
        <v>100</v>
      </c>
      <c r="C373" s="59">
        <v>1</v>
      </c>
      <c r="D373" s="8" t="s">
        <v>90</v>
      </c>
      <c r="E373" s="8" t="s">
        <v>39</v>
      </c>
      <c r="F373" s="59">
        <v>1</v>
      </c>
      <c r="G373" s="59">
        <v>144</v>
      </c>
      <c r="H373" s="33" t="s">
        <v>39</v>
      </c>
    </row>
    <row r="374" spans="1:8" ht="12" customHeight="1">
      <c r="A374" s="32" t="s">
        <v>17</v>
      </c>
      <c r="B374" s="8" t="s">
        <v>100</v>
      </c>
      <c r="C374" s="59">
        <v>2</v>
      </c>
      <c r="D374" s="8" t="s">
        <v>91</v>
      </c>
      <c r="E374" s="8" t="s">
        <v>39</v>
      </c>
      <c r="F374" s="59">
        <v>1</v>
      </c>
      <c r="G374" s="59">
        <v>145</v>
      </c>
      <c r="H374" s="33" t="s">
        <v>39</v>
      </c>
    </row>
    <row r="375" spans="1:8" ht="12" customHeight="1">
      <c r="A375" s="32" t="s">
        <v>17</v>
      </c>
      <c r="B375" s="8" t="s">
        <v>100</v>
      </c>
      <c r="C375" s="59">
        <v>3</v>
      </c>
      <c r="D375" s="8" t="s">
        <v>92</v>
      </c>
      <c r="E375" s="8" t="s">
        <v>33</v>
      </c>
      <c r="F375" s="59">
        <v>1</v>
      </c>
      <c r="G375" s="59">
        <v>147</v>
      </c>
      <c r="H375" s="33" t="s">
        <v>33</v>
      </c>
    </row>
    <row r="376" spans="1:8" ht="12" customHeight="1">
      <c r="A376" s="32" t="s">
        <v>17</v>
      </c>
      <c r="B376" s="8" t="s">
        <v>100</v>
      </c>
      <c r="C376" s="59">
        <v>4</v>
      </c>
      <c r="D376" s="8" t="s">
        <v>93</v>
      </c>
      <c r="E376" s="8" t="s">
        <v>34</v>
      </c>
      <c r="F376" s="59">
        <v>1</v>
      </c>
      <c r="G376" s="59">
        <v>148</v>
      </c>
      <c r="H376" s="33" t="s">
        <v>111</v>
      </c>
    </row>
    <row r="377" spans="1:8" ht="12" customHeight="1">
      <c r="A377" s="32" t="s">
        <v>17</v>
      </c>
      <c r="B377" s="8" t="s">
        <v>100</v>
      </c>
      <c r="C377" s="59">
        <v>5</v>
      </c>
      <c r="D377" s="8" t="s">
        <v>94</v>
      </c>
      <c r="E377" s="8" t="s">
        <v>34</v>
      </c>
      <c r="F377" s="59">
        <v>1</v>
      </c>
      <c r="G377" s="59">
        <v>149</v>
      </c>
      <c r="H377" s="33" t="s">
        <v>111</v>
      </c>
    </row>
    <row r="378" spans="1:8" ht="12" customHeight="1">
      <c r="A378" s="32" t="s">
        <v>17</v>
      </c>
      <c r="B378" s="8" t="s">
        <v>100</v>
      </c>
      <c r="C378" s="59">
        <v>6</v>
      </c>
      <c r="D378" s="8" t="s">
        <v>96</v>
      </c>
      <c r="E378" s="8" t="s">
        <v>49</v>
      </c>
      <c r="F378" s="59">
        <v>1</v>
      </c>
      <c r="G378" s="59">
        <v>151</v>
      </c>
      <c r="H378" s="33" t="s">
        <v>49</v>
      </c>
    </row>
    <row r="379" spans="1:8" ht="12" customHeight="1">
      <c r="A379" s="32" t="s">
        <v>17</v>
      </c>
      <c r="B379" s="8" t="s">
        <v>100</v>
      </c>
      <c r="C379" s="59">
        <v>7</v>
      </c>
      <c r="D379" s="8" t="s">
        <v>97</v>
      </c>
      <c r="E379" s="8" t="s">
        <v>36</v>
      </c>
      <c r="F379" s="59">
        <v>1</v>
      </c>
      <c r="G379" s="59">
        <v>152</v>
      </c>
      <c r="H379" s="33" t="s">
        <v>36</v>
      </c>
    </row>
    <row r="380" spans="1:8" ht="12" customHeight="1">
      <c r="A380" s="32" t="s">
        <v>17</v>
      </c>
      <c r="B380" s="8" t="s">
        <v>101</v>
      </c>
      <c r="C380" s="59">
        <v>1</v>
      </c>
      <c r="D380" s="8" t="s">
        <v>90</v>
      </c>
      <c r="E380" s="8" t="s">
        <v>41</v>
      </c>
      <c r="F380" s="59">
        <v>1</v>
      </c>
      <c r="G380" s="59">
        <v>144</v>
      </c>
      <c r="H380" s="33" t="s">
        <v>41</v>
      </c>
    </row>
    <row r="381" spans="1:8" ht="12" customHeight="1">
      <c r="A381" s="32" t="s">
        <v>17</v>
      </c>
      <c r="B381" s="8" t="s">
        <v>101</v>
      </c>
      <c r="C381" s="59">
        <v>2</v>
      </c>
      <c r="D381" s="8" t="s">
        <v>91</v>
      </c>
      <c r="E381" s="8" t="s">
        <v>36</v>
      </c>
      <c r="F381" s="59">
        <v>1</v>
      </c>
      <c r="G381" s="59">
        <v>145</v>
      </c>
      <c r="H381" s="33" t="s">
        <v>36</v>
      </c>
    </row>
    <row r="382" spans="1:8" ht="12" customHeight="1">
      <c r="A382" s="32" t="s">
        <v>17</v>
      </c>
      <c r="B382" s="8" t="s">
        <v>101</v>
      </c>
      <c r="C382" s="59">
        <v>3</v>
      </c>
      <c r="D382" s="8" t="s">
        <v>92</v>
      </c>
      <c r="E382" s="8" t="s">
        <v>36</v>
      </c>
      <c r="F382" s="59">
        <v>1</v>
      </c>
      <c r="G382" s="59">
        <v>147</v>
      </c>
      <c r="H382" s="33" t="s">
        <v>36</v>
      </c>
    </row>
    <row r="383" spans="1:8" ht="12" customHeight="1">
      <c r="A383" s="32" t="s">
        <v>17</v>
      </c>
      <c r="B383" s="8" t="s">
        <v>101</v>
      </c>
      <c r="C383" s="59">
        <v>4</v>
      </c>
      <c r="D383" s="8" t="s">
        <v>93</v>
      </c>
      <c r="E383" s="8" t="s">
        <v>35</v>
      </c>
      <c r="F383" s="59">
        <v>1</v>
      </c>
      <c r="G383" s="59">
        <v>148</v>
      </c>
      <c r="H383" s="33" t="s">
        <v>35</v>
      </c>
    </row>
    <row r="384" spans="1:8" ht="12" customHeight="1">
      <c r="A384" s="32" t="s">
        <v>17</v>
      </c>
      <c r="B384" s="8" t="s">
        <v>101</v>
      </c>
      <c r="C384" s="59">
        <v>5</v>
      </c>
      <c r="D384" s="8" t="s">
        <v>94</v>
      </c>
      <c r="E384" s="8" t="s">
        <v>45</v>
      </c>
      <c r="F384" s="59">
        <v>1</v>
      </c>
      <c r="G384" s="59">
        <v>149</v>
      </c>
      <c r="H384" s="33" t="s">
        <v>45</v>
      </c>
    </row>
    <row r="385" spans="1:8" ht="12" customHeight="1">
      <c r="A385" s="32" t="s">
        <v>17</v>
      </c>
      <c r="B385" s="8" t="s">
        <v>101</v>
      </c>
      <c r="C385" s="59">
        <v>6</v>
      </c>
      <c r="D385" s="8" t="s">
        <v>96</v>
      </c>
      <c r="E385" s="8" t="s">
        <v>37</v>
      </c>
      <c r="F385" s="59">
        <v>1</v>
      </c>
      <c r="G385" s="59">
        <v>151</v>
      </c>
      <c r="H385" s="33" t="s">
        <v>37</v>
      </c>
    </row>
    <row r="386" spans="1:8" ht="12" customHeight="1">
      <c r="A386" s="32" t="s">
        <v>17</v>
      </c>
      <c r="B386" s="8" t="s">
        <v>101</v>
      </c>
      <c r="C386" s="59">
        <v>7</v>
      </c>
      <c r="D386" s="8" t="s">
        <v>97</v>
      </c>
      <c r="E386" s="8" t="s">
        <v>37</v>
      </c>
      <c r="F386" s="59">
        <v>1</v>
      </c>
      <c r="G386" s="59">
        <v>152</v>
      </c>
      <c r="H386" s="33" t="s">
        <v>37</v>
      </c>
    </row>
    <row r="387" spans="1:8" ht="12" customHeight="1">
      <c r="A387" s="32" t="s">
        <v>18</v>
      </c>
      <c r="B387" s="8" t="s">
        <v>89</v>
      </c>
      <c r="C387" s="59">
        <v>1</v>
      </c>
      <c r="D387" s="8" t="s">
        <v>90</v>
      </c>
      <c r="E387" s="8" t="s">
        <v>34</v>
      </c>
      <c r="F387" s="59">
        <v>1</v>
      </c>
      <c r="G387" s="59">
        <v>158</v>
      </c>
      <c r="H387" s="33" t="s">
        <v>111</v>
      </c>
    </row>
    <row r="388" spans="1:8" ht="12" customHeight="1">
      <c r="A388" s="32" t="s">
        <v>18</v>
      </c>
      <c r="B388" s="8" t="s">
        <v>89</v>
      </c>
      <c r="C388" s="59">
        <v>2</v>
      </c>
      <c r="D388" s="8" t="s">
        <v>91</v>
      </c>
      <c r="E388" s="8" t="s">
        <v>51</v>
      </c>
      <c r="F388" s="59">
        <v>1</v>
      </c>
      <c r="G388" s="59">
        <v>159</v>
      </c>
      <c r="H388" s="33" t="s">
        <v>51</v>
      </c>
    </row>
    <row r="389" spans="1:8" ht="12" customHeight="1">
      <c r="A389" s="32" t="s">
        <v>18</v>
      </c>
      <c r="B389" s="8" t="s">
        <v>89</v>
      </c>
      <c r="C389" s="59">
        <v>3</v>
      </c>
      <c r="D389" s="8" t="s">
        <v>92</v>
      </c>
      <c r="E389" s="8" t="s">
        <v>35</v>
      </c>
      <c r="F389" s="59">
        <v>1</v>
      </c>
      <c r="G389" s="59">
        <v>161</v>
      </c>
      <c r="H389" s="33" t="s">
        <v>35</v>
      </c>
    </row>
    <row r="390" spans="1:8" ht="12" customHeight="1">
      <c r="A390" s="32" t="s">
        <v>18</v>
      </c>
      <c r="B390" s="8" t="s">
        <v>89</v>
      </c>
      <c r="C390" s="59">
        <v>4</v>
      </c>
      <c r="D390" s="8" t="s">
        <v>93</v>
      </c>
      <c r="E390" s="8" t="s">
        <v>35</v>
      </c>
      <c r="F390" s="59">
        <v>1</v>
      </c>
      <c r="G390" s="59">
        <v>162</v>
      </c>
      <c r="H390" s="33" t="s">
        <v>35</v>
      </c>
    </row>
    <row r="391" spans="1:8" ht="12" customHeight="1">
      <c r="A391" s="32" t="s">
        <v>18</v>
      </c>
      <c r="B391" s="8" t="s">
        <v>89</v>
      </c>
      <c r="C391" s="59">
        <v>5</v>
      </c>
      <c r="D391" s="8" t="s">
        <v>94</v>
      </c>
      <c r="E391" s="8" t="s">
        <v>46</v>
      </c>
      <c r="F391" s="59">
        <v>1</v>
      </c>
      <c r="G391" s="59">
        <v>163</v>
      </c>
      <c r="H391" s="33" t="s">
        <v>46</v>
      </c>
    </row>
    <row r="392" spans="1:8" ht="12" customHeight="1">
      <c r="A392" s="32" t="s">
        <v>18</v>
      </c>
      <c r="B392" s="8" t="s">
        <v>89</v>
      </c>
      <c r="C392" s="59">
        <v>6</v>
      </c>
      <c r="D392" s="8" t="s">
        <v>96</v>
      </c>
      <c r="E392" s="8" t="s">
        <v>33</v>
      </c>
      <c r="F392" s="59">
        <v>1</v>
      </c>
      <c r="G392" s="59">
        <v>165</v>
      </c>
      <c r="H392" s="33" t="s">
        <v>33</v>
      </c>
    </row>
    <row r="393" spans="1:8" ht="12" customHeight="1">
      <c r="A393" s="32" t="s">
        <v>18</v>
      </c>
      <c r="B393" s="8" t="s">
        <v>89</v>
      </c>
      <c r="C393" s="59">
        <v>7</v>
      </c>
      <c r="D393" s="8" t="s">
        <v>97</v>
      </c>
      <c r="E393" s="8" t="s">
        <v>33</v>
      </c>
      <c r="F393" s="59">
        <v>1</v>
      </c>
      <c r="G393" s="59">
        <v>166</v>
      </c>
      <c r="H393" s="33" t="s">
        <v>33</v>
      </c>
    </row>
    <row r="394" spans="1:8" ht="12" customHeight="1">
      <c r="A394" s="32" t="s">
        <v>18</v>
      </c>
      <c r="B394" s="8" t="s">
        <v>98</v>
      </c>
      <c r="C394" s="59">
        <v>1</v>
      </c>
      <c r="D394" s="8" t="s">
        <v>90</v>
      </c>
      <c r="E394" s="8" t="s">
        <v>33</v>
      </c>
      <c r="F394" s="59">
        <v>1</v>
      </c>
      <c r="G394" s="59">
        <v>158</v>
      </c>
      <c r="H394" s="33" t="s">
        <v>33</v>
      </c>
    </row>
    <row r="395" spans="1:8" ht="12" customHeight="1">
      <c r="A395" s="32" t="s">
        <v>18</v>
      </c>
      <c r="B395" s="8" t="s">
        <v>98</v>
      </c>
      <c r="C395" s="59">
        <v>2</v>
      </c>
      <c r="D395" s="8" t="s">
        <v>91</v>
      </c>
      <c r="E395" s="8" t="s">
        <v>36</v>
      </c>
      <c r="F395" s="59">
        <v>1</v>
      </c>
      <c r="G395" s="59">
        <v>159</v>
      </c>
      <c r="H395" s="33" t="s">
        <v>36</v>
      </c>
    </row>
    <row r="396" spans="1:8" ht="12" customHeight="1">
      <c r="A396" s="32" t="s">
        <v>18</v>
      </c>
      <c r="B396" s="8" t="s">
        <v>98</v>
      </c>
      <c r="C396" s="59">
        <v>3</v>
      </c>
      <c r="D396" s="8" t="s">
        <v>92</v>
      </c>
      <c r="E396" s="8" t="s">
        <v>49</v>
      </c>
      <c r="F396" s="59">
        <v>1</v>
      </c>
      <c r="G396" s="59">
        <v>161</v>
      </c>
      <c r="H396" s="33" t="s">
        <v>49</v>
      </c>
    </row>
    <row r="397" spans="1:8" ht="12" customHeight="1">
      <c r="A397" s="32" t="s">
        <v>18</v>
      </c>
      <c r="B397" s="8" t="s">
        <v>98</v>
      </c>
      <c r="C397" s="59">
        <v>4</v>
      </c>
      <c r="D397" s="8" t="s">
        <v>93</v>
      </c>
      <c r="E397" s="8" t="s">
        <v>42</v>
      </c>
      <c r="F397" s="59">
        <v>1</v>
      </c>
      <c r="G397" s="59">
        <v>162</v>
      </c>
      <c r="H397" s="33" t="s">
        <v>42</v>
      </c>
    </row>
    <row r="398" spans="1:8" ht="12" customHeight="1">
      <c r="A398" s="32" t="s">
        <v>18</v>
      </c>
      <c r="B398" s="8" t="s">
        <v>98</v>
      </c>
      <c r="C398" s="59">
        <v>5</v>
      </c>
      <c r="D398" s="8" t="s">
        <v>94</v>
      </c>
      <c r="E398" s="8" t="s">
        <v>47</v>
      </c>
      <c r="F398" s="59">
        <v>1</v>
      </c>
      <c r="G398" s="59">
        <v>163</v>
      </c>
      <c r="H398" s="33" t="s">
        <v>47</v>
      </c>
    </row>
    <row r="399" spans="1:8" ht="12" customHeight="1">
      <c r="A399" s="32" t="s">
        <v>18</v>
      </c>
      <c r="B399" s="8" t="s">
        <v>98</v>
      </c>
      <c r="C399" s="59">
        <v>6</v>
      </c>
      <c r="D399" s="8" t="s">
        <v>96</v>
      </c>
      <c r="E399" s="8" t="s">
        <v>38</v>
      </c>
      <c r="F399" s="59">
        <v>1</v>
      </c>
      <c r="G399" s="59">
        <v>165</v>
      </c>
      <c r="H399" s="33" t="s">
        <v>110</v>
      </c>
    </row>
    <row r="400" spans="1:8" ht="12" customHeight="1">
      <c r="A400" s="32" t="s">
        <v>18</v>
      </c>
      <c r="B400" s="8" t="s">
        <v>98</v>
      </c>
      <c r="C400" s="59">
        <v>7</v>
      </c>
      <c r="D400" s="8" t="s">
        <v>97</v>
      </c>
      <c r="E400" s="8" t="s">
        <v>38</v>
      </c>
      <c r="F400" s="59">
        <v>1</v>
      </c>
      <c r="G400" s="59">
        <v>166</v>
      </c>
      <c r="H400" s="33" t="s">
        <v>110</v>
      </c>
    </row>
    <row r="401" spans="1:8" ht="12" customHeight="1">
      <c r="A401" s="32" t="s">
        <v>18</v>
      </c>
      <c r="B401" s="8" t="s">
        <v>99</v>
      </c>
      <c r="C401" s="59">
        <v>1</v>
      </c>
      <c r="D401" s="8" t="s">
        <v>90</v>
      </c>
      <c r="E401" s="8" t="s">
        <v>39</v>
      </c>
      <c r="F401" s="59">
        <v>1</v>
      </c>
      <c r="G401" s="59">
        <v>158</v>
      </c>
      <c r="H401" s="33" t="s">
        <v>39</v>
      </c>
    </row>
    <row r="402" spans="1:8" ht="12" customHeight="1">
      <c r="A402" s="32" t="s">
        <v>18</v>
      </c>
      <c r="B402" s="8" t="s">
        <v>99</v>
      </c>
      <c r="C402" s="59">
        <v>2</v>
      </c>
      <c r="D402" s="8" t="s">
        <v>91</v>
      </c>
      <c r="E402" s="8" t="s">
        <v>39</v>
      </c>
      <c r="F402" s="59">
        <v>1</v>
      </c>
      <c r="G402" s="59">
        <v>159</v>
      </c>
      <c r="H402" s="33" t="s">
        <v>39</v>
      </c>
    </row>
    <row r="403" spans="1:8" ht="12" customHeight="1">
      <c r="A403" s="32" t="s">
        <v>18</v>
      </c>
      <c r="B403" s="8" t="s">
        <v>99</v>
      </c>
      <c r="C403" s="59">
        <v>3</v>
      </c>
      <c r="D403" s="8" t="s">
        <v>92</v>
      </c>
      <c r="E403" s="8" t="s">
        <v>34</v>
      </c>
      <c r="F403" s="59">
        <v>1</v>
      </c>
      <c r="G403" s="59">
        <v>161</v>
      </c>
      <c r="H403" s="33" t="s">
        <v>111</v>
      </c>
    </row>
    <row r="404" spans="1:8" ht="12" customHeight="1">
      <c r="A404" s="32" t="s">
        <v>18</v>
      </c>
      <c r="B404" s="8" t="s">
        <v>99</v>
      </c>
      <c r="C404" s="59">
        <v>4</v>
      </c>
      <c r="D404" s="8" t="s">
        <v>93</v>
      </c>
      <c r="E404" s="8" t="s">
        <v>35</v>
      </c>
      <c r="F404" s="59">
        <v>1</v>
      </c>
      <c r="G404" s="59">
        <v>162</v>
      </c>
      <c r="H404" s="33" t="s">
        <v>113</v>
      </c>
    </row>
    <row r="405" spans="1:8" ht="12" customHeight="1">
      <c r="A405" s="32" t="s">
        <v>18</v>
      </c>
      <c r="B405" s="8" t="s">
        <v>99</v>
      </c>
      <c r="C405" s="59">
        <v>5</v>
      </c>
      <c r="D405" s="8" t="s">
        <v>94</v>
      </c>
      <c r="E405" s="8" t="s">
        <v>50</v>
      </c>
      <c r="F405" s="59">
        <v>1</v>
      </c>
      <c r="G405" s="59">
        <v>163</v>
      </c>
      <c r="H405" s="33" t="s">
        <v>50</v>
      </c>
    </row>
    <row r="406" spans="1:8" ht="12" customHeight="1">
      <c r="A406" s="32" t="s">
        <v>18</v>
      </c>
      <c r="B406" s="8" t="s">
        <v>99</v>
      </c>
      <c r="C406" s="59">
        <v>6</v>
      </c>
      <c r="D406" s="8" t="s">
        <v>96</v>
      </c>
      <c r="E406" s="8" t="s">
        <v>36</v>
      </c>
      <c r="F406" s="59">
        <v>1</v>
      </c>
      <c r="G406" s="59">
        <v>165</v>
      </c>
      <c r="H406" s="33" t="s">
        <v>36</v>
      </c>
    </row>
    <row r="407" spans="1:8" ht="12" customHeight="1">
      <c r="A407" s="32" t="s">
        <v>18</v>
      </c>
      <c r="B407" s="8" t="s">
        <v>99</v>
      </c>
      <c r="C407" s="59">
        <v>7</v>
      </c>
      <c r="D407" s="8" t="s">
        <v>97</v>
      </c>
      <c r="E407" s="8" t="s">
        <v>33</v>
      </c>
      <c r="F407" s="59">
        <v>1</v>
      </c>
      <c r="G407" s="59">
        <v>166</v>
      </c>
      <c r="H407" s="33" t="s">
        <v>33</v>
      </c>
    </row>
    <row r="408" spans="1:8" ht="12" customHeight="1">
      <c r="A408" s="32" t="s">
        <v>18</v>
      </c>
      <c r="B408" s="8" t="s">
        <v>100</v>
      </c>
      <c r="C408" s="59">
        <v>1</v>
      </c>
      <c r="D408" s="8" t="s">
        <v>90</v>
      </c>
      <c r="E408" s="8" t="s">
        <v>37</v>
      </c>
      <c r="F408" s="59">
        <v>1</v>
      </c>
      <c r="G408" s="59">
        <v>158</v>
      </c>
      <c r="H408" s="33" t="s">
        <v>37</v>
      </c>
    </row>
    <row r="409" spans="1:8" ht="12" customHeight="1">
      <c r="A409" s="32" t="s">
        <v>18</v>
      </c>
      <c r="B409" s="8" t="s">
        <v>100</v>
      </c>
      <c r="C409" s="59">
        <v>2</v>
      </c>
      <c r="D409" s="8" t="s">
        <v>91</v>
      </c>
      <c r="E409" s="8" t="s">
        <v>37</v>
      </c>
      <c r="F409" s="59">
        <v>1</v>
      </c>
      <c r="G409" s="59">
        <v>159</v>
      </c>
      <c r="H409" s="33" t="s">
        <v>37</v>
      </c>
    </row>
    <row r="410" spans="1:8" ht="12" customHeight="1">
      <c r="A410" s="32" t="s">
        <v>18</v>
      </c>
      <c r="B410" s="8" t="s">
        <v>100</v>
      </c>
      <c r="C410" s="59">
        <v>3</v>
      </c>
      <c r="D410" s="8" t="s">
        <v>92</v>
      </c>
      <c r="E410" s="8" t="s">
        <v>44</v>
      </c>
      <c r="F410" s="59">
        <v>1</v>
      </c>
      <c r="G410" s="59">
        <v>161</v>
      </c>
      <c r="H410" s="33" t="s">
        <v>44</v>
      </c>
    </row>
    <row r="411" spans="1:8" ht="12" customHeight="1">
      <c r="A411" s="32" t="s">
        <v>18</v>
      </c>
      <c r="B411" s="8" t="s">
        <v>100</v>
      </c>
      <c r="C411" s="59">
        <v>4</v>
      </c>
      <c r="D411" s="8" t="s">
        <v>93</v>
      </c>
      <c r="E411" s="8" t="s">
        <v>44</v>
      </c>
      <c r="F411" s="59">
        <v>1</v>
      </c>
      <c r="G411" s="59">
        <v>162</v>
      </c>
      <c r="H411" s="33" t="s">
        <v>44</v>
      </c>
    </row>
    <row r="412" spans="1:8" ht="12" customHeight="1">
      <c r="A412" s="32" t="s">
        <v>18</v>
      </c>
      <c r="B412" s="8" t="s">
        <v>100</v>
      </c>
      <c r="C412" s="59">
        <v>5</v>
      </c>
      <c r="D412" s="8" t="s">
        <v>94</v>
      </c>
      <c r="E412" s="8" t="s">
        <v>36</v>
      </c>
      <c r="F412" s="59">
        <v>1</v>
      </c>
      <c r="G412" s="59">
        <v>163</v>
      </c>
      <c r="H412" s="33" t="s">
        <v>36</v>
      </c>
    </row>
    <row r="413" spans="1:8" ht="12" customHeight="1">
      <c r="A413" s="32" t="s">
        <v>18</v>
      </c>
      <c r="B413" s="8" t="s">
        <v>100</v>
      </c>
      <c r="C413" s="59">
        <v>6</v>
      </c>
      <c r="D413" s="8" t="s">
        <v>96</v>
      </c>
      <c r="E413" s="8" t="s">
        <v>36</v>
      </c>
      <c r="F413" s="59">
        <v>1</v>
      </c>
      <c r="G413" s="59">
        <v>165</v>
      </c>
      <c r="H413" s="33" t="s">
        <v>36</v>
      </c>
    </row>
    <row r="414" spans="1:8" ht="12" customHeight="1">
      <c r="A414" s="32" t="s">
        <v>18</v>
      </c>
      <c r="B414" s="8" t="s">
        <v>100</v>
      </c>
      <c r="C414" s="59">
        <v>7</v>
      </c>
      <c r="D414" s="8" t="s">
        <v>97</v>
      </c>
      <c r="E414" s="8" t="s">
        <v>35</v>
      </c>
      <c r="F414" s="59">
        <v>1</v>
      </c>
      <c r="G414" s="59">
        <v>166</v>
      </c>
      <c r="H414" s="33" t="s">
        <v>113</v>
      </c>
    </row>
    <row r="415" spans="1:8" ht="12" customHeight="1">
      <c r="A415" s="32" t="s">
        <v>18</v>
      </c>
      <c r="B415" s="8" t="s">
        <v>101</v>
      </c>
      <c r="C415" s="59">
        <v>1</v>
      </c>
      <c r="D415" s="8" t="s">
        <v>90</v>
      </c>
      <c r="E415" s="8" t="s">
        <v>41</v>
      </c>
      <c r="F415" s="59">
        <v>1</v>
      </c>
      <c r="G415" s="59">
        <v>158</v>
      </c>
      <c r="H415" s="33" t="s">
        <v>114</v>
      </c>
    </row>
    <row r="416" spans="1:8" ht="12" customHeight="1">
      <c r="A416" s="32" t="s">
        <v>18</v>
      </c>
      <c r="B416" s="8" t="s">
        <v>101</v>
      </c>
      <c r="C416" s="59">
        <v>2</v>
      </c>
      <c r="D416" s="8" t="s">
        <v>91</v>
      </c>
      <c r="E416" s="8" t="s">
        <v>45</v>
      </c>
      <c r="F416" s="59">
        <v>1</v>
      </c>
      <c r="G416" s="59">
        <v>159</v>
      </c>
      <c r="H416" s="33" t="s">
        <v>45</v>
      </c>
    </row>
    <row r="417" spans="1:8" ht="12" customHeight="1">
      <c r="A417" s="32" t="s">
        <v>18</v>
      </c>
      <c r="B417" s="8" t="s">
        <v>101</v>
      </c>
      <c r="C417" s="59">
        <v>3</v>
      </c>
      <c r="D417" s="8" t="s">
        <v>92</v>
      </c>
      <c r="E417" s="8" t="s">
        <v>48</v>
      </c>
      <c r="F417" s="59">
        <v>1</v>
      </c>
      <c r="G417" s="59">
        <v>161</v>
      </c>
      <c r="H417" s="33" t="s">
        <v>48</v>
      </c>
    </row>
    <row r="418" spans="1:8" ht="12" customHeight="1">
      <c r="A418" s="32" t="s">
        <v>18</v>
      </c>
      <c r="B418" s="8" t="s">
        <v>101</v>
      </c>
      <c r="C418" s="59">
        <v>4</v>
      </c>
      <c r="D418" s="8" t="s">
        <v>93</v>
      </c>
      <c r="E418" s="8" t="s">
        <v>34</v>
      </c>
      <c r="F418" s="59">
        <v>1</v>
      </c>
      <c r="G418" s="59">
        <v>162</v>
      </c>
      <c r="H418" s="33" t="s">
        <v>111</v>
      </c>
    </row>
    <row r="419" spans="1:8" ht="12" customHeight="1">
      <c r="A419" s="32" t="s">
        <v>18</v>
      </c>
      <c r="B419" s="8" t="s">
        <v>101</v>
      </c>
      <c r="C419" s="59">
        <v>5</v>
      </c>
      <c r="D419" s="8" t="s">
        <v>94</v>
      </c>
      <c r="E419" s="8" t="s">
        <v>34</v>
      </c>
      <c r="F419" s="59">
        <v>1</v>
      </c>
      <c r="G419" s="59">
        <v>163</v>
      </c>
      <c r="H419" s="33" t="s">
        <v>111</v>
      </c>
    </row>
    <row r="420" spans="1:8" ht="12" customHeight="1">
      <c r="A420" s="32" t="s">
        <v>18</v>
      </c>
      <c r="B420" s="8" t="s">
        <v>101</v>
      </c>
      <c r="C420" s="59">
        <v>6</v>
      </c>
      <c r="D420" s="8" t="s">
        <v>96</v>
      </c>
      <c r="E420" s="8" t="s">
        <v>43</v>
      </c>
      <c r="F420" s="59">
        <v>1</v>
      </c>
      <c r="G420" s="59">
        <v>165</v>
      </c>
      <c r="H420" s="33" t="s">
        <v>43</v>
      </c>
    </row>
    <row r="421" spans="1:8" ht="12" customHeight="1">
      <c r="A421" s="32" t="s">
        <v>18</v>
      </c>
      <c r="B421" s="8" t="s">
        <v>101</v>
      </c>
      <c r="C421" s="59">
        <v>7</v>
      </c>
      <c r="D421" s="8" t="s">
        <v>97</v>
      </c>
      <c r="E421" s="8" t="s">
        <v>43</v>
      </c>
      <c r="F421" s="59">
        <v>1</v>
      </c>
      <c r="G421" s="59">
        <v>166</v>
      </c>
      <c r="H421" s="33" t="s">
        <v>43</v>
      </c>
    </row>
    <row r="422" spans="1:8" ht="12" customHeight="1">
      <c r="A422" s="32" t="s">
        <v>19</v>
      </c>
      <c r="B422" s="8" t="s">
        <v>89</v>
      </c>
      <c r="C422" s="59">
        <v>1</v>
      </c>
      <c r="D422" s="8" t="s">
        <v>90</v>
      </c>
      <c r="E422" s="8" t="s">
        <v>43</v>
      </c>
      <c r="F422" s="59">
        <v>1</v>
      </c>
      <c r="G422" s="59">
        <v>171</v>
      </c>
      <c r="H422" s="33" t="s">
        <v>43</v>
      </c>
    </row>
    <row r="423" spans="1:8" ht="12" customHeight="1">
      <c r="A423" s="32" t="s">
        <v>19</v>
      </c>
      <c r="B423" s="8" t="s">
        <v>89</v>
      </c>
      <c r="C423" s="59">
        <v>2</v>
      </c>
      <c r="D423" s="8" t="s">
        <v>91</v>
      </c>
      <c r="E423" s="8" t="s">
        <v>43</v>
      </c>
      <c r="F423" s="59">
        <v>1</v>
      </c>
      <c r="G423" s="59">
        <v>172</v>
      </c>
      <c r="H423" s="33" t="s">
        <v>43</v>
      </c>
    </row>
    <row r="424" spans="1:8" ht="12" customHeight="1">
      <c r="A424" s="32" t="s">
        <v>19</v>
      </c>
      <c r="B424" s="8" t="s">
        <v>89</v>
      </c>
      <c r="C424" s="59">
        <v>3</v>
      </c>
      <c r="D424" s="8" t="s">
        <v>115</v>
      </c>
      <c r="E424" s="8" t="s">
        <v>39</v>
      </c>
      <c r="F424" s="59">
        <v>1</v>
      </c>
      <c r="G424" s="59">
        <v>173</v>
      </c>
      <c r="H424" s="33" t="s">
        <v>39</v>
      </c>
    </row>
    <row r="425" spans="1:8" ht="12" customHeight="1">
      <c r="A425" s="32" t="s">
        <v>19</v>
      </c>
      <c r="B425" s="8" t="s">
        <v>89</v>
      </c>
      <c r="C425" s="59">
        <v>4</v>
      </c>
      <c r="D425" s="8" t="s">
        <v>93</v>
      </c>
      <c r="E425" s="8" t="s">
        <v>39</v>
      </c>
      <c r="F425" s="59">
        <v>1</v>
      </c>
      <c r="G425" s="59">
        <v>175</v>
      </c>
      <c r="H425" s="33" t="s">
        <v>39</v>
      </c>
    </row>
    <row r="426" spans="1:8" ht="12" customHeight="1">
      <c r="A426" s="32" t="s">
        <v>19</v>
      </c>
      <c r="B426" s="8" t="s">
        <v>89</v>
      </c>
      <c r="C426" s="59">
        <v>5</v>
      </c>
      <c r="D426" s="8" t="s">
        <v>94</v>
      </c>
      <c r="E426" s="8" t="s">
        <v>33</v>
      </c>
      <c r="F426" s="59">
        <v>1</v>
      </c>
      <c r="G426" s="59">
        <v>176</v>
      </c>
      <c r="H426" s="33" t="s">
        <v>33</v>
      </c>
    </row>
    <row r="427" spans="1:8" ht="12" customHeight="1">
      <c r="A427" s="32" t="s">
        <v>19</v>
      </c>
      <c r="B427" s="8" t="s">
        <v>89</v>
      </c>
      <c r="C427" s="59">
        <v>6</v>
      </c>
      <c r="D427" s="8" t="s">
        <v>96</v>
      </c>
      <c r="E427" s="8" t="s">
        <v>33</v>
      </c>
      <c r="F427" s="59">
        <v>1</v>
      </c>
      <c r="G427" s="59">
        <v>178</v>
      </c>
      <c r="H427" s="33" t="s">
        <v>33</v>
      </c>
    </row>
    <row r="428" spans="1:8" ht="12" customHeight="1">
      <c r="A428" s="32" t="s">
        <v>19</v>
      </c>
      <c r="B428" s="8" t="s">
        <v>89</v>
      </c>
      <c r="C428" s="59">
        <v>7</v>
      </c>
      <c r="D428" s="8" t="s">
        <v>97</v>
      </c>
      <c r="E428" s="8" t="s">
        <v>36</v>
      </c>
      <c r="F428" s="59">
        <v>1</v>
      </c>
      <c r="G428" s="59">
        <v>179</v>
      </c>
      <c r="H428" s="33" t="s">
        <v>36</v>
      </c>
    </row>
    <row r="429" spans="1:8" ht="12" customHeight="1">
      <c r="A429" s="32" t="s">
        <v>19</v>
      </c>
      <c r="B429" s="8" t="s">
        <v>98</v>
      </c>
      <c r="C429" s="59">
        <v>1</v>
      </c>
      <c r="D429" s="8" t="s">
        <v>90</v>
      </c>
      <c r="E429" s="8" t="s">
        <v>42</v>
      </c>
      <c r="F429" s="59">
        <v>1</v>
      </c>
      <c r="G429" s="59">
        <v>171</v>
      </c>
      <c r="H429" s="33" t="s">
        <v>42</v>
      </c>
    </row>
    <row r="430" spans="1:8" ht="12" customHeight="1">
      <c r="A430" s="32" t="s">
        <v>19</v>
      </c>
      <c r="B430" s="8" t="s">
        <v>98</v>
      </c>
      <c r="C430" s="59">
        <v>2</v>
      </c>
      <c r="D430" s="8" t="s">
        <v>91</v>
      </c>
      <c r="E430" s="8" t="s">
        <v>51</v>
      </c>
      <c r="F430" s="59">
        <v>1</v>
      </c>
      <c r="G430" s="59">
        <v>172</v>
      </c>
      <c r="H430" s="33" t="s">
        <v>51</v>
      </c>
    </row>
    <row r="431" spans="1:8" ht="12" customHeight="1">
      <c r="A431" s="32" t="s">
        <v>19</v>
      </c>
      <c r="B431" s="8" t="s">
        <v>98</v>
      </c>
      <c r="C431" s="59">
        <v>3</v>
      </c>
      <c r="D431" s="8" t="s">
        <v>115</v>
      </c>
      <c r="E431" s="8" t="s">
        <v>36</v>
      </c>
      <c r="F431" s="59">
        <v>1</v>
      </c>
      <c r="G431" s="59">
        <v>173</v>
      </c>
      <c r="H431" s="33" t="s">
        <v>36</v>
      </c>
    </row>
    <row r="432" spans="1:8" ht="12" customHeight="1">
      <c r="A432" s="32" t="s">
        <v>19</v>
      </c>
      <c r="B432" s="8" t="s">
        <v>98</v>
      </c>
      <c r="C432" s="59">
        <v>4</v>
      </c>
      <c r="D432" s="8" t="s">
        <v>93</v>
      </c>
      <c r="E432" s="8" t="s">
        <v>36</v>
      </c>
      <c r="F432" s="59">
        <v>1</v>
      </c>
      <c r="G432" s="59">
        <v>175</v>
      </c>
      <c r="H432" s="33" t="s">
        <v>36</v>
      </c>
    </row>
    <row r="433" spans="1:8" ht="12" customHeight="1">
      <c r="A433" s="32" t="s">
        <v>19</v>
      </c>
      <c r="B433" s="8" t="s">
        <v>98</v>
      </c>
      <c r="C433" s="59">
        <v>5</v>
      </c>
      <c r="D433" s="8" t="s">
        <v>94</v>
      </c>
      <c r="E433" s="8" t="s">
        <v>34</v>
      </c>
      <c r="F433" s="59">
        <v>1</v>
      </c>
      <c r="G433" s="59">
        <v>176</v>
      </c>
      <c r="H433" s="33" t="s">
        <v>111</v>
      </c>
    </row>
    <row r="434" spans="1:8" ht="12" customHeight="1">
      <c r="A434" s="32" t="s">
        <v>19</v>
      </c>
      <c r="B434" s="8" t="s">
        <v>98</v>
      </c>
      <c r="C434" s="59">
        <v>6</v>
      </c>
      <c r="D434" s="8" t="s">
        <v>96</v>
      </c>
      <c r="E434" s="8" t="s">
        <v>34</v>
      </c>
      <c r="F434" s="59">
        <v>1</v>
      </c>
      <c r="G434" s="59">
        <v>178</v>
      </c>
      <c r="H434" s="33" t="s">
        <v>111</v>
      </c>
    </row>
    <row r="435" spans="1:8" ht="12" customHeight="1">
      <c r="A435" s="32" t="s">
        <v>19</v>
      </c>
      <c r="B435" s="8" t="s">
        <v>98</v>
      </c>
      <c r="C435" s="59">
        <v>7</v>
      </c>
      <c r="D435" s="8" t="s">
        <v>97</v>
      </c>
      <c r="E435" s="8" t="s">
        <v>35</v>
      </c>
      <c r="F435" s="59">
        <v>1</v>
      </c>
      <c r="G435" s="59">
        <v>179</v>
      </c>
      <c r="H435" s="33" t="s">
        <v>35</v>
      </c>
    </row>
    <row r="436" spans="1:8" ht="12" customHeight="1">
      <c r="A436" s="32" t="s">
        <v>19</v>
      </c>
      <c r="B436" s="8" t="s">
        <v>99</v>
      </c>
      <c r="C436" s="59">
        <v>1</v>
      </c>
      <c r="D436" s="8" t="s">
        <v>90</v>
      </c>
      <c r="E436" s="8" t="s">
        <v>47</v>
      </c>
      <c r="F436" s="59">
        <v>1</v>
      </c>
      <c r="G436" s="59">
        <v>171</v>
      </c>
      <c r="H436" s="33" t="s">
        <v>47</v>
      </c>
    </row>
    <row r="437" spans="1:8" ht="12" customHeight="1">
      <c r="A437" s="32" t="s">
        <v>19</v>
      </c>
      <c r="B437" s="8" t="s">
        <v>99</v>
      </c>
      <c r="C437" s="59">
        <v>2</v>
      </c>
      <c r="D437" s="8" t="s">
        <v>91</v>
      </c>
      <c r="E437" s="8" t="s">
        <v>48</v>
      </c>
      <c r="F437" s="59">
        <v>1</v>
      </c>
      <c r="G437" s="59">
        <v>172</v>
      </c>
      <c r="H437" s="33" t="s">
        <v>48</v>
      </c>
    </row>
    <row r="438" spans="1:8" ht="12" customHeight="1">
      <c r="A438" s="32" t="s">
        <v>19</v>
      </c>
      <c r="B438" s="8" t="s">
        <v>99</v>
      </c>
      <c r="C438" s="59">
        <v>3</v>
      </c>
      <c r="D438" s="8" t="s">
        <v>115</v>
      </c>
      <c r="E438" s="8" t="s">
        <v>33</v>
      </c>
      <c r="F438" s="59">
        <v>1</v>
      </c>
      <c r="G438" s="59">
        <v>173</v>
      </c>
      <c r="H438" s="33" t="s">
        <v>33</v>
      </c>
    </row>
    <row r="439" spans="1:8" ht="12" customHeight="1">
      <c r="A439" s="32" t="s">
        <v>19</v>
      </c>
      <c r="B439" s="8" t="s">
        <v>99</v>
      </c>
      <c r="C439" s="59">
        <v>4</v>
      </c>
      <c r="D439" s="8" t="s">
        <v>93</v>
      </c>
      <c r="E439" s="8" t="s">
        <v>33</v>
      </c>
      <c r="F439" s="59">
        <v>1</v>
      </c>
      <c r="G439" s="59">
        <v>175</v>
      </c>
      <c r="H439" s="33" t="s">
        <v>33</v>
      </c>
    </row>
    <row r="440" spans="1:8" ht="12" customHeight="1">
      <c r="A440" s="32" t="s">
        <v>19</v>
      </c>
      <c r="B440" s="8" t="s">
        <v>99</v>
      </c>
      <c r="C440" s="59">
        <v>5</v>
      </c>
      <c r="D440" s="8" t="s">
        <v>94</v>
      </c>
      <c r="E440" s="8" t="s">
        <v>35</v>
      </c>
      <c r="F440" s="59">
        <v>1</v>
      </c>
      <c r="G440" s="59">
        <v>176</v>
      </c>
      <c r="H440" s="33" t="s">
        <v>35</v>
      </c>
    </row>
    <row r="441" spans="1:8" ht="12" customHeight="1">
      <c r="A441" s="32" t="s">
        <v>19</v>
      </c>
      <c r="B441" s="8" t="s">
        <v>99</v>
      </c>
      <c r="C441" s="59">
        <v>6</v>
      </c>
      <c r="D441" s="8" t="s">
        <v>96</v>
      </c>
      <c r="E441" s="8" t="s">
        <v>35</v>
      </c>
      <c r="F441" s="59">
        <v>1</v>
      </c>
      <c r="G441" s="59">
        <v>178</v>
      </c>
      <c r="H441" s="33" t="s">
        <v>35</v>
      </c>
    </row>
    <row r="442" spans="1:8" ht="12" customHeight="1">
      <c r="A442" s="32" t="s">
        <v>19</v>
      </c>
      <c r="B442" s="8" t="s">
        <v>99</v>
      </c>
      <c r="C442" s="59">
        <v>7</v>
      </c>
      <c r="D442" s="8" t="s">
        <v>97</v>
      </c>
      <c r="E442" s="8" t="s">
        <v>36</v>
      </c>
      <c r="F442" s="59">
        <v>1</v>
      </c>
      <c r="G442" s="59">
        <v>179</v>
      </c>
      <c r="H442" s="33" t="s">
        <v>36</v>
      </c>
    </row>
    <row r="443" spans="1:8" ht="12" customHeight="1">
      <c r="A443" s="32" t="s">
        <v>19</v>
      </c>
      <c r="B443" s="8" t="s">
        <v>100</v>
      </c>
      <c r="C443" s="59">
        <v>1</v>
      </c>
      <c r="D443" s="8" t="s">
        <v>90</v>
      </c>
      <c r="E443" s="8" t="s">
        <v>41</v>
      </c>
      <c r="F443" s="59">
        <v>1</v>
      </c>
      <c r="G443" s="59">
        <v>171</v>
      </c>
      <c r="H443" s="33" t="s">
        <v>114</v>
      </c>
    </row>
    <row r="444" spans="1:8" ht="12" customHeight="1">
      <c r="A444" s="32" t="s">
        <v>19</v>
      </c>
      <c r="B444" s="8" t="s">
        <v>100</v>
      </c>
      <c r="C444" s="59">
        <v>2</v>
      </c>
      <c r="D444" s="8" t="s">
        <v>91</v>
      </c>
      <c r="E444" s="8" t="s">
        <v>35</v>
      </c>
      <c r="F444" s="59">
        <v>1</v>
      </c>
      <c r="G444" s="59">
        <v>172</v>
      </c>
      <c r="H444" s="33" t="s">
        <v>116</v>
      </c>
    </row>
    <row r="445" spans="1:8" ht="12" customHeight="1">
      <c r="A445" s="32" t="s">
        <v>19</v>
      </c>
      <c r="B445" s="8" t="s">
        <v>100</v>
      </c>
      <c r="C445" s="59">
        <v>3</v>
      </c>
      <c r="D445" s="8" t="s">
        <v>115</v>
      </c>
      <c r="E445" s="8" t="s">
        <v>44</v>
      </c>
      <c r="F445" s="59">
        <v>1</v>
      </c>
      <c r="G445" s="59">
        <v>173</v>
      </c>
      <c r="H445" s="33" t="s">
        <v>44</v>
      </c>
    </row>
    <row r="446" spans="1:8" ht="12" customHeight="1">
      <c r="A446" s="32" t="s">
        <v>19</v>
      </c>
      <c r="B446" s="8" t="s">
        <v>100</v>
      </c>
      <c r="C446" s="59">
        <v>4</v>
      </c>
      <c r="D446" s="8" t="s">
        <v>93</v>
      </c>
      <c r="E446" s="8" t="s">
        <v>44</v>
      </c>
      <c r="F446" s="59">
        <v>1</v>
      </c>
      <c r="G446" s="59">
        <v>175</v>
      </c>
      <c r="H446" s="33" t="s">
        <v>44</v>
      </c>
    </row>
    <row r="447" spans="1:8" ht="12" customHeight="1">
      <c r="A447" s="32" t="s">
        <v>19</v>
      </c>
      <c r="B447" s="8" t="s">
        <v>100</v>
      </c>
      <c r="C447" s="59">
        <v>5</v>
      </c>
      <c r="D447" s="8" t="s">
        <v>94</v>
      </c>
      <c r="E447" s="8" t="s">
        <v>37</v>
      </c>
      <c r="F447" s="59">
        <v>1</v>
      </c>
      <c r="G447" s="59">
        <v>176</v>
      </c>
      <c r="H447" s="33" t="s">
        <v>37</v>
      </c>
    </row>
    <row r="448" spans="1:8" ht="12" customHeight="1">
      <c r="A448" s="32" t="s">
        <v>19</v>
      </c>
      <c r="B448" s="8" t="s">
        <v>100</v>
      </c>
      <c r="C448" s="59">
        <v>6</v>
      </c>
      <c r="D448" s="8" t="s">
        <v>96</v>
      </c>
      <c r="E448" s="8" t="s">
        <v>37</v>
      </c>
      <c r="F448" s="59">
        <v>1</v>
      </c>
      <c r="G448" s="59">
        <v>178</v>
      </c>
      <c r="H448" s="33" t="s">
        <v>37</v>
      </c>
    </row>
    <row r="449" spans="1:8" ht="12" customHeight="1">
      <c r="A449" s="32" t="s">
        <v>19</v>
      </c>
      <c r="B449" s="8" t="s">
        <v>100</v>
      </c>
      <c r="C449" s="59">
        <v>7</v>
      </c>
      <c r="D449" s="8" t="s">
        <v>97</v>
      </c>
      <c r="E449" s="8" t="s">
        <v>49</v>
      </c>
      <c r="F449" s="59">
        <v>1</v>
      </c>
      <c r="G449" s="59">
        <v>179</v>
      </c>
      <c r="H449" s="33" t="s">
        <v>49</v>
      </c>
    </row>
    <row r="450" spans="1:8" ht="12" customHeight="1">
      <c r="A450" s="32" t="s">
        <v>19</v>
      </c>
      <c r="B450" s="8" t="s">
        <v>101</v>
      </c>
      <c r="C450" s="59">
        <v>1</v>
      </c>
      <c r="D450" s="8" t="s">
        <v>90</v>
      </c>
      <c r="E450" s="8" t="s">
        <v>38</v>
      </c>
      <c r="F450" s="59">
        <v>1</v>
      </c>
      <c r="G450" s="59">
        <v>171</v>
      </c>
      <c r="H450" s="33" t="s">
        <v>110</v>
      </c>
    </row>
    <row r="451" spans="1:8" ht="12" customHeight="1">
      <c r="A451" s="32" t="s">
        <v>19</v>
      </c>
      <c r="B451" s="8" t="s">
        <v>101</v>
      </c>
      <c r="C451" s="59">
        <v>2</v>
      </c>
      <c r="D451" s="8" t="s">
        <v>91</v>
      </c>
      <c r="E451" s="8" t="s">
        <v>38</v>
      </c>
      <c r="F451" s="59">
        <v>1</v>
      </c>
      <c r="G451" s="59">
        <v>172</v>
      </c>
      <c r="H451" s="33" t="s">
        <v>110</v>
      </c>
    </row>
    <row r="452" spans="1:8" ht="12" customHeight="1">
      <c r="A452" s="32" t="s">
        <v>19</v>
      </c>
      <c r="B452" s="8" t="s">
        <v>101</v>
      </c>
      <c r="C452" s="59">
        <v>3</v>
      </c>
      <c r="D452" s="8" t="s">
        <v>115</v>
      </c>
      <c r="E452" s="8" t="s">
        <v>46</v>
      </c>
      <c r="F452" s="59">
        <v>1</v>
      </c>
      <c r="G452" s="59">
        <v>173</v>
      </c>
      <c r="H452" s="33" t="s">
        <v>46</v>
      </c>
    </row>
    <row r="453" spans="1:8" ht="12" customHeight="1">
      <c r="A453" s="32" t="s">
        <v>19</v>
      </c>
      <c r="B453" s="8" t="s">
        <v>101</v>
      </c>
      <c r="C453" s="59">
        <v>4</v>
      </c>
      <c r="D453" s="8" t="s">
        <v>93</v>
      </c>
      <c r="E453" s="8" t="s">
        <v>45</v>
      </c>
      <c r="F453" s="59">
        <v>1</v>
      </c>
      <c r="G453" s="59">
        <v>175</v>
      </c>
      <c r="H453" s="33" t="s">
        <v>117</v>
      </c>
    </row>
    <row r="454" spans="1:8" ht="12" customHeight="1">
      <c r="A454" s="32" t="s">
        <v>19</v>
      </c>
      <c r="B454" s="8" t="s">
        <v>101</v>
      </c>
      <c r="C454" s="59">
        <v>5</v>
      </c>
      <c r="D454" s="8" t="s">
        <v>94</v>
      </c>
      <c r="E454" s="8" t="s">
        <v>57</v>
      </c>
      <c r="F454" s="59">
        <v>1</v>
      </c>
      <c r="G454" s="59">
        <v>176</v>
      </c>
      <c r="H454" s="33" t="s">
        <v>57</v>
      </c>
    </row>
    <row r="455" spans="1:8" ht="12" customHeight="1">
      <c r="A455" s="32" t="s">
        <v>19</v>
      </c>
      <c r="B455" s="8" t="s">
        <v>101</v>
      </c>
      <c r="C455" s="59">
        <v>6</v>
      </c>
      <c r="D455" s="8" t="s">
        <v>96</v>
      </c>
      <c r="E455" s="8" t="s">
        <v>34</v>
      </c>
      <c r="F455" s="59">
        <v>1</v>
      </c>
      <c r="G455" s="59">
        <v>178</v>
      </c>
      <c r="H455" s="33" t="s">
        <v>111</v>
      </c>
    </row>
    <row r="456" spans="1:8" ht="12" customHeight="1">
      <c r="A456" s="32" t="s">
        <v>19</v>
      </c>
      <c r="B456" s="8" t="s">
        <v>101</v>
      </c>
      <c r="C456" s="59">
        <v>7</v>
      </c>
      <c r="D456" s="8" t="s">
        <v>97</v>
      </c>
      <c r="E456" s="8" t="s">
        <v>34</v>
      </c>
      <c r="F456" s="59">
        <v>1</v>
      </c>
      <c r="G456" s="59">
        <v>179</v>
      </c>
      <c r="H456" s="33" t="s">
        <v>111</v>
      </c>
    </row>
    <row r="457" spans="1:8" ht="12" customHeight="1">
      <c r="A457" s="32" t="s">
        <v>20</v>
      </c>
      <c r="B457" s="8" t="s">
        <v>89</v>
      </c>
      <c r="C457" s="59">
        <v>1</v>
      </c>
      <c r="D457" s="8" t="s">
        <v>90</v>
      </c>
      <c r="E457" s="8" t="s">
        <v>36</v>
      </c>
      <c r="F457" s="59">
        <v>1</v>
      </c>
      <c r="G457" s="59">
        <v>184</v>
      </c>
      <c r="H457" s="33" t="s">
        <v>36</v>
      </c>
    </row>
    <row r="458" spans="1:8" ht="12" customHeight="1">
      <c r="A458" s="32" t="s">
        <v>20</v>
      </c>
      <c r="B458" s="8" t="s">
        <v>89</v>
      </c>
      <c r="C458" s="59">
        <v>2</v>
      </c>
      <c r="D458" s="8" t="s">
        <v>91</v>
      </c>
      <c r="E458" s="8" t="s">
        <v>36</v>
      </c>
      <c r="F458" s="59">
        <v>1</v>
      </c>
      <c r="G458" s="59">
        <v>185</v>
      </c>
      <c r="H458" s="33" t="s">
        <v>36</v>
      </c>
    </row>
    <row r="459" spans="1:8" ht="12" customHeight="1">
      <c r="A459" s="32" t="s">
        <v>20</v>
      </c>
      <c r="B459" s="8" t="s">
        <v>89</v>
      </c>
      <c r="C459" s="59">
        <v>3</v>
      </c>
      <c r="D459" s="8" t="s">
        <v>115</v>
      </c>
      <c r="E459" s="8" t="s">
        <v>34</v>
      </c>
      <c r="F459" s="59">
        <v>1</v>
      </c>
      <c r="G459" s="59">
        <v>186</v>
      </c>
      <c r="H459" s="33" t="s">
        <v>102</v>
      </c>
    </row>
    <row r="460" spans="1:8" ht="12" customHeight="1">
      <c r="A460" s="32" t="s">
        <v>20</v>
      </c>
      <c r="B460" s="8" t="s">
        <v>89</v>
      </c>
      <c r="C460" s="59">
        <v>4</v>
      </c>
      <c r="D460" s="8" t="s">
        <v>93</v>
      </c>
      <c r="E460" s="8" t="s">
        <v>34</v>
      </c>
      <c r="F460" s="59">
        <v>1</v>
      </c>
      <c r="G460" s="59">
        <v>188</v>
      </c>
      <c r="H460" s="33" t="s">
        <v>102</v>
      </c>
    </row>
    <row r="461" spans="1:8" ht="12" customHeight="1">
      <c r="A461" s="32" t="s">
        <v>20</v>
      </c>
      <c r="B461" s="8" t="s">
        <v>89</v>
      </c>
      <c r="C461" s="59">
        <v>5</v>
      </c>
      <c r="D461" s="8" t="s">
        <v>94</v>
      </c>
      <c r="E461" s="8" t="s">
        <v>43</v>
      </c>
      <c r="F461" s="59">
        <v>1</v>
      </c>
      <c r="G461" s="59">
        <v>189</v>
      </c>
      <c r="H461" s="33" t="s">
        <v>43</v>
      </c>
    </row>
    <row r="462" spans="1:8" ht="12" customHeight="1">
      <c r="A462" s="32" t="s">
        <v>20</v>
      </c>
      <c r="B462" s="8" t="s">
        <v>89</v>
      </c>
      <c r="C462" s="59">
        <v>6</v>
      </c>
      <c r="D462" s="8" t="s">
        <v>96</v>
      </c>
      <c r="E462" s="8" t="s">
        <v>43</v>
      </c>
      <c r="F462" s="59">
        <v>1</v>
      </c>
      <c r="G462" s="59">
        <v>191</v>
      </c>
      <c r="H462" s="33" t="s">
        <v>43</v>
      </c>
    </row>
    <row r="463" spans="1:8" ht="12" customHeight="1">
      <c r="A463" s="32" t="s">
        <v>20</v>
      </c>
      <c r="B463" s="8" t="s">
        <v>89</v>
      </c>
      <c r="C463" s="59">
        <v>7</v>
      </c>
      <c r="D463" s="8" t="s">
        <v>97</v>
      </c>
      <c r="E463" s="8" t="s">
        <v>35</v>
      </c>
      <c r="F463" s="59">
        <v>1</v>
      </c>
      <c r="G463" s="59">
        <v>192</v>
      </c>
      <c r="H463" s="33" t="s">
        <v>35</v>
      </c>
    </row>
    <row r="464" spans="1:8" ht="12" customHeight="1">
      <c r="A464" s="32" t="s">
        <v>20</v>
      </c>
      <c r="B464" s="8" t="s">
        <v>98</v>
      </c>
      <c r="C464" s="59">
        <v>1</v>
      </c>
      <c r="D464" s="8" t="s">
        <v>90</v>
      </c>
      <c r="E464" s="8" t="s">
        <v>36</v>
      </c>
      <c r="F464" s="59">
        <v>1</v>
      </c>
      <c r="G464" s="59">
        <v>184</v>
      </c>
      <c r="H464" s="33" t="s">
        <v>36</v>
      </c>
    </row>
    <row r="465" spans="1:8" ht="12" customHeight="1">
      <c r="A465" s="32" t="s">
        <v>20</v>
      </c>
      <c r="B465" s="8" t="s">
        <v>98</v>
      </c>
      <c r="C465" s="59">
        <v>2</v>
      </c>
      <c r="D465" s="8" t="s">
        <v>91</v>
      </c>
      <c r="E465" s="8" t="s">
        <v>33</v>
      </c>
      <c r="F465" s="59">
        <v>1</v>
      </c>
      <c r="G465" s="59">
        <v>185</v>
      </c>
      <c r="H465" s="33" t="s">
        <v>33</v>
      </c>
    </row>
    <row r="466" spans="1:8" ht="12" customHeight="1">
      <c r="A466" s="32" t="s">
        <v>20</v>
      </c>
      <c r="B466" s="8" t="s">
        <v>98</v>
      </c>
      <c r="C466" s="59">
        <v>3</v>
      </c>
      <c r="D466" s="8" t="s">
        <v>115</v>
      </c>
      <c r="E466" s="8" t="s">
        <v>33</v>
      </c>
      <c r="F466" s="59">
        <v>1</v>
      </c>
      <c r="G466" s="59">
        <v>186</v>
      </c>
      <c r="H466" s="33" t="s">
        <v>33</v>
      </c>
    </row>
    <row r="467" spans="1:8" ht="12" customHeight="1">
      <c r="A467" s="32" t="s">
        <v>20</v>
      </c>
      <c r="B467" s="8" t="s">
        <v>98</v>
      </c>
      <c r="C467" s="59">
        <v>4</v>
      </c>
      <c r="D467" s="8" t="s">
        <v>93</v>
      </c>
      <c r="E467" s="8" t="s">
        <v>35</v>
      </c>
      <c r="F467" s="59">
        <v>1</v>
      </c>
      <c r="G467" s="59">
        <v>188</v>
      </c>
      <c r="H467" s="33" t="s">
        <v>35</v>
      </c>
    </row>
    <row r="468" spans="1:8" ht="12" customHeight="1">
      <c r="A468" s="32" t="s">
        <v>20</v>
      </c>
      <c r="B468" s="8" t="s">
        <v>98</v>
      </c>
      <c r="C468" s="59">
        <v>5</v>
      </c>
      <c r="D468" s="8" t="s">
        <v>94</v>
      </c>
      <c r="E468" s="8" t="s">
        <v>35</v>
      </c>
      <c r="F468" s="59">
        <v>1</v>
      </c>
      <c r="G468" s="59">
        <v>189</v>
      </c>
      <c r="H468" s="33" t="s">
        <v>35</v>
      </c>
    </row>
    <row r="469" spans="1:8" ht="12" customHeight="1">
      <c r="A469" s="32" t="s">
        <v>20</v>
      </c>
      <c r="B469" s="8" t="s">
        <v>98</v>
      </c>
      <c r="C469" s="59">
        <v>6</v>
      </c>
      <c r="D469" s="8" t="s">
        <v>96</v>
      </c>
      <c r="E469" s="8" t="s">
        <v>47</v>
      </c>
      <c r="F469" s="59">
        <v>1</v>
      </c>
      <c r="G469" s="59">
        <v>191</v>
      </c>
      <c r="H469" s="33" t="s">
        <v>47</v>
      </c>
    </row>
    <row r="470" spans="1:8" ht="12" customHeight="1">
      <c r="A470" s="32" t="s">
        <v>20</v>
      </c>
      <c r="B470" s="8" t="s">
        <v>98</v>
      </c>
      <c r="C470" s="59">
        <v>7</v>
      </c>
      <c r="D470" s="8" t="s">
        <v>97</v>
      </c>
      <c r="E470" s="8" t="s">
        <v>49</v>
      </c>
      <c r="F470" s="59">
        <v>1</v>
      </c>
      <c r="G470" s="59">
        <v>192</v>
      </c>
      <c r="H470" s="33" t="s">
        <v>49</v>
      </c>
    </row>
    <row r="471" spans="1:8" ht="12" customHeight="1">
      <c r="A471" s="32" t="s">
        <v>20</v>
      </c>
      <c r="B471" s="8" t="s">
        <v>99</v>
      </c>
      <c r="C471" s="59">
        <v>1</v>
      </c>
      <c r="D471" s="8" t="s">
        <v>90</v>
      </c>
      <c r="E471" s="8" t="s">
        <v>37</v>
      </c>
      <c r="F471" s="59">
        <v>1</v>
      </c>
      <c r="G471" s="59">
        <v>184</v>
      </c>
      <c r="H471" s="33" t="s">
        <v>37</v>
      </c>
    </row>
    <row r="472" spans="1:8" ht="12" customHeight="1">
      <c r="A472" s="32" t="s">
        <v>20</v>
      </c>
      <c r="B472" s="8" t="s">
        <v>99</v>
      </c>
      <c r="C472" s="59">
        <v>2</v>
      </c>
      <c r="D472" s="8" t="s">
        <v>91</v>
      </c>
      <c r="E472" s="8" t="s">
        <v>37</v>
      </c>
      <c r="F472" s="59">
        <v>1</v>
      </c>
      <c r="G472" s="59">
        <v>185</v>
      </c>
      <c r="H472" s="33" t="s">
        <v>37</v>
      </c>
    </row>
    <row r="473" spans="1:8" ht="12" customHeight="1">
      <c r="A473" s="32" t="s">
        <v>20</v>
      </c>
      <c r="B473" s="8" t="s">
        <v>99</v>
      </c>
      <c r="C473" s="59">
        <v>3</v>
      </c>
      <c r="D473" s="8" t="s">
        <v>115</v>
      </c>
      <c r="E473" s="8" t="s">
        <v>44</v>
      </c>
      <c r="F473" s="59">
        <v>1</v>
      </c>
      <c r="G473" s="59">
        <v>186</v>
      </c>
      <c r="H473" s="33" t="s">
        <v>44</v>
      </c>
    </row>
    <row r="474" spans="1:8" ht="12" customHeight="1">
      <c r="A474" s="32" t="s">
        <v>20</v>
      </c>
      <c r="B474" s="8" t="s">
        <v>99</v>
      </c>
      <c r="C474" s="59">
        <v>4</v>
      </c>
      <c r="D474" s="8" t="s">
        <v>93</v>
      </c>
      <c r="E474" s="8" t="s">
        <v>44</v>
      </c>
      <c r="F474" s="59">
        <v>1</v>
      </c>
      <c r="G474" s="59">
        <v>188</v>
      </c>
      <c r="H474" s="33" t="s">
        <v>44</v>
      </c>
    </row>
    <row r="475" spans="1:8" ht="12" customHeight="1">
      <c r="A475" s="32" t="s">
        <v>20</v>
      </c>
      <c r="B475" s="8" t="s">
        <v>99</v>
      </c>
      <c r="C475" s="59">
        <v>5</v>
      </c>
      <c r="D475" s="8" t="s">
        <v>94</v>
      </c>
      <c r="E475" s="8" t="s">
        <v>36</v>
      </c>
      <c r="F475" s="59">
        <v>1</v>
      </c>
      <c r="G475" s="59">
        <v>189</v>
      </c>
      <c r="H475" s="33" t="s">
        <v>36</v>
      </c>
    </row>
    <row r="476" spans="1:8" ht="12" customHeight="1">
      <c r="A476" s="32" t="s">
        <v>20</v>
      </c>
      <c r="B476" s="8" t="s">
        <v>99</v>
      </c>
      <c r="C476" s="59">
        <v>6</v>
      </c>
      <c r="D476" s="8" t="s">
        <v>96</v>
      </c>
      <c r="E476" s="8" t="s">
        <v>38</v>
      </c>
      <c r="F476" s="59">
        <v>1</v>
      </c>
      <c r="G476" s="59">
        <v>191</v>
      </c>
      <c r="H476" s="33" t="s">
        <v>110</v>
      </c>
    </row>
    <row r="477" spans="1:8" ht="12" customHeight="1">
      <c r="A477" s="32" t="s">
        <v>20</v>
      </c>
      <c r="B477" s="8" t="s">
        <v>99</v>
      </c>
      <c r="C477" s="59">
        <v>7</v>
      </c>
      <c r="D477" s="8" t="s">
        <v>97</v>
      </c>
      <c r="E477" s="8" t="s">
        <v>38</v>
      </c>
      <c r="F477" s="59">
        <v>1</v>
      </c>
      <c r="G477" s="59">
        <v>192</v>
      </c>
      <c r="H477" s="33" t="s">
        <v>110</v>
      </c>
    </row>
    <row r="478" spans="1:8" ht="12" customHeight="1">
      <c r="A478" s="32" t="s">
        <v>20</v>
      </c>
      <c r="B478" s="8" t="s">
        <v>100</v>
      </c>
      <c r="C478" s="59">
        <v>1</v>
      </c>
      <c r="D478" s="8" t="s">
        <v>90</v>
      </c>
      <c r="E478" s="8" t="s">
        <v>41</v>
      </c>
      <c r="F478" s="59">
        <v>1</v>
      </c>
      <c r="G478" s="59">
        <v>184</v>
      </c>
      <c r="H478" s="33" t="s">
        <v>41</v>
      </c>
    </row>
    <row r="479" spans="1:8" ht="12" customHeight="1">
      <c r="A479" s="32" t="s">
        <v>20</v>
      </c>
      <c r="B479" s="8" t="s">
        <v>100</v>
      </c>
      <c r="C479" s="59">
        <v>2</v>
      </c>
      <c r="D479" s="8" t="s">
        <v>91</v>
      </c>
      <c r="E479" s="8" t="s">
        <v>34</v>
      </c>
      <c r="F479" s="59">
        <v>1</v>
      </c>
      <c r="G479" s="59">
        <v>185</v>
      </c>
      <c r="H479" s="33" t="s">
        <v>102</v>
      </c>
    </row>
    <row r="480" spans="1:8" ht="12" customHeight="1">
      <c r="A480" s="32" t="s">
        <v>20</v>
      </c>
      <c r="B480" s="8" t="s">
        <v>100</v>
      </c>
      <c r="C480" s="59">
        <v>3</v>
      </c>
      <c r="D480" s="8" t="s">
        <v>115</v>
      </c>
      <c r="E480" s="8" t="s">
        <v>34</v>
      </c>
      <c r="F480" s="59">
        <v>1</v>
      </c>
      <c r="G480" s="59">
        <v>186</v>
      </c>
      <c r="H480" s="33" t="s">
        <v>102</v>
      </c>
    </row>
    <row r="481" spans="1:8" ht="12" customHeight="1">
      <c r="A481" s="32" t="s">
        <v>20</v>
      </c>
      <c r="B481" s="8" t="s">
        <v>100</v>
      </c>
      <c r="C481" s="59">
        <v>4</v>
      </c>
      <c r="D481" s="8" t="s">
        <v>93</v>
      </c>
      <c r="E481" s="8" t="s">
        <v>48</v>
      </c>
      <c r="F481" s="59">
        <v>1</v>
      </c>
      <c r="G481" s="59">
        <v>188</v>
      </c>
      <c r="H481" s="33" t="s">
        <v>48</v>
      </c>
    </row>
    <row r="482" spans="1:8" ht="12" customHeight="1">
      <c r="A482" s="32" t="s">
        <v>20</v>
      </c>
      <c r="B482" s="8" t="s">
        <v>100</v>
      </c>
      <c r="C482" s="59">
        <v>5</v>
      </c>
      <c r="D482" s="8" t="s">
        <v>94</v>
      </c>
      <c r="E482" s="8" t="s">
        <v>39</v>
      </c>
      <c r="F482" s="59">
        <v>1</v>
      </c>
      <c r="G482" s="59">
        <v>189</v>
      </c>
      <c r="H482" s="33" t="s">
        <v>39</v>
      </c>
    </row>
    <row r="483" spans="1:8" ht="12" customHeight="1">
      <c r="A483" s="32" t="s">
        <v>20</v>
      </c>
      <c r="B483" s="8" t="s">
        <v>100</v>
      </c>
      <c r="C483" s="59">
        <v>6</v>
      </c>
      <c r="D483" s="8" t="s">
        <v>96</v>
      </c>
      <c r="E483" s="8" t="s">
        <v>39</v>
      </c>
      <c r="F483" s="59">
        <v>1</v>
      </c>
      <c r="G483" s="59">
        <v>191</v>
      </c>
      <c r="H483" s="33" t="s">
        <v>39</v>
      </c>
    </row>
    <row r="484" spans="1:8" ht="12" customHeight="1">
      <c r="A484" s="32" t="s">
        <v>20</v>
      </c>
      <c r="B484" s="8" t="s">
        <v>100</v>
      </c>
      <c r="C484" s="59">
        <v>7</v>
      </c>
      <c r="D484" s="8" t="s">
        <v>97</v>
      </c>
      <c r="E484" s="8" t="s">
        <v>51</v>
      </c>
      <c r="F484" s="59">
        <v>1</v>
      </c>
      <c r="G484" s="59">
        <v>192</v>
      </c>
      <c r="H484" s="33" t="s">
        <v>51</v>
      </c>
    </row>
    <row r="485" spans="1:8" ht="12" customHeight="1">
      <c r="A485" s="32" t="s">
        <v>20</v>
      </c>
      <c r="B485" s="8" t="s">
        <v>101</v>
      </c>
      <c r="C485" s="59">
        <v>1</v>
      </c>
      <c r="D485" s="8" t="s">
        <v>90</v>
      </c>
      <c r="E485" s="8" t="s">
        <v>35</v>
      </c>
      <c r="F485" s="59">
        <v>1</v>
      </c>
      <c r="G485" s="59">
        <v>184</v>
      </c>
      <c r="H485" s="33" t="s">
        <v>35</v>
      </c>
    </row>
    <row r="486" spans="1:8" ht="12" customHeight="1">
      <c r="A486" s="32" t="s">
        <v>20</v>
      </c>
      <c r="B486" s="8" t="s">
        <v>101</v>
      </c>
      <c r="C486" s="59">
        <v>2</v>
      </c>
      <c r="D486" s="8" t="s">
        <v>91</v>
      </c>
      <c r="E486" s="8" t="s">
        <v>42</v>
      </c>
      <c r="F486" s="59">
        <v>1</v>
      </c>
      <c r="G486" s="59">
        <v>185</v>
      </c>
      <c r="H486" s="33" t="s">
        <v>42</v>
      </c>
    </row>
    <row r="487" spans="1:8" ht="12" customHeight="1">
      <c r="A487" s="32" t="s">
        <v>20</v>
      </c>
      <c r="B487" s="8" t="s">
        <v>101</v>
      </c>
      <c r="C487" s="59">
        <v>3</v>
      </c>
      <c r="D487" s="8" t="s">
        <v>115</v>
      </c>
      <c r="E487" s="8" t="s">
        <v>33</v>
      </c>
      <c r="F487" s="59">
        <v>1</v>
      </c>
      <c r="G487" s="59">
        <v>186</v>
      </c>
      <c r="H487" s="33" t="s">
        <v>33</v>
      </c>
    </row>
    <row r="488" spans="1:8" ht="12" customHeight="1">
      <c r="A488" s="32" t="s">
        <v>20</v>
      </c>
      <c r="B488" s="8" t="s">
        <v>101</v>
      </c>
      <c r="C488" s="59">
        <v>4</v>
      </c>
      <c r="D488" s="8" t="s">
        <v>93</v>
      </c>
      <c r="E488" s="8" t="s">
        <v>33</v>
      </c>
      <c r="F488" s="59">
        <v>1</v>
      </c>
      <c r="G488" s="59">
        <v>188</v>
      </c>
      <c r="H488" s="33" t="s">
        <v>33</v>
      </c>
    </row>
    <row r="489" spans="1:8" ht="12" customHeight="1">
      <c r="A489" s="32" t="s">
        <v>20</v>
      </c>
      <c r="B489" s="8" t="s">
        <v>101</v>
      </c>
      <c r="C489" s="59">
        <v>5</v>
      </c>
      <c r="D489" s="8" t="s">
        <v>94</v>
      </c>
      <c r="E489" s="8" t="s">
        <v>57</v>
      </c>
      <c r="F489" s="59">
        <v>1</v>
      </c>
      <c r="G489" s="59">
        <v>189</v>
      </c>
      <c r="H489" s="33" t="s">
        <v>118</v>
      </c>
    </row>
    <row r="490" spans="1:8" ht="12" customHeight="1">
      <c r="A490" s="32" t="s">
        <v>20</v>
      </c>
      <c r="B490" s="8" t="s">
        <v>101</v>
      </c>
      <c r="C490" s="59">
        <v>6</v>
      </c>
      <c r="D490" s="8" t="s">
        <v>96</v>
      </c>
      <c r="E490" s="8" t="s">
        <v>46</v>
      </c>
      <c r="F490" s="59">
        <v>1</v>
      </c>
      <c r="G490" s="59">
        <v>191</v>
      </c>
      <c r="H490" s="33" t="s">
        <v>46</v>
      </c>
    </row>
    <row r="491" spans="1:8" ht="12" customHeight="1">
      <c r="A491" s="32" t="s">
        <v>20</v>
      </c>
      <c r="B491" s="8" t="s">
        <v>101</v>
      </c>
      <c r="C491" s="59">
        <v>7</v>
      </c>
      <c r="D491" s="8" t="s">
        <v>97</v>
      </c>
      <c r="E491" s="8" t="s">
        <v>45</v>
      </c>
      <c r="F491" s="59">
        <v>1</v>
      </c>
      <c r="G491" s="59">
        <v>192</v>
      </c>
      <c r="H491" s="33" t="s">
        <v>45</v>
      </c>
    </row>
    <row r="492" spans="1:8" ht="12" customHeight="1">
      <c r="A492" s="32" t="s">
        <v>21</v>
      </c>
      <c r="B492" s="8" t="s">
        <v>89</v>
      </c>
      <c r="C492" s="59">
        <v>1</v>
      </c>
      <c r="D492" s="8" t="s">
        <v>90</v>
      </c>
      <c r="E492" s="8" t="s">
        <v>33</v>
      </c>
      <c r="F492" s="59">
        <v>1</v>
      </c>
      <c r="G492" s="59">
        <v>197</v>
      </c>
      <c r="H492" s="33" t="s">
        <v>33</v>
      </c>
    </row>
    <row r="493" spans="1:8" ht="12" customHeight="1">
      <c r="A493" s="32" t="s">
        <v>21</v>
      </c>
      <c r="B493" s="8" t="s">
        <v>89</v>
      </c>
      <c r="C493" s="59">
        <v>2</v>
      </c>
      <c r="D493" s="8" t="s">
        <v>91</v>
      </c>
      <c r="E493" s="8" t="s">
        <v>33</v>
      </c>
      <c r="F493" s="59">
        <v>1</v>
      </c>
      <c r="G493" s="59">
        <v>198</v>
      </c>
      <c r="H493" s="33" t="s">
        <v>33</v>
      </c>
    </row>
    <row r="494" spans="1:8" ht="12" customHeight="1">
      <c r="A494" s="32" t="s">
        <v>21</v>
      </c>
      <c r="B494" s="8" t="s">
        <v>89</v>
      </c>
      <c r="C494" s="59">
        <v>3</v>
      </c>
      <c r="D494" s="8" t="s">
        <v>115</v>
      </c>
      <c r="E494" s="8" t="s">
        <v>35</v>
      </c>
      <c r="F494" s="59">
        <v>1</v>
      </c>
      <c r="G494" s="59">
        <v>199</v>
      </c>
      <c r="H494" s="33" t="s">
        <v>35</v>
      </c>
    </row>
    <row r="495" spans="1:8" ht="12" customHeight="1">
      <c r="A495" s="32" t="s">
        <v>21</v>
      </c>
      <c r="B495" s="8" t="s">
        <v>89</v>
      </c>
      <c r="C495" s="59">
        <v>4</v>
      </c>
      <c r="D495" s="8" t="s">
        <v>93</v>
      </c>
      <c r="E495" s="8" t="s">
        <v>34</v>
      </c>
      <c r="F495" s="59">
        <v>1</v>
      </c>
      <c r="G495" s="59">
        <v>201</v>
      </c>
      <c r="H495" s="33" t="s">
        <v>34</v>
      </c>
    </row>
    <row r="496" spans="1:8" ht="12" customHeight="1">
      <c r="A496" s="32" t="s">
        <v>21</v>
      </c>
      <c r="B496" s="8" t="s">
        <v>89</v>
      </c>
      <c r="C496" s="59">
        <v>5</v>
      </c>
      <c r="D496" s="8" t="s">
        <v>94</v>
      </c>
      <c r="E496" s="8" t="s">
        <v>45</v>
      </c>
      <c r="F496" s="59">
        <v>1</v>
      </c>
      <c r="G496" s="59">
        <v>202</v>
      </c>
      <c r="H496" s="33" t="s">
        <v>45</v>
      </c>
    </row>
    <row r="497" spans="1:8" ht="12" customHeight="1">
      <c r="A497" s="32" t="s">
        <v>21</v>
      </c>
      <c r="B497" s="8" t="s">
        <v>89</v>
      </c>
      <c r="C497" s="59">
        <v>6</v>
      </c>
      <c r="D497" s="8" t="s">
        <v>96</v>
      </c>
      <c r="E497" s="8" t="s">
        <v>47</v>
      </c>
      <c r="F497" s="59">
        <v>1</v>
      </c>
      <c r="G497" s="59">
        <v>204</v>
      </c>
      <c r="H497" s="33" t="s">
        <v>47</v>
      </c>
    </row>
    <row r="498" spans="1:8" ht="12" customHeight="1">
      <c r="A498" s="32" t="s">
        <v>21</v>
      </c>
      <c r="B498" s="8" t="s">
        <v>89</v>
      </c>
      <c r="C498" s="59">
        <v>7</v>
      </c>
      <c r="D498" s="8" t="s">
        <v>97</v>
      </c>
      <c r="E498" s="8" t="s">
        <v>36</v>
      </c>
      <c r="F498" s="59">
        <v>1</v>
      </c>
      <c r="G498" s="59">
        <v>205</v>
      </c>
      <c r="H498" s="33" t="s">
        <v>36</v>
      </c>
    </row>
    <row r="499" spans="1:8" ht="12" customHeight="1">
      <c r="A499" s="32" t="s">
        <v>21</v>
      </c>
      <c r="B499" s="8" t="s">
        <v>98</v>
      </c>
      <c r="C499" s="59">
        <v>1</v>
      </c>
      <c r="D499" s="8" t="s">
        <v>90</v>
      </c>
      <c r="E499" s="8" t="s">
        <v>49</v>
      </c>
      <c r="F499" s="59">
        <v>1</v>
      </c>
      <c r="G499" s="59">
        <v>197</v>
      </c>
      <c r="H499" s="33" t="s">
        <v>49</v>
      </c>
    </row>
    <row r="500" spans="1:8" ht="12" customHeight="1">
      <c r="A500" s="32" t="s">
        <v>21</v>
      </c>
      <c r="B500" s="8" t="s">
        <v>98</v>
      </c>
      <c r="C500" s="59">
        <v>2</v>
      </c>
      <c r="D500" s="8" t="s">
        <v>91</v>
      </c>
      <c r="E500" s="8" t="s">
        <v>48</v>
      </c>
      <c r="F500" s="59">
        <v>1</v>
      </c>
      <c r="G500" s="59">
        <v>198</v>
      </c>
      <c r="H500" s="33" t="s">
        <v>48</v>
      </c>
    </row>
    <row r="501" spans="1:8" ht="12" customHeight="1">
      <c r="A501" s="32" t="s">
        <v>21</v>
      </c>
      <c r="B501" s="8" t="s">
        <v>98</v>
      </c>
      <c r="C501" s="59">
        <v>3</v>
      </c>
      <c r="D501" s="8" t="s">
        <v>115</v>
      </c>
      <c r="E501" s="8" t="s">
        <v>38</v>
      </c>
      <c r="F501" s="59">
        <v>1</v>
      </c>
      <c r="G501" s="59">
        <v>199</v>
      </c>
      <c r="H501" s="33" t="s">
        <v>110</v>
      </c>
    </row>
    <row r="502" spans="1:8" ht="12" customHeight="1">
      <c r="A502" s="32" t="s">
        <v>21</v>
      </c>
      <c r="B502" s="8" t="s">
        <v>98</v>
      </c>
      <c r="C502" s="59">
        <v>4</v>
      </c>
      <c r="D502" s="8" t="s">
        <v>93</v>
      </c>
      <c r="E502" s="8" t="s">
        <v>38</v>
      </c>
      <c r="F502" s="59">
        <v>1</v>
      </c>
      <c r="G502" s="59">
        <v>201</v>
      </c>
      <c r="H502" s="33" t="s">
        <v>110</v>
      </c>
    </row>
    <row r="503" spans="1:8" ht="12" customHeight="1">
      <c r="A503" s="32" t="s">
        <v>21</v>
      </c>
      <c r="B503" s="8" t="s">
        <v>98</v>
      </c>
      <c r="C503" s="59">
        <v>5</v>
      </c>
      <c r="D503" s="8" t="s">
        <v>94</v>
      </c>
      <c r="E503" s="8" t="s">
        <v>39</v>
      </c>
      <c r="F503" s="59">
        <v>1</v>
      </c>
      <c r="G503" s="59">
        <v>202</v>
      </c>
      <c r="H503" s="33" t="s">
        <v>39</v>
      </c>
    </row>
    <row r="504" spans="1:8" ht="12" customHeight="1">
      <c r="A504" s="32" t="s">
        <v>21</v>
      </c>
      <c r="B504" s="8" t="s">
        <v>98</v>
      </c>
      <c r="C504" s="59">
        <v>6</v>
      </c>
      <c r="D504" s="8" t="s">
        <v>96</v>
      </c>
      <c r="E504" s="8" t="s">
        <v>39</v>
      </c>
      <c r="F504" s="59">
        <v>1</v>
      </c>
      <c r="G504" s="59">
        <v>204</v>
      </c>
      <c r="H504" s="33" t="s">
        <v>39</v>
      </c>
    </row>
    <row r="505" spans="1:8" ht="12" customHeight="1">
      <c r="A505" s="32" t="s">
        <v>21</v>
      </c>
      <c r="B505" s="8" t="s">
        <v>98</v>
      </c>
      <c r="C505" s="59">
        <v>7</v>
      </c>
      <c r="D505" s="8" t="s">
        <v>97</v>
      </c>
      <c r="E505" s="8" t="s">
        <v>36</v>
      </c>
      <c r="F505" s="59">
        <v>1</v>
      </c>
      <c r="G505" s="59">
        <v>205</v>
      </c>
      <c r="H505" s="33" t="s">
        <v>36</v>
      </c>
    </row>
    <row r="506" spans="1:8" ht="12" customHeight="1">
      <c r="A506" s="32" t="s">
        <v>21</v>
      </c>
      <c r="B506" s="8" t="s">
        <v>99</v>
      </c>
      <c r="C506" s="59">
        <v>1</v>
      </c>
      <c r="D506" s="8" t="s">
        <v>90</v>
      </c>
      <c r="E506" s="8" t="s">
        <v>42</v>
      </c>
      <c r="F506" s="59">
        <v>1</v>
      </c>
      <c r="G506" s="59">
        <v>197</v>
      </c>
      <c r="H506" s="33" t="s">
        <v>42</v>
      </c>
    </row>
    <row r="507" spans="1:8" ht="12" customHeight="1">
      <c r="A507" s="32" t="s">
        <v>21</v>
      </c>
      <c r="B507" s="8" t="s">
        <v>99</v>
      </c>
      <c r="C507" s="59">
        <v>2</v>
      </c>
      <c r="D507" s="8" t="s">
        <v>91</v>
      </c>
      <c r="E507" s="8" t="s">
        <v>33</v>
      </c>
      <c r="F507" s="59">
        <v>1</v>
      </c>
      <c r="G507" s="59">
        <v>198</v>
      </c>
      <c r="H507" s="33" t="s">
        <v>33</v>
      </c>
    </row>
    <row r="508" spans="1:8" ht="12" customHeight="1">
      <c r="A508" s="32" t="s">
        <v>21</v>
      </c>
      <c r="B508" s="8" t="s">
        <v>99</v>
      </c>
      <c r="C508" s="59">
        <v>3</v>
      </c>
      <c r="D508" s="8" t="s">
        <v>115</v>
      </c>
      <c r="E508" s="8" t="s">
        <v>35</v>
      </c>
      <c r="F508" s="59">
        <v>1</v>
      </c>
      <c r="G508" s="59">
        <v>199</v>
      </c>
      <c r="H508" s="33" t="s">
        <v>35</v>
      </c>
    </row>
    <row r="509" spans="1:8" ht="12" customHeight="1">
      <c r="A509" s="32" t="s">
        <v>21</v>
      </c>
      <c r="B509" s="8" t="s">
        <v>99</v>
      </c>
      <c r="C509" s="59">
        <v>4</v>
      </c>
      <c r="D509" s="8" t="s">
        <v>93</v>
      </c>
      <c r="E509" s="8" t="s">
        <v>36</v>
      </c>
      <c r="F509" s="59">
        <v>1</v>
      </c>
      <c r="G509" s="59">
        <v>201</v>
      </c>
      <c r="H509" s="33" t="s">
        <v>36</v>
      </c>
    </row>
    <row r="510" spans="1:8" ht="12" customHeight="1">
      <c r="A510" s="32" t="s">
        <v>21</v>
      </c>
      <c r="B510" s="8" t="s">
        <v>99</v>
      </c>
      <c r="C510" s="59">
        <v>5</v>
      </c>
      <c r="D510" s="8" t="s">
        <v>94</v>
      </c>
      <c r="E510" s="8" t="s">
        <v>36</v>
      </c>
      <c r="F510" s="59">
        <v>1</v>
      </c>
      <c r="G510" s="59">
        <v>202</v>
      </c>
      <c r="H510" s="33" t="s">
        <v>36</v>
      </c>
    </row>
    <row r="511" spans="1:8" ht="12" customHeight="1">
      <c r="A511" s="32" t="s">
        <v>21</v>
      </c>
      <c r="B511" s="8" t="s">
        <v>99</v>
      </c>
      <c r="C511" s="59">
        <v>6</v>
      </c>
      <c r="D511" s="8" t="s">
        <v>96</v>
      </c>
      <c r="E511" s="8" t="s">
        <v>43</v>
      </c>
      <c r="F511" s="59">
        <v>1</v>
      </c>
      <c r="G511" s="59">
        <v>204</v>
      </c>
      <c r="H511" s="33" t="s">
        <v>119</v>
      </c>
    </row>
    <row r="512" spans="1:8" ht="12" customHeight="1">
      <c r="A512" s="32" t="s">
        <v>21</v>
      </c>
      <c r="B512" s="8" t="s">
        <v>99</v>
      </c>
      <c r="C512" s="59">
        <v>7</v>
      </c>
      <c r="D512" s="8" t="s">
        <v>97</v>
      </c>
      <c r="E512" s="8" t="s">
        <v>43</v>
      </c>
      <c r="F512" s="59">
        <v>1</v>
      </c>
      <c r="G512" s="59">
        <v>205</v>
      </c>
      <c r="H512" s="33" t="s">
        <v>119</v>
      </c>
    </row>
    <row r="513" spans="1:8" ht="12" customHeight="1">
      <c r="A513" s="32" t="s">
        <v>21</v>
      </c>
      <c r="B513" s="8" t="s">
        <v>100</v>
      </c>
      <c r="C513" s="59">
        <v>1</v>
      </c>
      <c r="D513" s="8" t="s">
        <v>90</v>
      </c>
      <c r="E513" s="8" t="s">
        <v>41</v>
      </c>
      <c r="F513" s="59">
        <v>1</v>
      </c>
      <c r="G513" s="59">
        <v>197</v>
      </c>
      <c r="H513" s="33" t="s">
        <v>41</v>
      </c>
    </row>
    <row r="514" spans="1:8" ht="12" customHeight="1">
      <c r="A514" s="32" t="s">
        <v>21</v>
      </c>
      <c r="B514" s="8" t="s">
        <v>100</v>
      </c>
      <c r="C514" s="59">
        <v>2</v>
      </c>
      <c r="D514" s="8" t="s">
        <v>91</v>
      </c>
      <c r="E514" s="8" t="s">
        <v>46</v>
      </c>
      <c r="F514" s="59">
        <v>1</v>
      </c>
      <c r="G514" s="59">
        <v>198</v>
      </c>
      <c r="H514" s="33" t="s">
        <v>46</v>
      </c>
    </row>
    <row r="515" spans="1:8" ht="12" customHeight="1">
      <c r="A515" s="32" t="s">
        <v>21</v>
      </c>
      <c r="B515" s="8" t="s">
        <v>100</v>
      </c>
      <c r="C515" s="59">
        <v>3</v>
      </c>
      <c r="D515" s="8" t="s">
        <v>115</v>
      </c>
      <c r="E515" s="8" t="s">
        <v>34</v>
      </c>
      <c r="F515" s="59">
        <v>1</v>
      </c>
      <c r="G515" s="59">
        <v>199</v>
      </c>
      <c r="H515" s="33" t="s">
        <v>34</v>
      </c>
    </row>
    <row r="516" spans="1:8" ht="12" customHeight="1">
      <c r="A516" s="32" t="s">
        <v>21</v>
      </c>
      <c r="B516" s="8" t="s">
        <v>100</v>
      </c>
      <c r="C516" s="59">
        <v>4</v>
      </c>
      <c r="D516" s="8" t="s">
        <v>93</v>
      </c>
      <c r="E516" s="8" t="s">
        <v>34</v>
      </c>
      <c r="F516" s="59">
        <v>1</v>
      </c>
      <c r="G516" s="59">
        <v>201</v>
      </c>
      <c r="H516" s="33" t="s">
        <v>34</v>
      </c>
    </row>
    <row r="517" spans="1:8" ht="12" customHeight="1">
      <c r="A517" s="32" t="s">
        <v>21</v>
      </c>
      <c r="B517" s="8" t="s">
        <v>100</v>
      </c>
      <c r="C517" s="59">
        <v>5</v>
      </c>
      <c r="D517" s="8" t="s">
        <v>94</v>
      </c>
      <c r="E517" s="8" t="s">
        <v>33</v>
      </c>
      <c r="F517" s="59">
        <v>1</v>
      </c>
      <c r="G517" s="59">
        <v>202</v>
      </c>
      <c r="H517" s="33" t="s">
        <v>33</v>
      </c>
    </row>
    <row r="518" spans="1:8" ht="12" customHeight="1">
      <c r="A518" s="32" t="s">
        <v>21</v>
      </c>
      <c r="B518" s="8" t="s">
        <v>100</v>
      </c>
      <c r="C518" s="59">
        <v>6</v>
      </c>
      <c r="D518" s="8" t="s">
        <v>96</v>
      </c>
      <c r="E518" s="8" t="s">
        <v>44</v>
      </c>
      <c r="F518" s="59">
        <v>1</v>
      </c>
      <c r="G518" s="59">
        <v>204</v>
      </c>
      <c r="H518" s="33" t="s">
        <v>44</v>
      </c>
    </row>
    <row r="519" spans="1:8" ht="12" customHeight="1">
      <c r="A519" s="32" t="s">
        <v>21</v>
      </c>
      <c r="B519" s="8" t="s">
        <v>100</v>
      </c>
      <c r="C519" s="59">
        <v>7</v>
      </c>
      <c r="D519" s="8" t="s">
        <v>97</v>
      </c>
      <c r="E519" s="8" t="s">
        <v>44</v>
      </c>
      <c r="F519" s="59">
        <v>1</v>
      </c>
      <c r="G519" s="59">
        <v>205</v>
      </c>
      <c r="H519" s="33" t="s">
        <v>44</v>
      </c>
    </row>
    <row r="520" spans="1:8" ht="12" customHeight="1">
      <c r="A520" s="32" t="s">
        <v>21</v>
      </c>
      <c r="B520" s="8" t="s">
        <v>101</v>
      </c>
      <c r="C520" s="59">
        <v>1</v>
      </c>
      <c r="D520" s="8" t="s">
        <v>90</v>
      </c>
      <c r="E520" s="8" t="s">
        <v>51</v>
      </c>
      <c r="F520" s="59">
        <v>1</v>
      </c>
      <c r="G520" s="59">
        <v>197</v>
      </c>
      <c r="H520" s="33" t="s">
        <v>51</v>
      </c>
    </row>
    <row r="521" spans="1:8" ht="12" customHeight="1">
      <c r="A521" s="32" t="s">
        <v>21</v>
      </c>
      <c r="B521" s="8" t="s">
        <v>101</v>
      </c>
      <c r="C521" s="59">
        <v>2</v>
      </c>
      <c r="D521" s="8" t="s">
        <v>91</v>
      </c>
      <c r="E521" s="8" t="s">
        <v>35</v>
      </c>
      <c r="F521" s="59">
        <v>1</v>
      </c>
      <c r="G521" s="59">
        <v>198</v>
      </c>
      <c r="H521" s="33" t="s">
        <v>35</v>
      </c>
    </row>
    <row r="522" spans="1:8" ht="12" customHeight="1">
      <c r="A522" s="32" t="s">
        <v>21</v>
      </c>
      <c r="B522" s="8" t="s">
        <v>101</v>
      </c>
      <c r="C522" s="59">
        <v>3</v>
      </c>
      <c r="D522" s="8" t="s">
        <v>115</v>
      </c>
      <c r="E522" s="8" t="s">
        <v>35</v>
      </c>
      <c r="F522" s="59">
        <v>1</v>
      </c>
      <c r="G522" s="59">
        <v>199</v>
      </c>
      <c r="H522" s="33" t="s">
        <v>35</v>
      </c>
    </row>
    <row r="523" spans="1:8" ht="12" customHeight="1">
      <c r="A523" s="32" t="s">
        <v>21</v>
      </c>
      <c r="B523" s="8" t="s">
        <v>101</v>
      </c>
      <c r="C523" s="59">
        <v>4</v>
      </c>
      <c r="D523" s="8" t="s">
        <v>93</v>
      </c>
      <c r="E523" s="8" t="s">
        <v>34</v>
      </c>
      <c r="F523" s="59">
        <v>1</v>
      </c>
      <c r="G523" s="59">
        <v>201</v>
      </c>
      <c r="H523" s="33" t="s">
        <v>34</v>
      </c>
    </row>
    <row r="524" spans="1:8" ht="12" customHeight="1">
      <c r="A524" s="32" t="s">
        <v>21</v>
      </c>
      <c r="B524" s="8" t="s">
        <v>101</v>
      </c>
      <c r="C524" s="59">
        <v>5</v>
      </c>
      <c r="D524" s="8" t="s">
        <v>94</v>
      </c>
      <c r="E524" s="8" t="s">
        <v>57</v>
      </c>
      <c r="F524" s="59">
        <v>1</v>
      </c>
      <c r="G524" s="59">
        <v>202</v>
      </c>
      <c r="H524" s="33" t="s">
        <v>118</v>
      </c>
    </row>
    <row r="525" spans="1:8" ht="12" customHeight="1">
      <c r="A525" s="32" t="s">
        <v>21</v>
      </c>
      <c r="B525" s="8" t="s">
        <v>101</v>
      </c>
      <c r="C525" s="59">
        <v>6</v>
      </c>
      <c r="D525" s="8" t="s">
        <v>96</v>
      </c>
      <c r="E525" s="8" t="s">
        <v>37</v>
      </c>
      <c r="F525" s="59">
        <v>1</v>
      </c>
      <c r="G525" s="59">
        <v>204</v>
      </c>
      <c r="H525" s="33" t="s">
        <v>37</v>
      </c>
    </row>
    <row r="526" spans="1:8" ht="12" customHeight="1">
      <c r="A526" s="32" t="s">
        <v>21</v>
      </c>
      <c r="B526" s="8" t="s">
        <v>101</v>
      </c>
      <c r="C526" s="59">
        <v>7</v>
      </c>
      <c r="D526" s="8" t="s">
        <v>97</v>
      </c>
      <c r="E526" s="8" t="s">
        <v>37</v>
      </c>
      <c r="F526" s="59">
        <v>1</v>
      </c>
      <c r="G526" s="59">
        <v>205</v>
      </c>
      <c r="H526" s="33" t="s">
        <v>37</v>
      </c>
    </row>
    <row r="527" spans="1:8" ht="12" customHeight="1">
      <c r="A527" s="32" t="s">
        <v>22</v>
      </c>
      <c r="B527" s="8" t="s">
        <v>89</v>
      </c>
      <c r="C527" s="59">
        <v>1</v>
      </c>
      <c r="D527" s="8" t="s">
        <v>90</v>
      </c>
      <c r="E527" s="8" t="s">
        <v>37</v>
      </c>
      <c r="F527" s="59">
        <v>1</v>
      </c>
      <c r="G527" s="59">
        <v>210</v>
      </c>
      <c r="H527" s="33" t="s">
        <v>37</v>
      </c>
    </row>
    <row r="528" spans="1:8" ht="12" customHeight="1">
      <c r="A528" s="32" t="s">
        <v>22</v>
      </c>
      <c r="B528" s="8" t="s">
        <v>89</v>
      </c>
      <c r="C528" s="59">
        <v>2</v>
      </c>
      <c r="D528" s="8" t="s">
        <v>91</v>
      </c>
      <c r="E528" s="8" t="s">
        <v>37</v>
      </c>
      <c r="F528" s="59">
        <v>1</v>
      </c>
      <c r="G528" s="59">
        <v>211</v>
      </c>
      <c r="H528" s="33" t="s">
        <v>37</v>
      </c>
    </row>
    <row r="529" spans="1:8" ht="12" customHeight="1">
      <c r="A529" s="32" t="s">
        <v>22</v>
      </c>
      <c r="B529" s="8" t="s">
        <v>89</v>
      </c>
      <c r="C529" s="59">
        <v>3</v>
      </c>
      <c r="D529" s="8" t="s">
        <v>115</v>
      </c>
      <c r="E529" s="8" t="s">
        <v>47</v>
      </c>
      <c r="F529" s="59">
        <v>1</v>
      </c>
      <c r="G529" s="59">
        <v>212</v>
      </c>
      <c r="H529" s="33" t="s">
        <v>47</v>
      </c>
    </row>
    <row r="530" spans="1:8" ht="12" customHeight="1">
      <c r="A530" s="32" t="s">
        <v>22</v>
      </c>
      <c r="B530" s="8" t="s">
        <v>89</v>
      </c>
      <c r="C530" s="59">
        <v>4</v>
      </c>
      <c r="D530" s="8" t="s">
        <v>93</v>
      </c>
      <c r="E530" s="8" t="s">
        <v>36</v>
      </c>
      <c r="F530" s="59">
        <v>1</v>
      </c>
      <c r="G530" s="59">
        <v>214</v>
      </c>
      <c r="H530" s="33" t="s">
        <v>36</v>
      </c>
    </row>
    <row r="531" spans="1:8" ht="12" customHeight="1">
      <c r="A531" s="32" t="s">
        <v>22</v>
      </c>
      <c r="B531" s="8" t="s">
        <v>89</v>
      </c>
      <c r="C531" s="59">
        <v>5</v>
      </c>
      <c r="D531" s="8" t="s">
        <v>94</v>
      </c>
      <c r="E531" s="8" t="s">
        <v>35</v>
      </c>
      <c r="F531" s="59">
        <v>1</v>
      </c>
      <c r="G531" s="59">
        <v>215</v>
      </c>
      <c r="H531" s="33" t="s">
        <v>35</v>
      </c>
    </row>
    <row r="532" spans="1:8" ht="12" customHeight="1">
      <c r="A532" s="32" t="s">
        <v>22</v>
      </c>
      <c r="B532" s="8" t="s">
        <v>89</v>
      </c>
      <c r="C532" s="59">
        <v>6</v>
      </c>
      <c r="D532" s="8" t="s">
        <v>96</v>
      </c>
      <c r="E532" s="8" t="s">
        <v>45</v>
      </c>
      <c r="F532" s="59">
        <v>1</v>
      </c>
      <c r="G532" s="59">
        <v>217</v>
      </c>
      <c r="H532" s="33" t="s">
        <v>45</v>
      </c>
    </row>
    <row r="533" spans="1:8" ht="12" customHeight="1">
      <c r="A533" s="32" t="s">
        <v>22</v>
      </c>
      <c r="B533" s="8" t="s">
        <v>89</v>
      </c>
      <c r="C533" s="59">
        <v>7</v>
      </c>
      <c r="D533" s="8" t="s">
        <v>97</v>
      </c>
      <c r="E533" s="8" t="s">
        <v>51</v>
      </c>
      <c r="F533" s="59">
        <v>1</v>
      </c>
      <c r="G533" s="59">
        <v>218</v>
      </c>
      <c r="H533" s="33" t="s">
        <v>51</v>
      </c>
    </row>
    <row r="534" spans="1:8" ht="12" customHeight="1">
      <c r="A534" s="32" t="s">
        <v>22</v>
      </c>
      <c r="B534" s="8" t="s">
        <v>98</v>
      </c>
      <c r="C534" s="59">
        <v>1</v>
      </c>
      <c r="D534" s="8" t="s">
        <v>90</v>
      </c>
      <c r="E534" s="8" t="s">
        <v>33</v>
      </c>
      <c r="F534" s="59">
        <v>1</v>
      </c>
      <c r="G534" s="59">
        <v>210</v>
      </c>
      <c r="H534" s="33" t="s">
        <v>33</v>
      </c>
    </row>
    <row r="535" spans="1:8" ht="12" customHeight="1">
      <c r="A535" s="32" t="s">
        <v>22</v>
      </c>
      <c r="B535" s="8" t="s">
        <v>98</v>
      </c>
      <c r="C535" s="59">
        <v>2</v>
      </c>
      <c r="D535" s="8" t="s">
        <v>91</v>
      </c>
      <c r="E535" s="8" t="s">
        <v>49</v>
      </c>
      <c r="F535" s="59">
        <v>1</v>
      </c>
      <c r="G535" s="59">
        <v>211</v>
      </c>
      <c r="H535" s="33" t="s">
        <v>49</v>
      </c>
    </row>
    <row r="536" spans="1:8" ht="12" customHeight="1">
      <c r="A536" s="32" t="s">
        <v>22</v>
      </c>
      <c r="B536" s="8" t="s">
        <v>98</v>
      </c>
      <c r="C536" s="59">
        <v>3</v>
      </c>
      <c r="D536" s="8" t="s">
        <v>115</v>
      </c>
      <c r="E536" s="8" t="s">
        <v>39</v>
      </c>
      <c r="F536" s="59">
        <v>1</v>
      </c>
      <c r="G536" s="59">
        <v>212</v>
      </c>
      <c r="H536" s="33" t="s">
        <v>39</v>
      </c>
    </row>
    <row r="537" spans="1:8" ht="12" customHeight="1">
      <c r="A537" s="32" t="s">
        <v>22</v>
      </c>
      <c r="B537" s="8" t="s">
        <v>98</v>
      </c>
      <c r="C537" s="59">
        <v>4</v>
      </c>
      <c r="D537" s="8" t="s">
        <v>93</v>
      </c>
      <c r="E537" s="8" t="s">
        <v>39</v>
      </c>
      <c r="F537" s="59">
        <v>1</v>
      </c>
      <c r="G537" s="59">
        <v>214</v>
      </c>
      <c r="H537" s="33" t="s">
        <v>39</v>
      </c>
    </row>
    <row r="538" spans="1:8" ht="12" customHeight="1">
      <c r="A538" s="32" t="s">
        <v>22</v>
      </c>
      <c r="B538" s="8" t="s">
        <v>98</v>
      </c>
      <c r="C538" s="59">
        <v>5</v>
      </c>
      <c r="D538" s="8" t="s">
        <v>94</v>
      </c>
      <c r="E538" s="8" t="s">
        <v>35</v>
      </c>
      <c r="F538" s="59">
        <v>1</v>
      </c>
      <c r="G538" s="59">
        <v>215</v>
      </c>
      <c r="H538" s="33" t="s">
        <v>35</v>
      </c>
    </row>
    <row r="539" spans="1:8" ht="12" customHeight="1">
      <c r="A539" s="32" t="s">
        <v>22</v>
      </c>
      <c r="B539" s="8" t="s">
        <v>98</v>
      </c>
      <c r="C539" s="59">
        <v>6</v>
      </c>
      <c r="D539" s="8" t="s">
        <v>96</v>
      </c>
      <c r="E539" s="8" t="s">
        <v>44</v>
      </c>
      <c r="F539" s="59">
        <v>1</v>
      </c>
      <c r="G539" s="59">
        <v>217</v>
      </c>
      <c r="H539" s="33" t="s">
        <v>44</v>
      </c>
    </row>
    <row r="540" spans="1:8" ht="12" customHeight="1">
      <c r="A540" s="32" t="s">
        <v>22</v>
      </c>
      <c r="B540" s="8" t="s">
        <v>98</v>
      </c>
      <c r="C540" s="59">
        <v>7</v>
      </c>
      <c r="D540" s="8" t="s">
        <v>97</v>
      </c>
      <c r="E540" s="8" t="s">
        <v>44</v>
      </c>
      <c r="F540" s="59">
        <v>1</v>
      </c>
      <c r="G540" s="59">
        <v>218</v>
      </c>
      <c r="H540" s="33" t="s">
        <v>44</v>
      </c>
    </row>
    <row r="541" spans="1:8" ht="12" customHeight="1">
      <c r="A541" s="32" t="s">
        <v>22</v>
      </c>
      <c r="B541" s="8" t="s">
        <v>99</v>
      </c>
      <c r="C541" s="59">
        <v>1</v>
      </c>
      <c r="D541" s="8" t="s">
        <v>90</v>
      </c>
      <c r="E541" s="8" t="s">
        <v>36</v>
      </c>
      <c r="F541" s="59">
        <v>1</v>
      </c>
      <c r="G541" s="59">
        <v>210</v>
      </c>
      <c r="H541" s="33" t="s">
        <v>36</v>
      </c>
    </row>
    <row r="542" spans="1:8" ht="12" customHeight="1">
      <c r="A542" s="32" t="s">
        <v>22</v>
      </c>
      <c r="B542" s="8" t="s">
        <v>99</v>
      </c>
      <c r="C542" s="59">
        <v>2</v>
      </c>
      <c r="D542" s="8" t="s">
        <v>91</v>
      </c>
      <c r="E542" s="8" t="s">
        <v>34</v>
      </c>
      <c r="F542" s="59">
        <v>1</v>
      </c>
      <c r="G542" s="59">
        <v>211</v>
      </c>
      <c r="H542" s="33" t="s">
        <v>34</v>
      </c>
    </row>
    <row r="543" spans="1:8" ht="12" customHeight="1">
      <c r="A543" s="32" t="s">
        <v>22</v>
      </c>
      <c r="B543" s="8" t="s">
        <v>99</v>
      </c>
      <c r="C543" s="59">
        <v>3</v>
      </c>
      <c r="D543" s="8" t="s">
        <v>115</v>
      </c>
      <c r="E543" s="8" t="s">
        <v>34</v>
      </c>
      <c r="F543" s="59">
        <v>1</v>
      </c>
      <c r="G543" s="59">
        <v>212</v>
      </c>
      <c r="H543" s="33" t="s">
        <v>34</v>
      </c>
    </row>
    <row r="544" spans="1:8" ht="12" customHeight="1">
      <c r="A544" s="32" t="s">
        <v>22</v>
      </c>
      <c r="B544" s="8" t="s">
        <v>99</v>
      </c>
      <c r="C544" s="59">
        <v>4</v>
      </c>
      <c r="D544" s="8" t="s">
        <v>93</v>
      </c>
      <c r="E544" s="8" t="s">
        <v>43</v>
      </c>
      <c r="F544" s="59">
        <v>1</v>
      </c>
      <c r="G544" s="59">
        <v>214</v>
      </c>
      <c r="H544" s="33" t="s">
        <v>119</v>
      </c>
    </row>
    <row r="545" spans="1:8" ht="12" customHeight="1">
      <c r="A545" s="32" t="s">
        <v>22</v>
      </c>
      <c r="B545" s="8" t="s">
        <v>99</v>
      </c>
      <c r="C545" s="59">
        <v>5</v>
      </c>
      <c r="D545" s="8" t="s">
        <v>94</v>
      </c>
      <c r="E545" s="8" t="s">
        <v>43</v>
      </c>
      <c r="F545" s="59">
        <v>1</v>
      </c>
      <c r="G545" s="59">
        <v>215</v>
      </c>
      <c r="H545" s="33" t="s">
        <v>119</v>
      </c>
    </row>
    <row r="546" spans="1:8" ht="12" customHeight="1">
      <c r="A546" s="32" t="s">
        <v>22</v>
      </c>
      <c r="B546" s="8" t="s">
        <v>99</v>
      </c>
      <c r="C546" s="59">
        <v>6</v>
      </c>
      <c r="D546" s="8" t="s">
        <v>96</v>
      </c>
      <c r="E546" s="8" t="s">
        <v>33</v>
      </c>
      <c r="F546" s="59">
        <v>1</v>
      </c>
      <c r="G546" s="59">
        <v>217</v>
      </c>
      <c r="H546" s="33" t="s">
        <v>33</v>
      </c>
    </row>
    <row r="547" spans="1:8" ht="12" customHeight="1">
      <c r="A547" s="32" t="s">
        <v>22</v>
      </c>
      <c r="B547" s="8" t="s">
        <v>99</v>
      </c>
      <c r="C547" s="59">
        <v>7</v>
      </c>
      <c r="D547" s="8" t="s">
        <v>97</v>
      </c>
      <c r="E547" s="8" t="s">
        <v>33</v>
      </c>
      <c r="F547" s="59">
        <v>1</v>
      </c>
      <c r="G547" s="59">
        <v>218</v>
      </c>
      <c r="H547" s="33" t="s">
        <v>33</v>
      </c>
    </row>
    <row r="548" spans="1:8" ht="12" customHeight="1">
      <c r="A548" s="32" t="s">
        <v>22</v>
      </c>
      <c r="B548" s="8" t="s">
        <v>100</v>
      </c>
      <c r="C548" s="59">
        <v>1</v>
      </c>
      <c r="D548" s="8" t="s">
        <v>90</v>
      </c>
      <c r="E548" s="8" t="s">
        <v>41</v>
      </c>
      <c r="F548" s="59">
        <v>1</v>
      </c>
      <c r="G548" s="59">
        <v>210</v>
      </c>
      <c r="H548" s="33" t="s">
        <v>41</v>
      </c>
    </row>
    <row r="549" spans="1:8" ht="12" customHeight="1">
      <c r="A549" s="32" t="s">
        <v>22</v>
      </c>
      <c r="B549" s="8" t="s">
        <v>100</v>
      </c>
      <c r="C549" s="59">
        <v>2</v>
      </c>
      <c r="D549" s="8" t="s">
        <v>91</v>
      </c>
      <c r="E549" s="8" t="s">
        <v>48</v>
      </c>
      <c r="F549" s="59">
        <v>1</v>
      </c>
      <c r="G549" s="59">
        <v>211</v>
      </c>
      <c r="H549" s="33" t="s">
        <v>48</v>
      </c>
    </row>
    <row r="550" spans="1:8" ht="12" customHeight="1">
      <c r="A550" s="32" t="s">
        <v>22</v>
      </c>
      <c r="B550" s="8" t="s">
        <v>100</v>
      </c>
      <c r="C550" s="59">
        <v>3</v>
      </c>
      <c r="D550" s="8" t="s">
        <v>115</v>
      </c>
      <c r="E550" s="8" t="s">
        <v>38</v>
      </c>
      <c r="F550" s="59">
        <v>1</v>
      </c>
      <c r="G550" s="59">
        <v>212</v>
      </c>
      <c r="H550" s="33" t="s">
        <v>110</v>
      </c>
    </row>
    <row r="551" spans="1:8" ht="12" customHeight="1">
      <c r="A551" s="32" t="s">
        <v>22</v>
      </c>
      <c r="B551" s="8" t="s">
        <v>100</v>
      </c>
      <c r="C551" s="59">
        <v>4</v>
      </c>
      <c r="D551" s="8" t="s">
        <v>93</v>
      </c>
      <c r="E551" s="8" t="s">
        <v>38</v>
      </c>
      <c r="F551" s="59">
        <v>1</v>
      </c>
      <c r="G551" s="59">
        <v>214</v>
      </c>
      <c r="H551" s="33" t="s">
        <v>110</v>
      </c>
    </row>
    <row r="552" spans="1:8" ht="12" customHeight="1">
      <c r="A552" s="32" t="s">
        <v>22</v>
      </c>
      <c r="B552" s="8" t="s">
        <v>100</v>
      </c>
      <c r="C552" s="59">
        <v>5</v>
      </c>
      <c r="D552" s="8" t="s">
        <v>94</v>
      </c>
      <c r="E552" s="8" t="s">
        <v>34</v>
      </c>
      <c r="F552" s="59">
        <v>1</v>
      </c>
      <c r="G552" s="59">
        <v>215</v>
      </c>
      <c r="H552" s="33" t="s">
        <v>34</v>
      </c>
    </row>
    <row r="553" spans="1:8" ht="12" customHeight="1">
      <c r="A553" s="32" t="s">
        <v>22</v>
      </c>
      <c r="B553" s="8" t="s">
        <v>100</v>
      </c>
      <c r="C553" s="59">
        <v>6</v>
      </c>
      <c r="D553" s="8" t="s">
        <v>96</v>
      </c>
      <c r="E553" s="8" t="s">
        <v>36</v>
      </c>
      <c r="F553" s="59">
        <v>1</v>
      </c>
      <c r="G553" s="59">
        <v>217</v>
      </c>
      <c r="H553" s="33" t="s">
        <v>36</v>
      </c>
    </row>
    <row r="554" spans="1:8" ht="12" customHeight="1">
      <c r="A554" s="32" t="s">
        <v>22</v>
      </c>
      <c r="B554" s="8" t="s">
        <v>100</v>
      </c>
      <c r="C554" s="59">
        <v>7</v>
      </c>
      <c r="D554" s="8" t="s">
        <v>97</v>
      </c>
      <c r="E554" s="8" t="s">
        <v>36</v>
      </c>
      <c r="F554" s="59">
        <v>1</v>
      </c>
      <c r="G554" s="59">
        <v>218</v>
      </c>
      <c r="H554" s="33" t="s">
        <v>36</v>
      </c>
    </row>
    <row r="555" spans="1:8" ht="12" customHeight="1">
      <c r="A555" s="32" t="s">
        <v>22</v>
      </c>
      <c r="B555" s="8" t="s">
        <v>101</v>
      </c>
      <c r="C555" s="59">
        <v>1</v>
      </c>
      <c r="D555" s="8" t="s">
        <v>90</v>
      </c>
      <c r="E555" s="8" t="s">
        <v>33</v>
      </c>
      <c r="F555" s="59">
        <v>1</v>
      </c>
      <c r="G555" s="59">
        <v>210</v>
      </c>
      <c r="H555" s="33" t="s">
        <v>33</v>
      </c>
    </row>
    <row r="556" spans="1:8" ht="12" customHeight="1">
      <c r="A556" s="32" t="s">
        <v>22</v>
      </c>
      <c r="B556" s="8" t="s">
        <v>101</v>
      </c>
      <c r="C556" s="59">
        <v>2</v>
      </c>
      <c r="D556" s="8" t="s">
        <v>91</v>
      </c>
      <c r="E556" s="8" t="s">
        <v>46</v>
      </c>
      <c r="F556" s="59">
        <v>1</v>
      </c>
      <c r="G556" s="59">
        <v>211</v>
      </c>
      <c r="H556" s="33" t="s">
        <v>46</v>
      </c>
    </row>
    <row r="557" spans="1:8" ht="12" customHeight="1">
      <c r="A557" s="32" t="s">
        <v>22</v>
      </c>
      <c r="B557" s="8" t="s">
        <v>101</v>
      </c>
      <c r="C557" s="59">
        <v>3</v>
      </c>
      <c r="D557" s="8" t="s">
        <v>115</v>
      </c>
      <c r="E557" s="8" t="s">
        <v>34</v>
      </c>
      <c r="F557" s="59">
        <v>1</v>
      </c>
      <c r="G557" s="59">
        <v>212</v>
      </c>
      <c r="H557" s="33" t="s">
        <v>34</v>
      </c>
    </row>
    <row r="558" spans="1:8" ht="12" customHeight="1">
      <c r="A558" s="32" t="s">
        <v>22</v>
      </c>
      <c r="B558" s="8" t="s">
        <v>101</v>
      </c>
      <c r="C558" s="59">
        <v>4</v>
      </c>
      <c r="D558" s="8" t="s">
        <v>93</v>
      </c>
      <c r="E558" s="8" t="s">
        <v>42</v>
      </c>
      <c r="F558" s="59">
        <v>1</v>
      </c>
      <c r="G558" s="59">
        <v>214</v>
      </c>
      <c r="H558" s="33" t="s">
        <v>42</v>
      </c>
    </row>
    <row r="559" spans="1:8" ht="12" customHeight="1">
      <c r="A559" s="32" t="s">
        <v>22</v>
      </c>
      <c r="B559" s="8" t="s">
        <v>101</v>
      </c>
      <c r="C559" s="59">
        <v>5</v>
      </c>
      <c r="D559" s="8" t="s">
        <v>94</v>
      </c>
      <c r="E559" s="8" t="s">
        <v>57</v>
      </c>
      <c r="F559" s="59">
        <v>1</v>
      </c>
      <c r="G559" s="59">
        <v>215</v>
      </c>
      <c r="H559" s="33" t="s">
        <v>118</v>
      </c>
    </row>
    <row r="560" spans="1:8" ht="12" customHeight="1">
      <c r="A560" s="32" t="s">
        <v>22</v>
      </c>
      <c r="B560" s="8" t="s">
        <v>101</v>
      </c>
      <c r="C560" s="59">
        <v>6</v>
      </c>
      <c r="D560" s="8" t="s">
        <v>96</v>
      </c>
      <c r="E560" s="8" t="s">
        <v>35</v>
      </c>
      <c r="F560" s="59">
        <v>1</v>
      </c>
      <c r="G560" s="59">
        <v>217</v>
      </c>
      <c r="H560" s="33" t="s">
        <v>35</v>
      </c>
    </row>
    <row r="561" spans="1:8" ht="12" customHeight="1">
      <c r="A561" s="32" t="s">
        <v>22</v>
      </c>
      <c r="B561" s="8" t="s">
        <v>101</v>
      </c>
      <c r="C561" s="59">
        <v>7</v>
      </c>
      <c r="D561" s="8" t="s">
        <v>97</v>
      </c>
      <c r="E561" s="8" t="s">
        <v>35</v>
      </c>
      <c r="F561" s="59">
        <v>1</v>
      </c>
      <c r="G561" s="59">
        <v>218</v>
      </c>
      <c r="H561" s="33" t="s">
        <v>35</v>
      </c>
    </row>
    <row r="562" spans="1:8" ht="12" customHeight="1">
      <c r="A562" s="32" t="s">
        <v>23</v>
      </c>
      <c r="B562" s="8" t="s">
        <v>89</v>
      </c>
      <c r="C562" s="59">
        <v>1</v>
      </c>
      <c r="D562" s="8" t="s">
        <v>90</v>
      </c>
      <c r="E562" s="8" t="s">
        <v>33</v>
      </c>
      <c r="F562" s="59">
        <v>1</v>
      </c>
      <c r="G562" s="59">
        <v>223</v>
      </c>
      <c r="H562" s="33" t="s">
        <v>33</v>
      </c>
    </row>
    <row r="563" spans="1:8" ht="12" customHeight="1">
      <c r="A563" s="32" t="s">
        <v>23</v>
      </c>
      <c r="B563" s="8" t="s">
        <v>89</v>
      </c>
      <c r="C563" s="59">
        <v>2</v>
      </c>
      <c r="D563" s="8" t="s">
        <v>91</v>
      </c>
      <c r="E563" s="8" t="s">
        <v>45</v>
      </c>
      <c r="F563" s="59">
        <v>1</v>
      </c>
      <c r="G563" s="59">
        <v>224</v>
      </c>
      <c r="H563" s="33" t="s">
        <v>45</v>
      </c>
    </row>
    <row r="564" spans="1:8" ht="12" customHeight="1">
      <c r="A564" s="32" t="s">
        <v>23</v>
      </c>
      <c r="B564" s="8" t="s">
        <v>89</v>
      </c>
      <c r="C564" s="59">
        <v>3</v>
      </c>
      <c r="D564" s="8" t="s">
        <v>115</v>
      </c>
      <c r="E564" s="8" t="s">
        <v>38</v>
      </c>
      <c r="F564" s="59">
        <v>1</v>
      </c>
      <c r="G564" s="59">
        <v>225</v>
      </c>
      <c r="H564" s="33" t="s">
        <v>38</v>
      </c>
    </row>
    <row r="565" spans="1:8" ht="12" customHeight="1">
      <c r="A565" s="32" t="s">
        <v>23</v>
      </c>
      <c r="B565" s="8" t="s">
        <v>89</v>
      </c>
      <c r="C565" s="59">
        <v>4</v>
      </c>
      <c r="D565" s="8" t="s">
        <v>93</v>
      </c>
      <c r="E565" s="8" t="s">
        <v>38</v>
      </c>
      <c r="F565" s="59">
        <v>1</v>
      </c>
      <c r="G565" s="59">
        <v>227</v>
      </c>
      <c r="H565" s="33" t="s">
        <v>38</v>
      </c>
    </row>
    <row r="566" spans="1:8" ht="12" customHeight="1">
      <c r="A566" s="32" t="s">
        <v>23</v>
      </c>
      <c r="B566" s="8" t="s">
        <v>89</v>
      </c>
      <c r="C566" s="59">
        <v>5</v>
      </c>
      <c r="D566" s="8" t="s">
        <v>94</v>
      </c>
      <c r="E566" s="8" t="s">
        <v>52</v>
      </c>
      <c r="F566" s="59">
        <v>1</v>
      </c>
      <c r="G566" s="59">
        <v>228</v>
      </c>
      <c r="H566" s="33" t="s">
        <v>52</v>
      </c>
    </row>
    <row r="567" spans="1:8" ht="12" customHeight="1">
      <c r="A567" s="32" t="s">
        <v>23</v>
      </c>
      <c r="B567" s="8" t="s">
        <v>89</v>
      </c>
      <c r="C567" s="59">
        <v>6</v>
      </c>
      <c r="D567" s="8" t="s">
        <v>96</v>
      </c>
      <c r="E567" s="8" t="s">
        <v>52</v>
      </c>
      <c r="F567" s="59">
        <v>1</v>
      </c>
      <c r="G567" s="59">
        <v>230</v>
      </c>
      <c r="H567" s="33" t="s">
        <v>52</v>
      </c>
    </row>
    <row r="568" spans="1:8" ht="12" customHeight="1">
      <c r="A568" s="32" t="s">
        <v>23</v>
      </c>
      <c r="B568" s="8" t="s">
        <v>89</v>
      </c>
      <c r="C568" s="59">
        <v>7</v>
      </c>
      <c r="D568" s="8" t="s">
        <v>97</v>
      </c>
      <c r="E568" s="8" t="s">
        <v>34</v>
      </c>
      <c r="F568" s="59">
        <v>1</v>
      </c>
      <c r="G568" s="59">
        <v>231</v>
      </c>
      <c r="H568" s="33" t="s">
        <v>34</v>
      </c>
    </row>
    <row r="569" spans="1:8" ht="12" customHeight="1">
      <c r="A569" s="32" t="s">
        <v>23</v>
      </c>
      <c r="B569" s="8" t="s">
        <v>98</v>
      </c>
      <c r="C569" s="59">
        <v>1</v>
      </c>
      <c r="D569" s="8" t="s">
        <v>90</v>
      </c>
      <c r="E569" s="8" t="s">
        <v>51</v>
      </c>
      <c r="F569" s="59">
        <v>1</v>
      </c>
      <c r="G569" s="59">
        <v>223</v>
      </c>
      <c r="H569" s="33" t="s">
        <v>51</v>
      </c>
    </row>
    <row r="570" spans="1:8" ht="12" customHeight="1">
      <c r="A570" s="32" t="s">
        <v>23</v>
      </c>
      <c r="B570" s="8" t="s">
        <v>98</v>
      </c>
      <c r="C570" s="59">
        <v>2</v>
      </c>
      <c r="D570" s="8" t="s">
        <v>91</v>
      </c>
      <c r="E570" s="8" t="s">
        <v>42</v>
      </c>
      <c r="F570" s="59">
        <v>1</v>
      </c>
      <c r="G570" s="59">
        <v>224</v>
      </c>
      <c r="H570" s="33" t="s">
        <v>42</v>
      </c>
    </row>
    <row r="571" spans="1:8" ht="12" customHeight="1">
      <c r="A571" s="32" t="s">
        <v>23</v>
      </c>
      <c r="B571" s="8" t="s">
        <v>98</v>
      </c>
      <c r="C571" s="59">
        <v>3</v>
      </c>
      <c r="D571" s="8" t="s">
        <v>115</v>
      </c>
      <c r="E571" s="8" t="s">
        <v>47</v>
      </c>
      <c r="F571" s="59">
        <v>1</v>
      </c>
      <c r="G571" s="59">
        <v>225</v>
      </c>
      <c r="H571" s="33" t="s">
        <v>47</v>
      </c>
    </row>
    <row r="572" spans="1:8" ht="12" customHeight="1">
      <c r="A572" s="32" t="s">
        <v>23</v>
      </c>
      <c r="B572" s="8" t="s">
        <v>98</v>
      </c>
      <c r="C572" s="59">
        <v>4</v>
      </c>
      <c r="D572" s="8" t="s">
        <v>93</v>
      </c>
      <c r="E572" s="8" t="s">
        <v>33</v>
      </c>
      <c r="F572" s="59">
        <v>1</v>
      </c>
      <c r="G572" s="59">
        <v>227</v>
      </c>
      <c r="H572" s="33" t="s">
        <v>33</v>
      </c>
    </row>
    <row r="573" spans="1:8" ht="12" customHeight="1">
      <c r="A573" s="32" t="s">
        <v>23</v>
      </c>
      <c r="B573" s="8" t="s">
        <v>98</v>
      </c>
      <c r="C573" s="59">
        <v>5</v>
      </c>
      <c r="D573" s="8" t="s">
        <v>94</v>
      </c>
      <c r="E573" s="8" t="s">
        <v>33</v>
      </c>
      <c r="F573" s="59">
        <v>1</v>
      </c>
      <c r="G573" s="59">
        <v>228</v>
      </c>
      <c r="H573" s="33" t="s">
        <v>33</v>
      </c>
    </row>
    <row r="574" spans="1:8" ht="12" customHeight="1">
      <c r="A574" s="32" t="s">
        <v>23</v>
      </c>
      <c r="B574" s="8" t="s">
        <v>98</v>
      </c>
      <c r="C574" s="59">
        <v>6</v>
      </c>
      <c r="D574" s="8" t="s">
        <v>96</v>
      </c>
      <c r="E574" s="8" t="s">
        <v>52</v>
      </c>
      <c r="F574" s="59">
        <v>1</v>
      </c>
      <c r="G574" s="59">
        <v>230</v>
      </c>
      <c r="H574" s="33" t="s">
        <v>52</v>
      </c>
    </row>
    <row r="575" spans="1:8" ht="12" customHeight="1">
      <c r="A575" s="32" t="s">
        <v>23</v>
      </c>
      <c r="B575" s="8" t="s">
        <v>98</v>
      </c>
      <c r="C575" s="59">
        <v>7</v>
      </c>
      <c r="D575" s="8" t="s">
        <v>97</v>
      </c>
      <c r="E575" s="8" t="s">
        <v>35</v>
      </c>
      <c r="F575" s="59">
        <v>1</v>
      </c>
      <c r="G575" s="59">
        <v>231</v>
      </c>
      <c r="H575" s="33" t="s">
        <v>35</v>
      </c>
    </row>
    <row r="576" spans="1:8" ht="12" customHeight="1">
      <c r="A576" s="32" t="s">
        <v>23</v>
      </c>
      <c r="B576" s="8" t="s">
        <v>99</v>
      </c>
      <c r="C576" s="59">
        <v>1</v>
      </c>
      <c r="D576" s="8" t="s">
        <v>90</v>
      </c>
      <c r="E576" s="8" t="s">
        <v>41</v>
      </c>
      <c r="F576" s="59">
        <v>1</v>
      </c>
      <c r="G576" s="59">
        <v>223</v>
      </c>
      <c r="H576" s="33" t="s">
        <v>41</v>
      </c>
    </row>
    <row r="577" spans="1:8" ht="12" customHeight="1">
      <c r="A577" s="32" t="s">
        <v>23</v>
      </c>
      <c r="B577" s="8" t="s">
        <v>99</v>
      </c>
      <c r="C577" s="59">
        <v>2</v>
      </c>
      <c r="D577" s="8" t="s">
        <v>91</v>
      </c>
      <c r="E577" s="8" t="s">
        <v>44</v>
      </c>
      <c r="F577" s="59">
        <v>1</v>
      </c>
      <c r="G577" s="59">
        <v>224</v>
      </c>
      <c r="H577" s="33" t="s">
        <v>44</v>
      </c>
    </row>
    <row r="578" spans="1:8" ht="12" customHeight="1">
      <c r="A578" s="32" t="s">
        <v>23</v>
      </c>
      <c r="B578" s="8" t="s">
        <v>99</v>
      </c>
      <c r="C578" s="59">
        <v>3</v>
      </c>
      <c r="D578" s="8" t="s">
        <v>115</v>
      </c>
      <c r="E578" s="8" t="s">
        <v>44</v>
      </c>
      <c r="F578" s="59">
        <v>1</v>
      </c>
      <c r="G578" s="59">
        <v>225</v>
      </c>
      <c r="H578" s="33" t="s">
        <v>44</v>
      </c>
    </row>
    <row r="579" spans="1:8" ht="12" customHeight="1">
      <c r="A579" s="32" t="s">
        <v>23</v>
      </c>
      <c r="B579" s="8" t="s">
        <v>99</v>
      </c>
      <c r="C579" s="59">
        <v>4</v>
      </c>
      <c r="D579" s="8" t="s">
        <v>93</v>
      </c>
      <c r="E579" s="8" t="s">
        <v>35</v>
      </c>
      <c r="F579" s="59">
        <v>1</v>
      </c>
      <c r="G579" s="59">
        <v>227</v>
      </c>
      <c r="H579" s="33" t="s">
        <v>35</v>
      </c>
    </row>
    <row r="580" spans="1:8" ht="12" customHeight="1">
      <c r="A580" s="32" t="s">
        <v>23</v>
      </c>
      <c r="B580" s="8" t="s">
        <v>99</v>
      </c>
      <c r="C580" s="59">
        <v>5</v>
      </c>
      <c r="D580" s="8" t="s">
        <v>94</v>
      </c>
      <c r="E580" s="8" t="s">
        <v>35</v>
      </c>
      <c r="F580" s="59">
        <v>1</v>
      </c>
      <c r="G580" s="59">
        <v>228</v>
      </c>
      <c r="H580" s="33" t="s">
        <v>35</v>
      </c>
    </row>
    <row r="581" spans="1:8" ht="12" customHeight="1">
      <c r="A581" s="32" t="s">
        <v>23</v>
      </c>
      <c r="B581" s="8" t="s">
        <v>99</v>
      </c>
      <c r="C581" s="59">
        <v>6</v>
      </c>
      <c r="D581" s="8" t="s">
        <v>96</v>
      </c>
      <c r="E581" s="8" t="s">
        <v>80</v>
      </c>
      <c r="F581" s="59">
        <v>1</v>
      </c>
      <c r="G581" s="59">
        <v>230</v>
      </c>
      <c r="H581" s="33" t="s">
        <v>120</v>
      </c>
    </row>
    <row r="582" spans="1:8" ht="12" customHeight="1">
      <c r="A582" s="32" t="s">
        <v>23</v>
      </c>
      <c r="B582" s="8" t="s">
        <v>99</v>
      </c>
      <c r="C582" s="59">
        <v>7</v>
      </c>
      <c r="D582" s="8" t="s">
        <v>97</v>
      </c>
      <c r="E582" s="8" t="s">
        <v>34</v>
      </c>
      <c r="F582" s="59">
        <v>1</v>
      </c>
      <c r="G582" s="59">
        <v>231</v>
      </c>
      <c r="H582" s="33" t="s">
        <v>34</v>
      </c>
    </row>
    <row r="583" spans="1:8" ht="12" customHeight="1">
      <c r="A583" s="32" t="s">
        <v>23</v>
      </c>
      <c r="B583" s="8" t="s">
        <v>100</v>
      </c>
      <c r="C583" s="59">
        <v>1</v>
      </c>
      <c r="D583" s="8" t="s">
        <v>90</v>
      </c>
      <c r="E583" s="8" t="s">
        <v>37</v>
      </c>
      <c r="F583" s="59">
        <v>1</v>
      </c>
      <c r="G583" s="59">
        <v>223</v>
      </c>
      <c r="H583" s="33" t="s">
        <v>37</v>
      </c>
    </row>
    <row r="584" spans="1:8" ht="12" customHeight="1">
      <c r="A584" s="32" t="s">
        <v>23</v>
      </c>
      <c r="B584" s="8" t="s">
        <v>100</v>
      </c>
      <c r="C584" s="59">
        <v>2</v>
      </c>
      <c r="D584" s="8" t="s">
        <v>91</v>
      </c>
      <c r="E584" s="8" t="s">
        <v>37</v>
      </c>
      <c r="F584" s="59">
        <v>1</v>
      </c>
      <c r="G584" s="59">
        <v>224</v>
      </c>
      <c r="H584" s="33" t="s">
        <v>37</v>
      </c>
    </row>
    <row r="585" spans="1:8" ht="12" customHeight="1">
      <c r="A585" s="32" t="s">
        <v>23</v>
      </c>
      <c r="B585" s="8" t="s">
        <v>100</v>
      </c>
      <c r="C585" s="59">
        <v>3</v>
      </c>
      <c r="D585" s="8" t="s">
        <v>115</v>
      </c>
      <c r="E585" s="8" t="s">
        <v>39</v>
      </c>
      <c r="F585" s="59">
        <v>1</v>
      </c>
      <c r="G585" s="59">
        <v>225</v>
      </c>
      <c r="H585" s="33" t="s">
        <v>39</v>
      </c>
    </row>
    <row r="586" spans="1:8" ht="12" customHeight="1">
      <c r="A586" s="32" t="s">
        <v>23</v>
      </c>
      <c r="B586" s="8" t="s">
        <v>100</v>
      </c>
      <c r="C586" s="59">
        <v>4</v>
      </c>
      <c r="D586" s="8" t="s">
        <v>93</v>
      </c>
      <c r="E586" s="8" t="s">
        <v>39</v>
      </c>
      <c r="F586" s="59">
        <v>1</v>
      </c>
      <c r="G586" s="59">
        <v>227</v>
      </c>
      <c r="H586" s="33" t="s">
        <v>39</v>
      </c>
    </row>
    <row r="587" spans="1:8" ht="12" customHeight="1">
      <c r="A587" s="32" t="s">
        <v>23</v>
      </c>
      <c r="B587" s="8" t="s">
        <v>100</v>
      </c>
      <c r="C587" s="59">
        <v>5</v>
      </c>
      <c r="D587" s="8" t="s">
        <v>94</v>
      </c>
      <c r="E587" s="8" t="s">
        <v>52</v>
      </c>
      <c r="F587" s="59">
        <v>1</v>
      </c>
      <c r="G587" s="59">
        <v>228</v>
      </c>
      <c r="H587" s="33" t="s">
        <v>52</v>
      </c>
    </row>
    <row r="588" spans="1:8" ht="12" customHeight="1">
      <c r="A588" s="32" t="s">
        <v>23</v>
      </c>
      <c r="B588" s="8" t="s">
        <v>100</v>
      </c>
      <c r="C588" s="59">
        <v>6</v>
      </c>
      <c r="D588" s="8" t="s">
        <v>96</v>
      </c>
      <c r="E588" s="8" t="s">
        <v>46</v>
      </c>
      <c r="F588" s="59">
        <v>1</v>
      </c>
      <c r="G588" s="59">
        <v>230</v>
      </c>
      <c r="H588" s="33" t="s">
        <v>46</v>
      </c>
    </row>
    <row r="589" spans="1:8" ht="12" customHeight="1">
      <c r="A589" s="32" t="s">
        <v>23</v>
      </c>
      <c r="B589" s="8" t="s">
        <v>100</v>
      </c>
      <c r="C589" s="59">
        <v>7</v>
      </c>
      <c r="D589" s="8" t="s">
        <v>97</v>
      </c>
      <c r="E589" s="8" t="s">
        <v>48</v>
      </c>
      <c r="F589" s="59">
        <v>1</v>
      </c>
      <c r="G589" s="59">
        <v>231</v>
      </c>
      <c r="H589" s="33" t="s">
        <v>48</v>
      </c>
    </row>
    <row r="590" spans="1:8" ht="12" customHeight="1">
      <c r="A590" s="32" t="s">
        <v>23</v>
      </c>
      <c r="B590" s="8" t="s">
        <v>101</v>
      </c>
      <c r="C590" s="59">
        <v>1</v>
      </c>
      <c r="D590" s="8" t="s">
        <v>90</v>
      </c>
      <c r="E590" s="8" t="s">
        <v>35</v>
      </c>
      <c r="F590" s="59">
        <v>1</v>
      </c>
      <c r="G590" s="59">
        <v>223</v>
      </c>
      <c r="H590" s="33" t="s">
        <v>35</v>
      </c>
    </row>
    <row r="591" spans="1:8" ht="12" customHeight="1">
      <c r="A591" s="32" t="s">
        <v>23</v>
      </c>
      <c r="B591" s="8" t="s">
        <v>101</v>
      </c>
      <c r="C591" s="59">
        <v>2</v>
      </c>
      <c r="D591" s="8" t="s">
        <v>91</v>
      </c>
      <c r="E591" s="8" t="s">
        <v>43</v>
      </c>
      <c r="F591" s="59">
        <v>1</v>
      </c>
      <c r="G591" s="59">
        <v>224</v>
      </c>
      <c r="H591" s="33" t="s">
        <v>121</v>
      </c>
    </row>
    <row r="592" spans="1:8" ht="12" customHeight="1">
      <c r="A592" s="32" t="s">
        <v>23</v>
      </c>
      <c r="B592" s="8" t="s">
        <v>101</v>
      </c>
      <c r="C592" s="59">
        <v>3</v>
      </c>
      <c r="D592" s="8" t="s">
        <v>115</v>
      </c>
      <c r="E592" s="8" t="s">
        <v>43</v>
      </c>
      <c r="F592" s="59">
        <v>1</v>
      </c>
      <c r="G592" s="59">
        <v>225</v>
      </c>
      <c r="H592" s="33" t="s">
        <v>121</v>
      </c>
    </row>
    <row r="593" spans="1:8" ht="12" customHeight="1">
      <c r="A593" s="32" t="s">
        <v>23</v>
      </c>
      <c r="B593" s="8" t="s">
        <v>101</v>
      </c>
      <c r="C593" s="59">
        <v>4</v>
      </c>
      <c r="D593" s="8" t="s">
        <v>93</v>
      </c>
      <c r="E593" s="8" t="s">
        <v>33</v>
      </c>
      <c r="F593" s="59">
        <v>1</v>
      </c>
      <c r="G593" s="59">
        <v>227</v>
      </c>
      <c r="H593" s="33" t="s">
        <v>33</v>
      </c>
    </row>
    <row r="594" spans="1:8" ht="12" customHeight="1">
      <c r="A594" s="32" t="s">
        <v>23</v>
      </c>
      <c r="B594" s="8" t="s">
        <v>101</v>
      </c>
      <c r="C594" s="59">
        <v>5</v>
      </c>
      <c r="D594" s="8" t="s">
        <v>94</v>
      </c>
      <c r="E594" s="8" t="s">
        <v>57</v>
      </c>
      <c r="F594" s="59">
        <v>1</v>
      </c>
      <c r="G594" s="59">
        <v>228</v>
      </c>
      <c r="H594" s="33" t="s">
        <v>118</v>
      </c>
    </row>
    <row r="595" spans="1:8" ht="12" customHeight="1">
      <c r="A595" s="32" t="s">
        <v>23</v>
      </c>
      <c r="B595" s="8" t="s">
        <v>101</v>
      </c>
      <c r="C595" s="59">
        <v>6</v>
      </c>
      <c r="D595" s="8" t="s">
        <v>96</v>
      </c>
      <c r="E595" s="8" t="s">
        <v>49</v>
      </c>
      <c r="F595" s="59">
        <v>1</v>
      </c>
      <c r="G595" s="59">
        <v>230</v>
      </c>
      <c r="H595" s="33" t="s">
        <v>49</v>
      </c>
    </row>
    <row r="596" spans="1:8" ht="12" customHeight="1">
      <c r="A596" s="32" t="s">
        <v>23</v>
      </c>
      <c r="B596" s="8" t="s">
        <v>101</v>
      </c>
      <c r="C596" s="59">
        <v>7</v>
      </c>
      <c r="D596" s="8" t="s">
        <v>97</v>
      </c>
      <c r="E596" s="8" t="s">
        <v>34</v>
      </c>
      <c r="F596" s="59">
        <v>1</v>
      </c>
      <c r="G596" s="59">
        <v>231</v>
      </c>
      <c r="H596" s="33" t="s">
        <v>122</v>
      </c>
    </row>
    <row r="597" spans="1:8" ht="12" customHeight="1">
      <c r="A597" s="32" t="s">
        <v>24</v>
      </c>
      <c r="B597" s="8" t="s">
        <v>89</v>
      </c>
      <c r="C597" s="59">
        <v>1</v>
      </c>
      <c r="D597" s="8" t="s">
        <v>90</v>
      </c>
      <c r="E597" s="8" t="s">
        <v>48</v>
      </c>
      <c r="F597" s="59">
        <v>1</v>
      </c>
      <c r="G597" s="59">
        <v>236</v>
      </c>
      <c r="H597" s="33" t="s">
        <v>48</v>
      </c>
    </row>
    <row r="598" spans="1:8" ht="12" customHeight="1">
      <c r="A598" s="32" t="s">
        <v>24</v>
      </c>
      <c r="B598" s="8" t="s">
        <v>89</v>
      </c>
      <c r="C598" s="59">
        <v>2</v>
      </c>
      <c r="D598" s="8" t="s">
        <v>91</v>
      </c>
      <c r="E598" s="8" t="s">
        <v>33</v>
      </c>
      <c r="F598" s="59">
        <v>1</v>
      </c>
      <c r="G598" s="59">
        <v>237</v>
      </c>
      <c r="H598" s="33" t="s">
        <v>33</v>
      </c>
    </row>
    <row r="599" spans="1:8" ht="12" customHeight="1">
      <c r="A599" s="32" t="s">
        <v>24</v>
      </c>
      <c r="B599" s="8" t="s">
        <v>89</v>
      </c>
      <c r="C599" s="59">
        <v>3</v>
      </c>
      <c r="D599" s="8" t="s">
        <v>115</v>
      </c>
      <c r="E599" s="8" t="s">
        <v>34</v>
      </c>
      <c r="F599" s="59">
        <v>1</v>
      </c>
      <c r="G599" s="59">
        <v>238</v>
      </c>
      <c r="H599" s="33" t="s">
        <v>34</v>
      </c>
    </row>
    <row r="600" spans="1:8" ht="12" customHeight="1">
      <c r="A600" s="32" t="s">
        <v>24</v>
      </c>
      <c r="B600" s="8" t="s">
        <v>89</v>
      </c>
      <c r="C600" s="59">
        <v>4</v>
      </c>
      <c r="D600" s="8" t="s">
        <v>93</v>
      </c>
      <c r="E600" s="8" t="s">
        <v>35</v>
      </c>
      <c r="F600" s="59">
        <v>1</v>
      </c>
      <c r="G600" s="59">
        <v>240</v>
      </c>
      <c r="H600" s="33" t="s">
        <v>35</v>
      </c>
    </row>
    <row r="601" spans="1:8" ht="12" customHeight="1">
      <c r="A601" s="32" t="s">
        <v>24</v>
      </c>
      <c r="B601" s="8" t="s">
        <v>89</v>
      </c>
      <c r="C601" s="59">
        <v>5</v>
      </c>
      <c r="D601" s="8" t="s">
        <v>94</v>
      </c>
      <c r="E601" s="8" t="s">
        <v>44</v>
      </c>
      <c r="F601" s="59">
        <v>1</v>
      </c>
      <c r="G601" s="59">
        <v>241</v>
      </c>
      <c r="H601" s="33" t="s">
        <v>44</v>
      </c>
    </row>
    <row r="602" spans="1:8" ht="12" customHeight="1">
      <c r="A602" s="32" t="s">
        <v>24</v>
      </c>
      <c r="B602" s="8" t="s">
        <v>89</v>
      </c>
      <c r="C602" s="59">
        <v>6</v>
      </c>
      <c r="D602" s="8" t="s">
        <v>96</v>
      </c>
      <c r="E602" s="8" t="s">
        <v>44</v>
      </c>
      <c r="F602" s="59">
        <v>1</v>
      </c>
      <c r="G602" s="59">
        <v>243</v>
      </c>
      <c r="H602" s="33" t="s">
        <v>44</v>
      </c>
    </row>
    <row r="603" spans="1:8" ht="12" customHeight="1">
      <c r="A603" s="32" t="s">
        <v>24</v>
      </c>
      <c r="B603" s="8" t="s">
        <v>89</v>
      </c>
      <c r="C603" s="59">
        <v>7</v>
      </c>
      <c r="D603" s="8" t="s">
        <v>97</v>
      </c>
      <c r="E603" s="8" t="s">
        <v>45</v>
      </c>
      <c r="F603" s="59">
        <v>1</v>
      </c>
      <c r="G603" s="59">
        <v>244</v>
      </c>
      <c r="H603" s="33" t="s">
        <v>45</v>
      </c>
    </row>
    <row r="604" spans="1:8" ht="12" customHeight="1">
      <c r="A604" s="32" t="s">
        <v>24</v>
      </c>
      <c r="B604" s="8" t="s">
        <v>98</v>
      </c>
      <c r="C604" s="59">
        <v>1</v>
      </c>
      <c r="D604" s="8" t="s">
        <v>90</v>
      </c>
      <c r="E604" s="8" t="s">
        <v>52</v>
      </c>
      <c r="F604" s="59">
        <v>1</v>
      </c>
      <c r="G604" s="59">
        <v>236</v>
      </c>
      <c r="H604" s="33" t="s">
        <v>52</v>
      </c>
    </row>
    <row r="605" spans="1:8" ht="12" customHeight="1">
      <c r="A605" s="32" t="s">
        <v>24</v>
      </c>
      <c r="B605" s="8" t="s">
        <v>98</v>
      </c>
      <c r="C605" s="59">
        <v>2</v>
      </c>
      <c r="D605" s="8" t="s">
        <v>91</v>
      </c>
      <c r="E605" s="8" t="s">
        <v>46</v>
      </c>
      <c r="F605" s="59">
        <v>1</v>
      </c>
      <c r="G605" s="59">
        <v>237</v>
      </c>
      <c r="H605" s="33" t="s">
        <v>46</v>
      </c>
    </row>
    <row r="606" spans="1:8" ht="12" customHeight="1">
      <c r="A606" s="32" t="s">
        <v>24</v>
      </c>
      <c r="B606" s="8" t="s">
        <v>98</v>
      </c>
      <c r="C606" s="59">
        <v>3</v>
      </c>
      <c r="D606" s="8" t="s">
        <v>115</v>
      </c>
      <c r="E606" s="8" t="s">
        <v>35</v>
      </c>
      <c r="F606" s="59">
        <v>1</v>
      </c>
      <c r="G606" s="59">
        <v>238</v>
      </c>
      <c r="H606" s="33" t="s">
        <v>35</v>
      </c>
    </row>
    <row r="607" spans="1:8" ht="12" customHeight="1">
      <c r="A607" s="32" t="s">
        <v>24</v>
      </c>
      <c r="B607" s="8" t="s">
        <v>98</v>
      </c>
      <c r="C607" s="59">
        <v>4</v>
      </c>
      <c r="D607" s="8" t="s">
        <v>93</v>
      </c>
      <c r="E607" s="8" t="s">
        <v>35</v>
      </c>
      <c r="F607" s="59">
        <v>1</v>
      </c>
      <c r="G607" s="59">
        <v>240</v>
      </c>
      <c r="H607" s="33" t="s">
        <v>35</v>
      </c>
    </row>
    <row r="608" spans="1:8" ht="12" customHeight="1">
      <c r="A608" s="32" t="s">
        <v>24</v>
      </c>
      <c r="B608" s="8" t="s">
        <v>98</v>
      </c>
      <c r="C608" s="59">
        <v>5</v>
      </c>
      <c r="D608" s="8" t="s">
        <v>94</v>
      </c>
      <c r="E608" s="8" t="s">
        <v>42</v>
      </c>
      <c r="F608" s="59">
        <v>1</v>
      </c>
      <c r="G608" s="59">
        <v>241</v>
      </c>
      <c r="H608" s="33" t="s">
        <v>42</v>
      </c>
    </row>
    <row r="609" spans="1:8" ht="12" customHeight="1">
      <c r="A609" s="32" t="s">
        <v>24</v>
      </c>
      <c r="B609" s="8" t="s">
        <v>98</v>
      </c>
      <c r="C609" s="59">
        <v>6</v>
      </c>
      <c r="D609" s="8" t="s">
        <v>96</v>
      </c>
      <c r="E609" s="8" t="s">
        <v>33</v>
      </c>
      <c r="F609" s="59">
        <v>1</v>
      </c>
      <c r="G609" s="59">
        <v>243</v>
      </c>
      <c r="H609" s="33" t="s">
        <v>33</v>
      </c>
    </row>
    <row r="610" spans="1:8" ht="12" customHeight="1">
      <c r="A610" s="32" t="s">
        <v>24</v>
      </c>
      <c r="B610" s="8" t="s">
        <v>98</v>
      </c>
      <c r="C610" s="59">
        <v>7</v>
      </c>
      <c r="D610" s="8" t="s">
        <v>97</v>
      </c>
      <c r="E610" s="8" t="s">
        <v>33</v>
      </c>
      <c r="F610" s="59">
        <v>1</v>
      </c>
      <c r="G610" s="59">
        <v>244</v>
      </c>
      <c r="H610" s="33" t="s">
        <v>33</v>
      </c>
    </row>
    <row r="611" spans="1:8" ht="12" customHeight="1">
      <c r="A611" s="32" t="s">
        <v>24</v>
      </c>
      <c r="B611" s="8" t="s">
        <v>99</v>
      </c>
      <c r="C611" s="59">
        <v>1</v>
      </c>
      <c r="D611" s="8" t="s">
        <v>90</v>
      </c>
      <c r="E611" s="8" t="s">
        <v>41</v>
      </c>
      <c r="F611" s="59">
        <v>1</v>
      </c>
      <c r="G611" s="59">
        <v>236</v>
      </c>
      <c r="H611" s="33" t="s">
        <v>41</v>
      </c>
    </row>
    <row r="612" spans="1:8" ht="12" customHeight="1">
      <c r="A612" s="32" t="s">
        <v>24</v>
      </c>
      <c r="B612" s="8" t="s">
        <v>99</v>
      </c>
      <c r="C612" s="59">
        <v>2</v>
      </c>
      <c r="D612" s="8" t="s">
        <v>91</v>
      </c>
      <c r="E612" s="8" t="s">
        <v>52</v>
      </c>
      <c r="F612" s="59">
        <v>1</v>
      </c>
      <c r="G612" s="59">
        <v>237</v>
      </c>
      <c r="H612" s="33" t="s">
        <v>52</v>
      </c>
    </row>
    <row r="613" spans="1:8" ht="12" customHeight="1">
      <c r="A613" s="32" t="s">
        <v>24</v>
      </c>
      <c r="B613" s="8" t="s">
        <v>99</v>
      </c>
      <c r="C613" s="59">
        <v>3</v>
      </c>
      <c r="D613" s="8" t="s">
        <v>115</v>
      </c>
      <c r="E613" s="8" t="s">
        <v>39</v>
      </c>
      <c r="F613" s="59">
        <v>1</v>
      </c>
      <c r="G613" s="59">
        <v>238</v>
      </c>
      <c r="H613" s="33" t="s">
        <v>39</v>
      </c>
    </row>
    <row r="614" spans="1:8" ht="12" customHeight="1">
      <c r="A614" s="32" t="s">
        <v>24</v>
      </c>
      <c r="B614" s="8" t="s">
        <v>99</v>
      </c>
      <c r="C614" s="59">
        <v>4</v>
      </c>
      <c r="D614" s="8" t="s">
        <v>93</v>
      </c>
      <c r="E614" s="8" t="s">
        <v>39</v>
      </c>
      <c r="F614" s="59">
        <v>1</v>
      </c>
      <c r="G614" s="59">
        <v>240</v>
      </c>
      <c r="H614" s="33" t="s">
        <v>39</v>
      </c>
    </row>
    <row r="615" spans="1:8" ht="12" customHeight="1">
      <c r="A615" s="32" t="s">
        <v>24</v>
      </c>
      <c r="B615" s="8" t="s">
        <v>99</v>
      </c>
      <c r="C615" s="59">
        <v>5</v>
      </c>
      <c r="D615" s="8" t="s">
        <v>94</v>
      </c>
      <c r="E615" s="8" t="s">
        <v>49</v>
      </c>
      <c r="F615" s="59">
        <v>1</v>
      </c>
      <c r="G615" s="59">
        <v>241</v>
      </c>
      <c r="H615" s="33" t="s">
        <v>49</v>
      </c>
    </row>
    <row r="616" spans="1:8" ht="12" customHeight="1">
      <c r="A616" s="32" t="s">
        <v>24</v>
      </c>
      <c r="B616" s="8" t="s">
        <v>99</v>
      </c>
      <c r="C616" s="59">
        <v>6</v>
      </c>
      <c r="D616" s="8" t="s">
        <v>96</v>
      </c>
      <c r="E616" s="8" t="s">
        <v>38</v>
      </c>
      <c r="F616" s="59">
        <v>1</v>
      </c>
      <c r="G616" s="59">
        <v>243</v>
      </c>
      <c r="H616" s="33" t="s">
        <v>110</v>
      </c>
    </row>
    <row r="617" spans="1:8" ht="12" customHeight="1">
      <c r="A617" s="32" t="s">
        <v>24</v>
      </c>
      <c r="B617" s="8" t="s">
        <v>99</v>
      </c>
      <c r="C617" s="59">
        <v>7</v>
      </c>
      <c r="D617" s="8" t="s">
        <v>97</v>
      </c>
      <c r="E617" s="8" t="s">
        <v>38</v>
      </c>
      <c r="F617" s="59">
        <v>1</v>
      </c>
      <c r="G617" s="59">
        <v>244</v>
      </c>
      <c r="H617" s="33" t="s">
        <v>110</v>
      </c>
    </row>
    <row r="618" spans="1:8" ht="12" customHeight="1">
      <c r="A618" s="32" t="s">
        <v>24</v>
      </c>
      <c r="B618" s="8" t="s">
        <v>100</v>
      </c>
      <c r="C618" s="59">
        <v>1</v>
      </c>
      <c r="D618" s="8" t="s">
        <v>90</v>
      </c>
      <c r="E618" s="8" t="s">
        <v>35</v>
      </c>
      <c r="F618" s="59">
        <v>1</v>
      </c>
      <c r="G618" s="59">
        <v>236</v>
      </c>
      <c r="H618" s="33" t="s">
        <v>35</v>
      </c>
    </row>
    <row r="619" spans="1:8" ht="12" customHeight="1">
      <c r="A619" s="32" t="s">
        <v>24</v>
      </c>
      <c r="B619" s="8" t="s">
        <v>100</v>
      </c>
      <c r="C619" s="59">
        <v>2</v>
      </c>
      <c r="D619" s="8" t="s">
        <v>91</v>
      </c>
      <c r="E619" s="8" t="s">
        <v>33</v>
      </c>
      <c r="F619" s="59">
        <v>1</v>
      </c>
      <c r="G619" s="59">
        <v>237</v>
      </c>
      <c r="H619" s="33" t="s">
        <v>33</v>
      </c>
    </row>
    <row r="620" spans="1:8" ht="12" customHeight="1">
      <c r="A620" s="32" t="s">
        <v>24</v>
      </c>
      <c r="B620" s="8" t="s">
        <v>100</v>
      </c>
      <c r="C620" s="59">
        <v>3</v>
      </c>
      <c r="D620" s="8" t="s">
        <v>115</v>
      </c>
      <c r="E620" s="8" t="s">
        <v>47</v>
      </c>
      <c r="F620" s="59">
        <v>1</v>
      </c>
      <c r="G620" s="59">
        <v>238</v>
      </c>
      <c r="H620" s="33" t="s">
        <v>47</v>
      </c>
    </row>
    <row r="621" spans="1:8" ht="12" customHeight="1">
      <c r="A621" s="32" t="s">
        <v>24</v>
      </c>
      <c r="B621" s="8" t="s">
        <v>100</v>
      </c>
      <c r="C621" s="59">
        <v>4</v>
      </c>
      <c r="D621" s="8" t="s">
        <v>93</v>
      </c>
      <c r="E621" s="8" t="s">
        <v>43</v>
      </c>
      <c r="F621" s="59">
        <v>1</v>
      </c>
      <c r="G621" s="59">
        <v>240</v>
      </c>
      <c r="H621" s="33" t="s">
        <v>123</v>
      </c>
    </row>
    <row r="622" spans="1:8" ht="12" customHeight="1">
      <c r="A622" s="32" t="s">
        <v>24</v>
      </c>
      <c r="B622" s="8" t="s">
        <v>100</v>
      </c>
      <c r="C622" s="59">
        <v>5</v>
      </c>
      <c r="D622" s="8" t="s">
        <v>94</v>
      </c>
      <c r="E622" s="8" t="s">
        <v>43</v>
      </c>
      <c r="F622" s="59">
        <v>1</v>
      </c>
      <c r="G622" s="59">
        <v>241</v>
      </c>
      <c r="H622" s="33" t="s">
        <v>123</v>
      </c>
    </row>
    <row r="623" spans="1:8" ht="12" customHeight="1">
      <c r="A623" s="32" t="s">
        <v>24</v>
      </c>
      <c r="B623" s="8" t="s">
        <v>100</v>
      </c>
      <c r="C623" s="59">
        <v>6</v>
      </c>
      <c r="D623" s="8" t="s">
        <v>96</v>
      </c>
      <c r="E623" s="8" t="s">
        <v>34</v>
      </c>
      <c r="F623" s="59">
        <v>1</v>
      </c>
      <c r="G623" s="59">
        <v>243</v>
      </c>
      <c r="H623" s="33" t="s">
        <v>34</v>
      </c>
    </row>
    <row r="624" spans="1:8" ht="12" customHeight="1">
      <c r="A624" s="32" t="s">
        <v>24</v>
      </c>
      <c r="B624" s="8" t="s">
        <v>100</v>
      </c>
      <c r="C624" s="59">
        <v>7</v>
      </c>
      <c r="D624" s="8" t="s">
        <v>97</v>
      </c>
      <c r="E624" s="8" t="s">
        <v>34</v>
      </c>
      <c r="F624" s="59">
        <v>1</v>
      </c>
      <c r="G624" s="59">
        <v>244</v>
      </c>
      <c r="H624" s="33" t="s">
        <v>34</v>
      </c>
    </row>
    <row r="625" spans="1:8" ht="12" customHeight="1">
      <c r="A625" s="32" t="s">
        <v>24</v>
      </c>
      <c r="B625" s="8" t="s">
        <v>101</v>
      </c>
      <c r="C625" s="59">
        <v>1</v>
      </c>
      <c r="D625" s="8" t="s">
        <v>90</v>
      </c>
      <c r="E625" s="8" t="s">
        <v>37</v>
      </c>
      <c r="F625" s="59">
        <v>1</v>
      </c>
      <c r="G625" s="59">
        <v>236</v>
      </c>
      <c r="H625" s="33" t="s">
        <v>37</v>
      </c>
    </row>
    <row r="626" spans="1:8" ht="12" customHeight="1">
      <c r="A626" s="32" t="s">
        <v>24</v>
      </c>
      <c r="B626" s="8" t="s">
        <v>101</v>
      </c>
      <c r="C626" s="59">
        <v>2</v>
      </c>
      <c r="D626" s="8" t="s">
        <v>91</v>
      </c>
      <c r="E626" s="8" t="s">
        <v>37</v>
      </c>
      <c r="F626" s="59">
        <v>1</v>
      </c>
      <c r="G626" s="59">
        <v>237</v>
      </c>
      <c r="H626" s="33" t="s">
        <v>37</v>
      </c>
    </row>
    <row r="627" spans="1:8" ht="12" customHeight="1">
      <c r="A627" s="32" t="s">
        <v>24</v>
      </c>
      <c r="B627" s="8" t="s">
        <v>101</v>
      </c>
      <c r="C627" s="59">
        <v>3</v>
      </c>
      <c r="D627" s="8" t="s">
        <v>115</v>
      </c>
      <c r="E627" s="8" t="s">
        <v>52</v>
      </c>
      <c r="F627" s="59">
        <v>1</v>
      </c>
      <c r="G627" s="59">
        <v>238</v>
      </c>
      <c r="H627" s="33" t="s">
        <v>52</v>
      </c>
    </row>
    <row r="628" spans="1:8" ht="12" customHeight="1">
      <c r="A628" s="32" t="s">
        <v>24</v>
      </c>
      <c r="B628" s="8" t="s">
        <v>101</v>
      </c>
      <c r="C628" s="59">
        <v>4</v>
      </c>
      <c r="D628" s="8" t="s">
        <v>93</v>
      </c>
      <c r="E628" s="8" t="s">
        <v>52</v>
      </c>
      <c r="F628" s="59">
        <v>1</v>
      </c>
      <c r="G628" s="59">
        <v>240</v>
      </c>
      <c r="H628" s="33" t="s">
        <v>52</v>
      </c>
    </row>
    <row r="629" spans="1:8" ht="12" customHeight="1">
      <c r="A629" s="32" t="s">
        <v>24</v>
      </c>
      <c r="B629" s="8" t="s">
        <v>101</v>
      </c>
      <c r="C629" s="59">
        <v>5</v>
      </c>
      <c r="D629" s="8" t="s">
        <v>94</v>
      </c>
      <c r="E629" s="8" t="s">
        <v>57</v>
      </c>
      <c r="F629" s="59">
        <v>1</v>
      </c>
      <c r="G629" s="59">
        <v>241</v>
      </c>
      <c r="H629" s="33" t="s">
        <v>118</v>
      </c>
    </row>
    <row r="630" spans="1:8" ht="12" customHeight="1">
      <c r="A630" s="32" t="s">
        <v>24</v>
      </c>
      <c r="B630" s="8" t="s">
        <v>101</v>
      </c>
      <c r="C630" s="59">
        <v>6</v>
      </c>
      <c r="D630" s="8" t="s">
        <v>96</v>
      </c>
      <c r="E630" s="8" t="s">
        <v>34</v>
      </c>
      <c r="F630" s="59">
        <v>1</v>
      </c>
      <c r="G630" s="59">
        <v>243</v>
      </c>
      <c r="H630" s="33" t="s">
        <v>34</v>
      </c>
    </row>
    <row r="631" spans="1:8" ht="12" customHeight="1">
      <c r="A631" s="32" t="s">
        <v>24</v>
      </c>
      <c r="B631" s="8" t="s">
        <v>101</v>
      </c>
      <c r="C631" s="59">
        <v>7</v>
      </c>
      <c r="D631" s="8" t="s">
        <v>97</v>
      </c>
      <c r="E631" s="8" t="s">
        <v>51</v>
      </c>
      <c r="F631" s="59">
        <v>1</v>
      </c>
      <c r="G631" s="59">
        <v>244</v>
      </c>
      <c r="H631" s="33" t="s">
        <v>51</v>
      </c>
    </row>
    <row r="632" spans="1:8" ht="12" customHeight="1">
      <c r="A632" s="32" t="s">
        <v>25</v>
      </c>
      <c r="B632" s="8" t="s">
        <v>89</v>
      </c>
      <c r="C632" s="59">
        <v>1</v>
      </c>
      <c r="D632" s="8" t="s">
        <v>90</v>
      </c>
      <c r="E632" s="8" t="s">
        <v>55</v>
      </c>
      <c r="F632" s="59">
        <v>1</v>
      </c>
      <c r="G632" s="59">
        <v>250</v>
      </c>
      <c r="H632" s="33" t="s">
        <v>55</v>
      </c>
    </row>
    <row r="633" spans="1:8" ht="12" customHeight="1">
      <c r="A633" s="32" t="s">
        <v>25</v>
      </c>
      <c r="B633" s="8" t="s">
        <v>89</v>
      </c>
      <c r="C633" s="59">
        <v>2</v>
      </c>
      <c r="D633" s="8" t="s">
        <v>91</v>
      </c>
      <c r="E633" s="8" t="s">
        <v>55</v>
      </c>
      <c r="F633" s="59">
        <v>1</v>
      </c>
      <c r="G633" s="59">
        <v>251</v>
      </c>
      <c r="H633" s="33" t="s">
        <v>55</v>
      </c>
    </row>
    <row r="634" spans="1:8" ht="12" customHeight="1">
      <c r="A634" s="32" t="s">
        <v>25</v>
      </c>
      <c r="B634" s="8" t="s">
        <v>89</v>
      </c>
      <c r="C634" s="59">
        <v>3</v>
      </c>
      <c r="D634" s="8" t="s">
        <v>115</v>
      </c>
      <c r="E634" s="8" t="s">
        <v>45</v>
      </c>
      <c r="F634" s="59">
        <v>1</v>
      </c>
      <c r="G634" s="59">
        <v>252</v>
      </c>
      <c r="H634" s="33" t="s">
        <v>45</v>
      </c>
    </row>
    <row r="635" spans="1:8" ht="12" customHeight="1">
      <c r="A635" s="32" t="s">
        <v>25</v>
      </c>
      <c r="B635" s="8" t="s">
        <v>89</v>
      </c>
      <c r="C635" s="59">
        <v>4</v>
      </c>
      <c r="D635" s="8" t="s">
        <v>93</v>
      </c>
      <c r="E635" s="8" t="s">
        <v>37</v>
      </c>
      <c r="F635" s="59">
        <v>1</v>
      </c>
      <c r="G635" s="59">
        <v>254</v>
      </c>
      <c r="H635" s="33" t="s">
        <v>37</v>
      </c>
    </row>
    <row r="636" spans="1:8" ht="12" customHeight="1">
      <c r="A636" s="32" t="s">
        <v>25</v>
      </c>
      <c r="B636" s="8" t="s">
        <v>89</v>
      </c>
      <c r="C636" s="59">
        <v>5</v>
      </c>
      <c r="D636" s="8" t="s">
        <v>94</v>
      </c>
      <c r="E636" s="8" t="s">
        <v>37</v>
      </c>
      <c r="F636" s="59">
        <v>1</v>
      </c>
      <c r="G636" s="59">
        <v>255</v>
      </c>
      <c r="H636" s="33" t="s">
        <v>37</v>
      </c>
    </row>
    <row r="637" spans="1:8" ht="12" customHeight="1">
      <c r="A637" s="32" t="s">
        <v>25</v>
      </c>
      <c r="B637" s="8" t="s">
        <v>89</v>
      </c>
      <c r="C637" s="59">
        <v>6</v>
      </c>
      <c r="D637" s="8" t="s">
        <v>96</v>
      </c>
      <c r="E637" s="8" t="s">
        <v>34</v>
      </c>
      <c r="F637" s="59">
        <v>1</v>
      </c>
      <c r="G637" s="59">
        <v>257</v>
      </c>
      <c r="H637" s="33" t="s">
        <v>34</v>
      </c>
    </row>
    <row r="638" spans="1:8" ht="12" customHeight="1">
      <c r="A638" s="32" t="s">
        <v>25</v>
      </c>
      <c r="B638" s="8" t="s">
        <v>89</v>
      </c>
      <c r="C638" s="59">
        <v>7</v>
      </c>
      <c r="D638" s="8" t="s">
        <v>97</v>
      </c>
      <c r="E638" s="8" t="s">
        <v>72</v>
      </c>
      <c r="F638" s="59">
        <v>1</v>
      </c>
      <c r="G638" s="59">
        <v>258</v>
      </c>
      <c r="H638" s="33" t="s">
        <v>72</v>
      </c>
    </row>
    <row r="639" spans="1:8" ht="12" customHeight="1">
      <c r="A639" s="32" t="s">
        <v>25</v>
      </c>
      <c r="B639" s="8" t="s">
        <v>98</v>
      </c>
      <c r="C639" s="59">
        <v>1</v>
      </c>
      <c r="D639" s="8" t="s">
        <v>90</v>
      </c>
      <c r="E639" s="8" t="s">
        <v>41</v>
      </c>
      <c r="F639" s="59">
        <v>1</v>
      </c>
      <c r="G639" s="59">
        <v>250</v>
      </c>
      <c r="H639" s="33" t="s">
        <v>41</v>
      </c>
    </row>
    <row r="640" spans="1:8" ht="12" customHeight="1">
      <c r="A640" s="32" t="s">
        <v>25</v>
      </c>
      <c r="B640" s="8" t="s">
        <v>98</v>
      </c>
      <c r="C640" s="59">
        <v>2</v>
      </c>
      <c r="D640" s="8" t="s">
        <v>91</v>
      </c>
      <c r="E640" s="8" t="s">
        <v>63</v>
      </c>
      <c r="F640" s="59">
        <v>1</v>
      </c>
      <c r="G640" s="59">
        <v>251</v>
      </c>
      <c r="H640" s="33" t="s">
        <v>63</v>
      </c>
    </row>
    <row r="641" spans="1:8" ht="12" customHeight="1">
      <c r="A641" s="32" t="s">
        <v>25</v>
      </c>
      <c r="B641" s="8" t="s">
        <v>98</v>
      </c>
      <c r="C641" s="59">
        <v>3</v>
      </c>
      <c r="D641" s="8" t="s">
        <v>115</v>
      </c>
      <c r="E641" s="8" t="s">
        <v>63</v>
      </c>
      <c r="F641" s="59">
        <v>1</v>
      </c>
      <c r="G641" s="59">
        <v>252</v>
      </c>
      <c r="H641" s="33" t="s">
        <v>63</v>
      </c>
    </row>
    <row r="642" spans="1:8" ht="12" customHeight="1">
      <c r="A642" s="32" t="s">
        <v>25</v>
      </c>
      <c r="B642" s="8" t="s">
        <v>98</v>
      </c>
      <c r="C642" s="59">
        <v>4</v>
      </c>
      <c r="D642" s="8" t="s">
        <v>93</v>
      </c>
      <c r="E642" s="8" t="s">
        <v>59</v>
      </c>
      <c r="F642" s="59">
        <v>1</v>
      </c>
      <c r="G642" s="59">
        <v>254</v>
      </c>
      <c r="H642" s="33" t="s">
        <v>59</v>
      </c>
    </row>
    <row r="643" spans="1:8" ht="12" customHeight="1">
      <c r="A643" s="32" t="s">
        <v>25</v>
      </c>
      <c r="B643" s="8" t="s">
        <v>98</v>
      </c>
      <c r="C643" s="59">
        <v>5</v>
      </c>
      <c r="D643" s="8" t="s">
        <v>94</v>
      </c>
      <c r="E643" s="8" t="s">
        <v>59</v>
      </c>
      <c r="F643" s="59">
        <v>1</v>
      </c>
      <c r="G643" s="59">
        <v>255</v>
      </c>
      <c r="H643" s="33" t="s">
        <v>59</v>
      </c>
    </row>
    <row r="644" spans="1:8" ht="12" customHeight="1">
      <c r="A644" s="32" t="s">
        <v>25</v>
      </c>
      <c r="B644" s="8" t="s">
        <v>98</v>
      </c>
      <c r="C644" s="59">
        <v>6</v>
      </c>
      <c r="D644" s="8" t="s">
        <v>96</v>
      </c>
      <c r="E644" s="8" t="s">
        <v>38</v>
      </c>
      <c r="F644" s="59">
        <v>1</v>
      </c>
      <c r="G644" s="59">
        <v>257</v>
      </c>
      <c r="H644" s="33" t="s">
        <v>110</v>
      </c>
    </row>
    <row r="645" spans="1:8" ht="12" customHeight="1">
      <c r="A645" s="32" t="s">
        <v>25</v>
      </c>
      <c r="B645" s="8" t="s">
        <v>98</v>
      </c>
      <c r="C645" s="59">
        <v>7</v>
      </c>
      <c r="D645" s="8" t="s">
        <v>97</v>
      </c>
      <c r="E645" s="8" t="s">
        <v>38</v>
      </c>
      <c r="F645" s="59">
        <v>1</v>
      </c>
      <c r="G645" s="59">
        <v>258</v>
      </c>
      <c r="H645" s="33" t="s">
        <v>110</v>
      </c>
    </row>
    <row r="646" spans="1:8" ht="12" customHeight="1">
      <c r="A646" s="32" t="s">
        <v>25</v>
      </c>
      <c r="B646" s="8" t="s">
        <v>99</v>
      </c>
      <c r="C646" s="59">
        <v>1</v>
      </c>
      <c r="D646" s="8" t="s">
        <v>90</v>
      </c>
      <c r="E646" s="8" t="s">
        <v>71</v>
      </c>
      <c r="F646" s="59">
        <v>1</v>
      </c>
      <c r="G646" s="59">
        <v>250</v>
      </c>
      <c r="H646" s="33" t="s">
        <v>71</v>
      </c>
    </row>
    <row r="647" spans="1:8" ht="12" customHeight="1">
      <c r="A647" s="32" t="s">
        <v>25</v>
      </c>
      <c r="B647" s="8" t="s">
        <v>99</v>
      </c>
      <c r="C647" s="59">
        <v>2</v>
      </c>
      <c r="D647" s="8" t="s">
        <v>91</v>
      </c>
      <c r="E647" s="8" t="s">
        <v>71</v>
      </c>
      <c r="F647" s="59">
        <v>1</v>
      </c>
      <c r="G647" s="59">
        <v>251</v>
      </c>
      <c r="H647" s="33" t="s">
        <v>71</v>
      </c>
    </row>
    <row r="648" spans="1:8" ht="12" customHeight="1">
      <c r="A648" s="32" t="s">
        <v>25</v>
      </c>
      <c r="B648" s="8" t="s">
        <v>99</v>
      </c>
      <c r="C648" s="59">
        <v>3</v>
      </c>
      <c r="D648" s="8" t="s">
        <v>115</v>
      </c>
      <c r="E648" s="8" t="s">
        <v>76</v>
      </c>
      <c r="F648" s="59">
        <v>1</v>
      </c>
      <c r="G648" s="59">
        <v>252</v>
      </c>
      <c r="H648" s="33" t="s">
        <v>76</v>
      </c>
    </row>
    <row r="649" spans="1:8" ht="12" customHeight="1">
      <c r="A649" s="32" t="s">
        <v>25</v>
      </c>
      <c r="B649" s="8" t="s">
        <v>99</v>
      </c>
      <c r="C649" s="59">
        <v>4</v>
      </c>
      <c r="D649" s="8" t="s">
        <v>93</v>
      </c>
      <c r="E649" s="8" t="s">
        <v>76</v>
      </c>
      <c r="F649" s="59">
        <v>1</v>
      </c>
      <c r="G649" s="59">
        <v>254</v>
      </c>
      <c r="H649" s="33" t="s">
        <v>76</v>
      </c>
    </row>
    <row r="650" spans="1:8" ht="12" customHeight="1">
      <c r="A650" s="32" t="s">
        <v>25</v>
      </c>
      <c r="B650" s="8" t="s">
        <v>99</v>
      </c>
      <c r="C650" s="59">
        <v>5</v>
      </c>
      <c r="D650" s="8" t="s">
        <v>94</v>
      </c>
      <c r="E650" s="8" t="s">
        <v>33</v>
      </c>
      <c r="F650" s="59">
        <v>1</v>
      </c>
      <c r="G650" s="59">
        <v>255</v>
      </c>
      <c r="H650" s="33" t="s">
        <v>33</v>
      </c>
    </row>
    <row r="651" spans="1:8" ht="12" customHeight="1">
      <c r="A651" s="32" t="s">
        <v>25</v>
      </c>
      <c r="B651" s="8" t="s">
        <v>99</v>
      </c>
      <c r="C651" s="59">
        <v>6</v>
      </c>
      <c r="D651" s="8" t="s">
        <v>96</v>
      </c>
      <c r="E651" s="8" t="s">
        <v>56</v>
      </c>
      <c r="F651" s="59">
        <v>1</v>
      </c>
      <c r="G651" s="59">
        <v>257</v>
      </c>
      <c r="H651" s="33" t="s">
        <v>56</v>
      </c>
    </row>
    <row r="652" spans="1:8" ht="12" customHeight="1">
      <c r="A652" s="32" t="s">
        <v>25</v>
      </c>
      <c r="B652" s="8" t="s">
        <v>99</v>
      </c>
      <c r="C652" s="59">
        <v>7</v>
      </c>
      <c r="D652" s="8" t="s">
        <v>97</v>
      </c>
      <c r="E652" s="8" t="s">
        <v>56</v>
      </c>
      <c r="F652" s="59">
        <v>1</v>
      </c>
      <c r="G652" s="59">
        <v>258</v>
      </c>
      <c r="H652" s="33" t="s">
        <v>56</v>
      </c>
    </row>
    <row r="653" spans="1:8" ht="12" customHeight="1">
      <c r="A653" s="32" t="s">
        <v>25</v>
      </c>
      <c r="B653" s="8" t="s">
        <v>100</v>
      </c>
      <c r="C653" s="59">
        <v>1</v>
      </c>
      <c r="D653" s="8" t="s">
        <v>90</v>
      </c>
      <c r="E653" s="8" t="s">
        <v>34</v>
      </c>
      <c r="F653" s="59">
        <v>1</v>
      </c>
      <c r="G653" s="59">
        <v>250</v>
      </c>
      <c r="H653" s="33" t="s">
        <v>34</v>
      </c>
    </row>
    <row r="654" spans="1:8" ht="12" customHeight="1">
      <c r="A654" s="32" t="s">
        <v>25</v>
      </c>
      <c r="B654" s="8" t="s">
        <v>100</v>
      </c>
      <c r="C654" s="59">
        <v>2</v>
      </c>
      <c r="D654" s="8" t="s">
        <v>91</v>
      </c>
      <c r="E654" s="8" t="s">
        <v>34</v>
      </c>
      <c r="F654" s="59">
        <v>1</v>
      </c>
      <c r="G654" s="59">
        <v>251</v>
      </c>
      <c r="H654" s="33" t="s">
        <v>34</v>
      </c>
    </row>
    <row r="655" spans="1:8" ht="12" customHeight="1">
      <c r="A655" s="32" t="s">
        <v>25</v>
      </c>
      <c r="B655" s="8" t="s">
        <v>100</v>
      </c>
      <c r="C655" s="59">
        <v>3</v>
      </c>
      <c r="D655" s="8" t="s">
        <v>115</v>
      </c>
      <c r="E655" s="8" t="s">
        <v>63</v>
      </c>
      <c r="F655" s="59">
        <v>1</v>
      </c>
      <c r="G655" s="59">
        <v>252</v>
      </c>
      <c r="H655" s="33" t="s">
        <v>63</v>
      </c>
    </row>
    <row r="656" spans="1:8" ht="12" customHeight="1">
      <c r="A656" s="32" t="s">
        <v>25</v>
      </c>
      <c r="B656" s="8" t="s">
        <v>100</v>
      </c>
      <c r="C656" s="59">
        <v>4</v>
      </c>
      <c r="D656" s="8" t="s">
        <v>93</v>
      </c>
      <c r="E656" s="8" t="s">
        <v>33</v>
      </c>
      <c r="F656" s="59">
        <v>1</v>
      </c>
      <c r="G656" s="59">
        <v>254</v>
      </c>
      <c r="H656" s="33" t="s">
        <v>33</v>
      </c>
    </row>
    <row r="657" spans="1:8" ht="12" customHeight="1">
      <c r="A657" s="32" t="s">
        <v>25</v>
      </c>
      <c r="B657" s="8" t="s">
        <v>100</v>
      </c>
      <c r="C657" s="59">
        <v>5</v>
      </c>
      <c r="D657" s="8" t="s">
        <v>94</v>
      </c>
      <c r="E657" s="8" t="s">
        <v>33</v>
      </c>
      <c r="F657" s="59">
        <v>1</v>
      </c>
      <c r="G657" s="59">
        <v>255</v>
      </c>
      <c r="H657" s="33" t="s">
        <v>33</v>
      </c>
    </row>
    <row r="658" spans="1:8" ht="12" customHeight="1">
      <c r="A658" s="32" t="s">
        <v>25</v>
      </c>
      <c r="B658" s="8" t="s">
        <v>100</v>
      </c>
      <c r="C658" s="59">
        <v>6</v>
      </c>
      <c r="D658" s="8" t="s">
        <v>96</v>
      </c>
      <c r="E658" s="8" t="s">
        <v>47</v>
      </c>
      <c r="F658" s="59">
        <v>1</v>
      </c>
      <c r="G658" s="59">
        <v>257</v>
      </c>
      <c r="H658" s="33" t="s">
        <v>124</v>
      </c>
    </row>
    <row r="659" spans="1:8" ht="12" customHeight="1">
      <c r="A659" s="32" t="s">
        <v>25</v>
      </c>
      <c r="B659" s="8" t="s">
        <v>100</v>
      </c>
      <c r="C659" s="59">
        <v>7</v>
      </c>
      <c r="D659" s="8" t="s">
        <v>97</v>
      </c>
      <c r="E659" s="8" t="s">
        <v>56</v>
      </c>
      <c r="F659" s="59">
        <v>1</v>
      </c>
      <c r="G659" s="59">
        <v>258</v>
      </c>
      <c r="H659" s="33" t="s">
        <v>56</v>
      </c>
    </row>
    <row r="660" spans="1:8" ht="12" customHeight="1">
      <c r="A660" s="32" t="s">
        <v>25</v>
      </c>
      <c r="B660" s="8" t="s">
        <v>101</v>
      </c>
      <c r="C660" s="59">
        <v>1</v>
      </c>
      <c r="D660" s="8" t="s">
        <v>90</v>
      </c>
      <c r="E660" s="8" t="s">
        <v>55</v>
      </c>
      <c r="F660" s="59">
        <v>1</v>
      </c>
      <c r="G660" s="59">
        <v>250</v>
      </c>
      <c r="H660" s="33" t="s">
        <v>55</v>
      </c>
    </row>
    <row r="661" spans="1:8" ht="12" customHeight="1">
      <c r="A661" s="32" t="s">
        <v>25</v>
      </c>
      <c r="B661" s="8" t="s">
        <v>101</v>
      </c>
      <c r="C661" s="59">
        <v>2</v>
      </c>
      <c r="D661" s="8" t="s">
        <v>91</v>
      </c>
      <c r="E661" s="8" t="s">
        <v>33</v>
      </c>
      <c r="F661" s="59">
        <v>1</v>
      </c>
      <c r="G661" s="59">
        <v>251</v>
      </c>
      <c r="H661" s="33" t="s">
        <v>33</v>
      </c>
    </row>
    <row r="662" spans="1:8" ht="12" customHeight="1">
      <c r="A662" s="32" t="s">
        <v>25</v>
      </c>
      <c r="B662" s="8" t="s">
        <v>101</v>
      </c>
      <c r="C662" s="59">
        <v>3</v>
      </c>
      <c r="D662" s="8" t="s">
        <v>115</v>
      </c>
      <c r="E662" s="8" t="s">
        <v>33</v>
      </c>
      <c r="F662" s="59">
        <v>1</v>
      </c>
      <c r="G662" s="59">
        <v>252</v>
      </c>
      <c r="H662" s="33" t="s">
        <v>33</v>
      </c>
    </row>
    <row r="663" spans="1:8" ht="12" customHeight="1">
      <c r="A663" s="32" t="s">
        <v>25</v>
      </c>
      <c r="B663" s="8" t="s">
        <v>101</v>
      </c>
      <c r="C663" s="59">
        <v>4</v>
      </c>
      <c r="D663" s="8" t="s">
        <v>93</v>
      </c>
      <c r="E663" s="8" t="s">
        <v>46</v>
      </c>
      <c r="F663" s="59">
        <v>1</v>
      </c>
      <c r="G663" s="59">
        <v>254</v>
      </c>
      <c r="H663" s="33" t="s">
        <v>46</v>
      </c>
    </row>
    <row r="664" spans="1:8" ht="12" customHeight="1">
      <c r="A664" s="32" t="s">
        <v>25</v>
      </c>
      <c r="B664" s="8" t="s">
        <v>101</v>
      </c>
      <c r="C664" s="59">
        <v>5</v>
      </c>
      <c r="D664" s="8" t="s">
        <v>94</v>
      </c>
      <c r="E664" s="8" t="s">
        <v>42</v>
      </c>
      <c r="F664" s="59">
        <v>1</v>
      </c>
      <c r="G664" s="59">
        <v>255</v>
      </c>
      <c r="H664" s="33" t="s">
        <v>42</v>
      </c>
    </row>
    <row r="665" spans="1:8" ht="12" customHeight="1">
      <c r="A665" s="32" t="s">
        <v>25</v>
      </c>
      <c r="B665" s="8" t="s">
        <v>101</v>
      </c>
      <c r="C665" s="59">
        <v>6</v>
      </c>
      <c r="D665" s="8" t="s">
        <v>96</v>
      </c>
      <c r="E665" s="8" t="s">
        <v>60</v>
      </c>
      <c r="F665" s="59">
        <v>1</v>
      </c>
      <c r="G665" s="59">
        <v>257</v>
      </c>
      <c r="H665" s="33" t="s">
        <v>60</v>
      </c>
    </row>
    <row r="666" spans="1:8" ht="12" customHeight="1">
      <c r="A666" s="32" t="s">
        <v>25</v>
      </c>
      <c r="B666" s="8" t="s">
        <v>101</v>
      </c>
      <c r="C666" s="59">
        <v>7</v>
      </c>
      <c r="D666" s="8" t="s">
        <v>97</v>
      </c>
      <c r="E666" s="8" t="s">
        <v>60</v>
      </c>
      <c r="F666" s="59">
        <v>1</v>
      </c>
      <c r="G666" s="59">
        <v>258</v>
      </c>
      <c r="H666" s="33" t="s">
        <v>60</v>
      </c>
    </row>
    <row r="667" spans="1:8" ht="12" customHeight="1">
      <c r="A667" s="32" t="s">
        <v>26</v>
      </c>
      <c r="B667" s="8" t="s">
        <v>89</v>
      </c>
      <c r="C667" s="59">
        <v>1</v>
      </c>
      <c r="D667" s="8" t="s">
        <v>90</v>
      </c>
      <c r="E667" s="8" t="s">
        <v>34</v>
      </c>
      <c r="F667" s="59">
        <v>1</v>
      </c>
      <c r="G667" s="59">
        <v>263</v>
      </c>
      <c r="H667" s="33" t="s">
        <v>34</v>
      </c>
    </row>
    <row r="668" spans="1:8" ht="12" customHeight="1">
      <c r="A668" s="32" t="s">
        <v>26</v>
      </c>
      <c r="B668" s="8" t="s">
        <v>89</v>
      </c>
      <c r="C668" s="59">
        <v>2</v>
      </c>
      <c r="D668" s="8" t="s">
        <v>91</v>
      </c>
      <c r="E668" s="8" t="s">
        <v>34</v>
      </c>
      <c r="F668" s="59">
        <v>1</v>
      </c>
      <c r="G668" s="59">
        <v>264</v>
      </c>
      <c r="H668" s="33" t="s">
        <v>34</v>
      </c>
    </row>
    <row r="669" spans="1:8" ht="12" customHeight="1">
      <c r="A669" s="32" t="s">
        <v>26</v>
      </c>
      <c r="B669" s="8" t="s">
        <v>89</v>
      </c>
      <c r="C669" s="59">
        <v>3</v>
      </c>
      <c r="D669" s="8" t="s">
        <v>115</v>
      </c>
      <c r="E669" s="8" t="s">
        <v>33</v>
      </c>
      <c r="F669" s="59">
        <v>1</v>
      </c>
      <c r="G669" s="59">
        <v>265</v>
      </c>
      <c r="H669" s="33" t="s">
        <v>33</v>
      </c>
    </row>
    <row r="670" spans="1:8" ht="12" customHeight="1">
      <c r="A670" s="32" t="s">
        <v>26</v>
      </c>
      <c r="B670" s="8" t="s">
        <v>89</v>
      </c>
      <c r="C670" s="59">
        <v>4</v>
      </c>
      <c r="D670" s="8" t="s">
        <v>93</v>
      </c>
      <c r="E670" s="8" t="s">
        <v>45</v>
      </c>
      <c r="F670" s="59">
        <v>1</v>
      </c>
      <c r="G670" s="59">
        <v>267</v>
      </c>
      <c r="H670" s="33" t="s">
        <v>45</v>
      </c>
    </row>
    <row r="671" spans="1:8" ht="12" customHeight="1">
      <c r="A671" s="32" t="s">
        <v>26</v>
      </c>
      <c r="B671" s="8" t="s">
        <v>89</v>
      </c>
      <c r="C671" s="59">
        <v>5</v>
      </c>
      <c r="D671" s="8" t="s">
        <v>94</v>
      </c>
      <c r="E671" s="8" t="s">
        <v>38</v>
      </c>
      <c r="F671" s="59">
        <v>1</v>
      </c>
      <c r="G671" s="59">
        <v>268</v>
      </c>
      <c r="H671" s="33" t="s">
        <v>110</v>
      </c>
    </row>
    <row r="672" spans="1:8" ht="12" customHeight="1">
      <c r="A672" s="32" t="s">
        <v>26</v>
      </c>
      <c r="B672" s="8" t="s">
        <v>89</v>
      </c>
      <c r="C672" s="59">
        <v>6</v>
      </c>
      <c r="D672" s="8" t="s">
        <v>96</v>
      </c>
      <c r="E672" s="8" t="s">
        <v>38</v>
      </c>
      <c r="F672" s="59">
        <v>1</v>
      </c>
      <c r="G672" s="59">
        <v>270</v>
      </c>
      <c r="H672" s="33" t="s">
        <v>110</v>
      </c>
    </row>
    <row r="673" spans="1:8" ht="12" customHeight="1">
      <c r="A673" s="32" t="s">
        <v>26</v>
      </c>
      <c r="B673" s="8" t="s">
        <v>89</v>
      </c>
      <c r="C673" s="59">
        <v>7</v>
      </c>
      <c r="D673" s="8" t="s">
        <v>97</v>
      </c>
      <c r="E673" s="8" t="s">
        <v>79</v>
      </c>
      <c r="F673" s="59">
        <v>1</v>
      </c>
      <c r="G673" s="59">
        <v>271</v>
      </c>
      <c r="H673" s="33" t="s">
        <v>79</v>
      </c>
    </row>
    <row r="674" spans="1:8" ht="12" customHeight="1">
      <c r="A674" s="32" t="s">
        <v>26</v>
      </c>
      <c r="B674" s="8" t="s">
        <v>98</v>
      </c>
      <c r="C674" s="59">
        <v>1</v>
      </c>
      <c r="D674" s="8" t="s">
        <v>90</v>
      </c>
      <c r="E674" s="8" t="s">
        <v>41</v>
      </c>
      <c r="F674" s="59">
        <v>1</v>
      </c>
      <c r="G674" s="59">
        <v>263</v>
      </c>
      <c r="H674" s="33" t="s">
        <v>41</v>
      </c>
    </row>
    <row r="675" spans="1:8" ht="12" customHeight="1">
      <c r="A675" s="32" t="s">
        <v>26</v>
      </c>
      <c r="B675" s="8" t="s">
        <v>98</v>
      </c>
      <c r="C675" s="59">
        <v>2</v>
      </c>
      <c r="D675" s="8" t="s">
        <v>91</v>
      </c>
      <c r="E675" s="8" t="s">
        <v>59</v>
      </c>
      <c r="F675" s="59">
        <v>1</v>
      </c>
      <c r="G675" s="59">
        <v>264</v>
      </c>
      <c r="H675" s="33" t="s">
        <v>59</v>
      </c>
    </row>
    <row r="676" spans="1:8" ht="12" customHeight="1">
      <c r="A676" s="32" t="s">
        <v>26</v>
      </c>
      <c r="B676" s="8" t="s">
        <v>98</v>
      </c>
      <c r="C676" s="59">
        <v>3</v>
      </c>
      <c r="D676" s="8" t="s">
        <v>115</v>
      </c>
      <c r="E676" s="8" t="s">
        <v>59</v>
      </c>
      <c r="F676" s="59">
        <v>1</v>
      </c>
      <c r="G676" s="59">
        <v>265</v>
      </c>
      <c r="H676" s="33" t="s">
        <v>59</v>
      </c>
    </row>
    <row r="677" spans="1:8" ht="12" customHeight="1">
      <c r="A677" s="32" t="s">
        <v>26</v>
      </c>
      <c r="B677" s="8" t="s">
        <v>98</v>
      </c>
      <c r="C677" s="59">
        <v>4</v>
      </c>
      <c r="D677" s="8" t="s">
        <v>93</v>
      </c>
      <c r="E677" s="8" t="s">
        <v>55</v>
      </c>
      <c r="F677" s="59">
        <v>1</v>
      </c>
      <c r="G677" s="59">
        <v>267</v>
      </c>
      <c r="H677" s="33" t="s">
        <v>55</v>
      </c>
    </row>
    <row r="678" spans="1:8" ht="12" customHeight="1">
      <c r="A678" s="32" t="s">
        <v>26</v>
      </c>
      <c r="B678" s="8" t="s">
        <v>98</v>
      </c>
      <c r="C678" s="59">
        <v>5</v>
      </c>
      <c r="D678" s="8" t="s">
        <v>94</v>
      </c>
      <c r="E678" s="8" t="s">
        <v>55</v>
      </c>
      <c r="F678" s="59">
        <v>1</v>
      </c>
      <c r="G678" s="59">
        <v>268</v>
      </c>
      <c r="H678" s="33" t="s">
        <v>55</v>
      </c>
    </row>
    <row r="679" spans="1:8" ht="12" customHeight="1">
      <c r="A679" s="32" t="s">
        <v>26</v>
      </c>
      <c r="B679" s="8" t="s">
        <v>98</v>
      </c>
      <c r="C679" s="59">
        <v>6</v>
      </c>
      <c r="D679" s="8" t="s">
        <v>96</v>
      </c>
      <c r="E679" s="8" t="s">
        <v>37</v>
      </c>
      <c r="F679" s="59">
        <v>1</v>
      </c>
      <c r="G679" s="59">
        <v>270</v>
      </c>
      <c r="H679" s="33" t="s">
        <v>37</v>
      </c>
    </row>
    <row r="680" spans="1:8" ht="12" customHeight="1">
      <c r="A680" s="32" t="s">
        <v>26</v>
      </c>
      <c r="B680" s="8" t="s">
        <v>98</v>
      </c>
      <c r="C680" s="59">
        <v>7</v>
      </c>
      <c r="D680" s="8" t="s">
        <v>97</v>
      </c>
      <c r="E680" s="8" t="s">
        <v>37</v>
      </c>
      <c r="F680" s="59">
        <v>1</v>
      </c>
      <c r="G680" s="59">
        <v>271</v>
      </c>
      <c r="H680" s="33" t="s">
        <v>37</v>
      </c>
    </row>
    <row r="681" spans="1:8" ht="12" customHeight="1">
      <c r="A681" s="32" t="s">
        <v>26</v>
      </c>
      <c r="B681" s="8" t="s">
        <v>99</v>
      </c>
      <c r="C681" s="59">
        <v>1</v>
      </c>
      <c r="D681" s="8" t="s">
        <v>90</v>
      </c>
      <c r="E681" s="8" t="s">
        <v>56</v>
      </c>
      <c r="F681" s="59">
        <v>1</v>
      </c>
      <c r="G681" s="59">
        <v>263</v>
      </c>
      <c r="H681" s="33" t="s">
        <v>56</v>
      </c>
    </row>
    <row r="682" spans="1:8" ht="12" customHeight="1">
      <c r="A682" s="32" t="s">
        <v>26</v>
      </c>
      <c r="B682" s="8" t="s">
        <v>99</v>
      </c>
      <c r="C682" s="59">
        <v>2</v>
      </c>
      <c r="D682" s="8" t="s">
        <v>91</v>
      </c>
      <c r="E682" s="8" t="s">
        <v>56</v>
      </c>
      <c r="F682" s="59">
        <v>1</v>
      </c>
      <c r="G682" s="59">
        <v>264</v>
      </c>
      <c r="H682" s="33" t="s">
        <v>56</v>
      </c>
    </row>
    <row r="683" spans="1:8" ht="12" customHeight="1">
      <c r="A683" s="32" t="s">
        <v>26</v>
      </c>
      <c r="B683" s="8" t="s">
        <v>99</v>
      </c>
      <c r="C683" s="59">
        <v>3</v>
      </c>
      <c r="D683" s="8" t="s">
        <v>115</v>
      </c>
      <c r="E683" s="8" t="s">
        <v>55</v>
      </c>
      <c r="F683" s="59">
        <v>1</v>
      </c>
      <c r="G683" s="59">
        <v>265</v>
      </c>
      <c r="H683" s="33" t="s">
        <v>55</v>
      </c>
    </row>
    <row r="684" spans="1:8" ht="12" customHeight="1">
      <c r="A684" s="32" t="s">
        <v>26</v>
      </c>
      <c r="B684" s="8" t="s">
        <v>99</v>
      </c>
      <c r="C684" s="59">
        <v>4</v>
      </c>
      <c r="D684" s="8" t="s">
        <v>93</v>
      </c>
      <c r="E684" s="8" t="s">
        <v>42</v>
      </c>
      <c r="F684" s="59">
        <v>1</v>
      </c>
      <c r="G684" s="59">
        <v>267</v>
      </c>
      <c r="H684" s="33" t="s">
        <v>42</v>
      </c>
    </row>
    <row r="685" spans="1:8" ht="12" customHeight="1">
      <c r="A685" s="32" t="s">
        <v>26</v>
      </c>
      <c r="B685" s="8" t="s">
        <v>99</v>
      </c>
      <c r="C685" s="59">
        <v>5</v>
      </c>
      <c r="D685" s="8" t="s">
        <v>94</v>
      </c>
      <c r="E685" s="8" t="s">
        <v>34</v>
      </c>
      <c r="F685" s="59">
        <v>1</v>
      </c>
      <c r="G685" s="59">
        <v>268</v>
      </c>
      <c r="H685" s="33" t="s">
        <v>34</v>
      </c>
    </row>
    <row r="686" spans="1:8" ht="12" customHeight="1">
      <c r="A686" s="32" t="s">
        <v>26</v>
      </c>
      <c r="B686" s="8" t="s">
        <v>99</v>
      </c>
      <c r="C686" s="59">
        <v>6</v>
      </c>
      <c r="D686" s="8" t="s">
        <v>96</v>
      </c>
      <c r="E686" s="8" t="s">
        <v>33</v>
      </c>
      <c r="F686" s="59">
        <v>1</v>
      </c>
      <c r="G686" s="59">
        <v>270</v>
      </c>
      <c r="H686" s="33" t="s">
        <v>33</v>
      </c>
    </row>
    <row r="687" spans="1:8" ht="12" customHeight="1">
      <c r="A687" s="32" t="s">
        <v>26</v>
      </c>
      <c r="B687" s="8" t="s">
        <v>99</v>
      </c>
      <c r="C687" s="59">
        <v>7</v>
      </c>
      <c r="D687" s="8" t="s">
        <v>97</v>
      </c>
      <c r="E687" s="8" t="s">
        <v>33</v>
      </c>
      <c r="F687" s="59">
        <v>1</v>
      </c>
      <c r="G687" s="59">
        <v>271</v>
      </c>
      <c r="H687" s="33" t="s">
        <v>33</v>
      </c>
    </row>
    <row r="688" spans="1:8" ht="12" customHeight="1">
      <c r="A688" s="32" t="s">
        <v>26</v>
      </c>
      <c r="B688" s="8" t="s">
        <v>100</v>
      </c>
      <c r="C688" s="59">
        <v>1</v>
      </c>
      <c r="D688" s="8" t="s">
        <v>90</v>
      </c>
      <c r="E688" s="8" t="s">
        <v>61</v>
      </c>
      <c r="F688" s="59">
        <v>1</v>
      </c>
      <c r="G688" s="59">
        <v>263</v>
      </c>
      <c r="H688" s="33" t="s">
        <v>61</v>
      </c>
    </row>
    <row r="689" spans="1:8" ht="12" customHeight="1">
      <c r="A689" s="32" t="s">
        <v>26</v>
      </c>
      <c r="B689" s="8" t="s">
        <v>100</v>
      </c>
      <c r="C689" s="59">
        <v>2</v>
      </c>
      <c r="D689" s="8" t="s">
        <v>91</v>
      </c>
      <c r="E689" s="8" t="s">
        <v>61</v>
      </c>
      <c r="F689" s="59">
        <v>1</v>
      </c>
      <c r="G689" s="59">
        <v>264</v>
      </c>
      <c r="H689" s="33" t="s">
        <v>61</v>
      </c>
    </row>
    <row r="690" spans="1:8" ht="12" customHeight="1">
      <c r="A690" s="32" t="s">
        <v>26</v>
      </c>
      <c r="B690" s="8" t="s">
        <v>100</v>
      </c>
      <c r="C690" s="59">
        <v>3</v>
      </c>
      <c r="D690" s="8" t="s">
        <v>115</v>
      </c>
      <c r="E690" s="8" t="s">
        <v>56</v>
      </c>
      <c r="F690" s="59">
        <v>1</v>
      </c>
      <c r="G690" s="59">
        <v>265</v>
      </c>
      <c r="H690" s="33" t="s">
        <v>56</v>
      </c>
    </row>
    <row r="691" spans="1:8" ht="12" customHeight="1">
      <c r="A691" s="32" t="s">
        <v>26</v>
      </c>
      <c r="B691" s="8" t="s">
        <v>100</v>
      </c>
      <c r="C691" s="59">
        <v>4</v>
      </c>
      <c r="D691" s="8" t="s">
        <v>93</v>
      </c>
      <c r="E691" s="8" t="s">
        <v>69</v>
      </c>
      <c r="F691" s="59">
        <v>1</v>
      </c>
      <c r="G691" s="59">
        <v>267</v>
      </c>
      <c r="H691" s="33" t="s">
        <v>69</v>
      </c>
    </row>
    <row r="692" spans="1:8" ht="12" customHeight="1">
      <c r="A692" s="32" t="s">
        <v>26</v>
      </c>
      <c r="B692" s="8" t="s">
        <v>100</v>
      </c>
      <c r="C692" s="59">
        <v>5</v>
      </c>
      <c r="D692" s="8" t="s">
        <v>94</v>
      </c>
      <c r="E692" s="8" t="s">
        <v>69</v>
      </c>
      <c r="F692" s="59">
        <v>1</v>
      </c>
      <c r="G692" s="59">
        <v>268</v>
      </c>
      <c r="H692" s="33" t="s">
        <v>69</v>
      </c>
    </row>
    <row r="693" spans="1:8" ht="12" customHeight="1">
      <c r="A693" s="32" t="s">
        <v>26</v>
      </c>
      <c r="B693" s="8" t="s">
        <v>100</v>
      </c>
      <c r="C693" s="59">
        <v>6</v>
      </c>
      <c r="D693" s="8" t="s">
        <v>96</v>
      </c>
      <c r="E693" s="8" t="s">
        <v>60</v>
      </c>
      <c r="F693" s="59">
        <v>1</v>
      </c>
      <c r="G693" s="59">
        <v>270</v>
      </c>
      <c r="H693" s="33" t="s">
        <v>60</v>
      </c>
    </row>
    <row r="694" spans="1:8" ht="12" customHeight="1">
      <c r="A694" s="32" t="s">
        <v>26</v>
      </c>
      <c r="B694" s="8" t="s">
        <v>100</v>
      </c>
      <c r="C694" s="59">
        <v>7</v>
      </c>
      <c r="D694" s="8" t="s">
        <v>97</v>
      </c>
      <c r="E694" s="8" t="s">
        <v>60</v>
      </c>
      <c r="F694" s="59">
        <v>1</v>
      </c>
      <c r="G694" s="59">
        <v>271</v>
      </c>
      <c r="H694" s="33" t="s">
        <v>60</v>
      </c>
    </row>
    <row r="695" spans="1:8" ht="12" customHeight="1">
      <c r="A695" s="32" t="s">
        <v>26</v>
      </c>
      <c r="B695" s="8" t="s">
        <v>101</v>
      </c>
      <c r="C695" s="59">
        <v>1</v>
      </c>
      <c r="D695" s="8" t="s">
        <v>90</v>
      </c>
      <c r="E695" s="8" t="s">
        <v>47</v>
      </c>
      <c r="F695" s="59">
        <v>1</v>
      </c>
      <c r="G695" s="59">
        <v>263</v>
      </c>
      <c r="H695" s="33" t="s">
        <v>47</v>
      </c>
    </row>
    <row r="696" spans="1:8" ht="12" customHeight="1">
      <c r="A696" s="32" t="s">
        <v>26</v>
      </c>
      <c r="B696" s="8" t="s">
        <v>101</v>
      </c>
      <c r="C696" s="59">
        <v>2</v>
      </c>
      <c r="D696" s="8" t="s">
        <v>91</v>
      </c>
      <c r="E696" s="8" t="s">
        <v>61</v>
      </c>
      <c r="F696" s="59">
        <v>1</v>
      </c>
      <c r="G696" s="59">
        <v>264</v>
      </c>
      <c r="H696" s="33" t="s">
        <v>61</v>
      </c>
    </row>
    <row r="697" spans="1:8" ht="12" customHeight="1">
      <c r="A697" s="32" t="s">
        <v>26</v>
      </c>
      <c r="B697" s="8" t="s">
        <v>101</v>
      </c>
      <c r="C697" s="59">
        <v>3</v>
      </c>
      <c r="D697" s="8" t="s">
        <v>115</v>
      </c>
      <c r="E697" s="8" t="s">
        <v>39</v>
      </c>
      <c r="F697" s="59">
        <v>1</v>
      </c>
      <c r="G697" s="59">
        <v>265</v>
      </c>
      <c r="H697" s="33" t="s">
        <v>125</v>
      </c>
    </row>
    <row r="698" spans="1:8" ht="12" customHeight="1">
      <c r="A698" s="32" t="s">
        <v>26</v>
      </c>
      <c r="B698" s="8" t="s">
        <v>101</v>
      </c>
      <c r="C698" s="59">
        <v>4</v>
      </c>
      <c r="D698" s="8" t="s">
        <v>93</v>
      </c>
      <c r="E698" s="8" t="s">
        <v>39</v>
      </c>
      <c r="F698" s="59">
        <v>1</v>
      </c>
      <c r="G698" s="59">
        <v>267</v>
      </c>
      <c r="H698" s="33" t="s">
        <v>125</v>
      </c>
    </row>
    <row r="699" spans="1:8" ht="12" customHeight="1">
      <c r="A699" s="32" t="s">
        <v>26</v>
      </c>
      <c r="B699" s="8" t="s">
        <v>101</v>
      </c>
      <c r="C699" s="59">
        <v>5</v>
      </c>
      <c r="D699" s="8" t="s">
        <v>94</v>
      </c>
      <c r="E699" s="8" t="s">
        <v>65</v>
      </c>
      <c r="F699" s="59">
        <v>1</v>
      </c>
      <c r="G699" s="59">
        <v>268</v>
      </c>
      <c r="H699" s="33" t="s">
        <v>65</v>
      </c>
    </row>
    <row r="700" spans="1:8" ht="12" customHeight="1">
      <c r="A700" s="32" t="s">
        <v>26</v>
      </c>
      <c r="B700" s="8" t="s">
        <v>101</v>
      </c>
      <c r="C700" s="59">
        <v>6</v>
      </c>
      <c r="D700" s="8" t="s">
        <v>96</v>
      </c>
      <c r="E700" s="8" t="s">
        <v>33</v>
      </c>
      <c r="F700" s="59">
        <v>1</v>
      </c>
      <c r="G700" s="59">
        <v>270</v>
      </c>
      <c r="H700" s="33" t="s">
        <v>33</v>
      </c>
    </row>
    <row r="701" spans="1:8" ht="12" customHeight="1">
      <c r="A701" s="32" t="s">
        <v>26</v>
      </c>
      <c r="B701" s="8" t="s">
        <v>101</v>
      </c>
      <c r="C701" s="59">
        <v>7</v>
      </c>
      <c r="D701" s="8" t="s">
        <v>97</v>
      </c>
      <c r="E701" s="8" t="s">
        <v>33</v>
      </c>
      <c r="F701" s="59">
        <v>1</v>
      </c>
      <c r="G701" s="59">
        <v>271</v>
      </c>
      <c r="H701" s="33" t="s">
        <v>33</v>
      </c>
    </row>
    <row r="702" spans="1:8" ht="12" customHeight="1">
      <c r="A702" s="32" t="s">
        <v>27</v>
      </c>
      <c r="B702" s="8" t="s">
        <v>89</v>
      </c>
      <c r="C702" s="59">
        <v>1</v>
      </c>
      <c r="D702" s="8" t="s">
        <v>90</v>
      </c>
      <c r="E702" s="8" t="s">
        <v>70</v>
      </c>
      <c r="F702" s="59">
        <v>1</v>
      </c>
      <c r="G702" s="59">
        <v>276</v>
      </c>
      <c r="H702" s="33" t="s">
        <v>70</v>
      </c>
    </row>
    <row r="703" spans="1:8" ht="12" customHeight="1">
      <c r="A703" s="32" t="s">
        <v>27</v>
      </c>
      <c r="B703" s="8" t="s">
        <v>89</v>
      </c>
      <c r="C703" s="59">
        <v>2</v>
      </c>
      <c r="D703" s="8" t="s">
        <v>91</v>
      </c>
      <c r="E703" s="8" t="s">
        <v>70</v>
      </c>
      <c r="F703" s="59">
        <v>1</v>
      </c>
      <c r="G703" s="59">
        <v>277</v>
      </c>
      <c r="H703" s="33" t="s">
        <v>70</v>
      </c>
    </row>
    <row r="704" spans="1:8" ht="12" customHeight="1">
      <c r="A704" s="32" t="s">
        <v>27</v>
      </c>
      <c r="B704" s="8" t="s">
        <v>89</v>
      </c>
      <c r="C704" s="59">
        <v>3</v>
      </c>
      <c r="D704" s="8" t="s">
        <v>92</v>
      </c>
      <c r="E704" s="8" t="s">
        <v>73</v>
      </c>
      <c r="F704" s="59">
        <v>1</v>
      </c>
      <c r="G704" s="59">
        <v>279</v>
      </c>
      <c r="H704" s="33" t="s">
        <v>73</v>
      </c>
    </row>
    <row r="705" spans="1:8" ht="12" customHeight="1">
      <c r="A705" s="32" t="s">
        <v>27</v>
      </c>
      <c r="B705" s="8" t="s">
        <v>89</v>
      </c>
      <c r="C705" s="59">
        <v>4</v>
      </c>
      <c r="D705" s="8" t="s">
        <v>93</v>
      </c>
      <c r="E705" s="8" t="s">
        <v>73</v>
      </c>
      <c r="F705" s="59">
        <v>1</v>
      </c>
      <c r="G705" s="59">
        <v>280</v>
      </c>
      <c r="H705" s="33" t="s">
        <v>73</v>
      </c>
    </row>
    <row r="706" spans="1:8" ht="12" customHeight="1">
      <c r="A706" s="32" t="s">
        <v>27</v>
      </c>
      <c r="B706" s="8" t="s">
        <v>89</v>
      </c>
      <c r="C706" s="59">
        <v>7</v>
      </c>
      <c r="D706" s="8" t="s">
        <v>97</v>
      </c>
      <c r="E706" s="8" t="s">
        <v>72</v>
      </c>
      <c r="F706" s="59">
        <v>1</v>
      </c>
      <c r="G706" s="59">
        <v>284</v>
      </c>
      <c r="H706" s="33" t="s">
        <v>72</v>
      </c>
    </row>
    <row r="707" spans="1:8" ht="12" customHeight="1">
      <c r="A707" s="32" t="s">
        <v>27</v>
      </c>
      <c r="B707" s="8" t="s">
        <v>98</v>
      </c>
      <c r="C707" s="59">
        <v>4</v>
      </c>
      <c r="D707" s="8" t="s">
        <v>93</v>
      </c>
      <c r="E707" s="8" t="s">
        <v>75</v>
      </c>
      <c r="F707" s="59">
        <v>1</v>
      </c>
      <c r="G707" s="59">
        <v>280</v>
      </c>
      <c r="H707" s="33" t="s">
        <v>75</v>
      </c>
    </row>
    <row r="708" spans="1:8" ht="12" customHeight="1">
      <c r="A708" s="32" t="s">
        <v>27</v>
      </c>
      <c r="B708" s="8" t="s">
        <v>98</v>
      </c>
      <c r="C708" s="59">
        <v>5</v>
      </c>
      <c r="D708" s="8" t="s">
        <v>94</v>
      </c>
      <c r="E708" s="8" t="s">
        <v>75</v>
      </c>
      <c r="F708" s="59">
        <v>1</v>
      </c>
      <c r="G708" s="59">
        <v>281</v>
      </c>
      <c r="H708" s="33" t="s">
        <v>75</v>
      </c>
    </row>
    <row r="709" spans="1:8" ht="12" customHeight="1">
      <c r="A709" s="32" t="s">
        <v>27</v>
      </c>
      <c r="B709" s="8" t="s">
        <v>99</v>
      </c>
      <c r="C709" s="59">
        <v>1</v>
      </c>
      <c r="D709" s="8" t="s">
        <v>90</v>
      </c>
      <c r="E709" s="8" t="s">
        <v>74</v>
      </c>
      <c r="F709" s="59">
        <v>1</v>
      </c>
      <c r="G709" s="59">
        <v>276</v>
      </c>
      <c r="H709" s="33" t="s">
        <v>74</v>
      </c>
    </row>
    <row r="710" spans="1:8" ht="12" customHeight="1">
      <c r="A710" s="32" t="s">
        <v>27</v>
      </c>
      <c r="B710" s="8" t="s">
        <v>99</v>
      </c>
      <c r="C710" s="59">
        <v>2</v>
      </c>
      <c r="D710" s="8" t="s">
        <v>91</v>
      </c>
      <c r="E710" s="8" t="s">
        <v>74</v>
      </c>
      <c r="F710" s="59">
        <v>1</v>
      </c>
      <c r="G710" s="59">
        <v>277</v>
      </c>
      <c r="H710" s="33" t="s">
        <v>74</v>
      </c>
    </row>
    <row r="711" spans="1:8" ht="12" customHeight="1">
      <c r="A711" s="32" t="s">
        <v>27</v>
      </c>
      <c r="B711" s="8" t="s">
        <v>99</v>
      </c>
      <c r="C711" s="59">
        <v>3</v>
      </c>
      <c r="D711" s="8" t="s">
        <v>92</v>
      </c>
      <c r="E711" s="8" t="s">
        <v>64</v>
      </c>
      <c r="F711" s="59">
        <v>1</v>
      </c>
      <c r="G711" s="59">
        <v>279</v>
      </c>
      <c r="H711" s="33" t="s">
        <v>64</v>
      </c>
    </row>
    <row r="712" spans="1:8" ht="12" customHeight="1">
      <c r="A712" s="32" t="s">
        <v>27</v>
      </c>
      <c r="B712" s="8" t="s">
        <v>99</v>
      </c>
      <c r="C712" s="59">
        <v>4</v>
      </c>
      <c r="D712" s="8" t="s">
        <v>93</v>
      </c>
      <c r="E712" s="8" t="s">
        <v>64</v>
      </c>
      <c r="F712" s="59">
        <v>1</v>
      </c>
      <c r="G712" s="59">
        <v>280</v>
      </c>
      <c r="H712" s="33" t="s">
        <v>64</v>
      </c>
    </row>
    <row r="713" spans="1:8" ht="12" customHeight="1">
      <c r="A713" s="32" t="s">
        <v>27</v>
      </c>
      <c r="B713" s="8" t="s">
        <v>100</v>
      </c>
      <c r="C713" s="59">
        <v>1</v>
      </c>
      <c r="D713" s="8" t="s">
        <v>90</v>
      </c>
      <c r="E713" s="8" t="s">
        <v>62</v>
      </c>
      <c r="F713" s="59">
        <v>1</v>
      </c>
      <c r="G713" s="59">
        <v>276</v>
      </c>
      <c r="H713" s="33" t="s">
        <v>62</v>
      </c>
    </row>
    <row r="714" spans="1:8" ht="12" customHeight="1">
      <c r="A714" s="32" t="s">
        <v>27</v>
      </c>
      <c r="B714" s="8" t="s">
        <v>100</v>
      </c>
      <c r="C714" s="59">
        <v>2</v>
      </c>
      <c r="D714" s="8" t="s">
        <v>91</v>
      </c>
      <c r="E714" s="8" t="s">
        <v>62</v>
      </c>
      <c r="F714" s="59">
        <v>1</v>
      </c>
      <c r="G714" s="59">
        <v>277</v>
      </c>
      <c r="H714" s="33" t="s">
        <v>62</v>
      </c>
    </row>
    <row r="715" spans="1:8" ht="12" customHeight="1">
      <c r="A715" s="32" t="s">
        <v>27</v>
      </c>
      <c r="B715" s="8" t="s">
        <v>100</v>
      </c>
      <c r="C715" s="59">
        <v>3</v>
      </c>
      <c r="D715" s="8" t="s">
        <v>92</v>
      </c>
      <c r="E715" s="8" t="s">
        <v>62</v>
      </c>
      <c r="F715" s="59">
        <v>1</v>
      </c>
      <c r="G715" s="59">
        <v>279</v>
      </c>
      <c r="H715" s="33" t="s">
        <v>62</v>
      </c>
    </row>
    <row r="716" spans="1:8" ht="12" customHeight="1">
      <c r="A716" s="32" t="s">
        <v>27</v>
      </c>
      <c r="B716" s="8" t="s">
        <v>100</v>
      </c>
      <c r="C716" s="59">
        <v>5</v>
      </c>
      <c r="D716" s="8" t="s">
        <v>94</v>
      </c>
      <c r="E716" s="8" t="s">
        <v>66</v>
      </c>
      <c r="F716" s="59">
        <v>1</v>
      </c>
      <c r="G716" s="59">
        <v>281</v>
      </c>
      <c r="H716" s="33" t="s">
        <v>66</v>
      </c>
    </row>
    <row r="717" spans="1:8" ht="12" customHeight="1">
      <c r="A717" s="32" t="s">
        <v>27</v>
      </c>
      <c r="B717" s="8" t="s">
        <v>100</v>
      </c>
      <c r="C717" s="59">
        <v>6</v>
      </c>
      <c r="D717" s="8" t="s">
        <v>96</v>
      </c>
      <c r="E717" s="8" t="s">
        <v>66</v>
      </c>
      <c r="F717" s="59">
        <v>1</v>
      </c>
      <c r="G717" s="59">
        <v>283</v>
      </c>
      <c r="H717" s="33" t="s">
        <v>66</v>
      </c>
    </row>
    <row r="718" spans="1:8" ht="12" customHeight="1">
      <c r="A718" s="32" t="s">
        <v>27</v>
      </c>
      <c r="B718" s="8" t="s">
        <v>101</v>
      </c>
      <c r="C718" s="59">
        <v>1</v>
      </c>
      <c r="D718" s="8" t="s">
        <v>90</v>
      </c>
      <c r="E718" s="8" t="s">
        <v>41</v>
      </c>
      <c r="F718" s="59">
        <v>1</v>
      </c>
      <c r="G718" s="59">
        <v>276</v>
      </c>
      <c r="H718" s="33" t="s">
        <v>41</v>
      </c>
    </row>
    <row r="719" spans="1:8" ht="12" customHeight="1">
      <c r="A719" s="32" t="s">
        <v>27</v>
      </c>
      <c r="B719" s="8" t="s">
        <v>101</v>
      </c>
      <c r="C719" s="59">
        <v>3</v>
      </c>
      <c r="D719" s="8" t="s">
        <v>92</v>
      </c>
      <c r="E719" s="8" t="s">
        <v>68</v>
      </c>
      <c r="F719" s="59">
        <v>1</v>
      </c>
      <c r="G719" s="59">
        <v>279</v>
      </c>
      <c r="H719" s="33" t="s">
        <v>68</v>
      </c>
    </row>
    <row r="720" spans="1:8" ht="12" customHeight="1">
      <c r="A720" s="32" t="s">
        <v>27</v>
      </c>
      <c r="B720" s="8" t="s">
        <v>101</v>
      </c>
      <c r="C720" s="59">
        <v>4</v>
      </c>
      <c r="D720" s="8" t="s">
        <v>93</v>
      </c>
      <c r="E720" s="8" t="s">
        <v>68</v>
      </c>
      <c r="F720" s="59">
        <v>1</v>
      </c>
      <c r="G720" s="59">
        <v>280</v>
      </c>
      <c r="H720" s="33" t="s">
        <v>68</v>
      </c>
    </row>
    <row r="721" spans="1:8" ht="12" customHeight="1">
      <c r="A721" s="32" t="s">
        <v>27</v>
      </c>
      <c r="B721" s="8" t="s">
        <v>101</v>
      </c>
      <c r="C721" s="59">
        <v>5</v>
      </c>
      <c r="D721" s="8" t="s">
        <v>94</v>
      </c>
      <c r="E721" s="8" t="s">
        <v>65</v>
      </c>
      <c r="F721" s="59">
        <v>1</v>
      </c>
      <c r="G721" s="59">
        <v>281</v>
      </c>
      <c r="H721" s="33" t="s">
        <v>65</v>
      </c>
    </row>
    <row r="722" spans="1:8" ht="12" customHeight="1">
      <c r="A722" s="32" t="s">
        <v>27</v>
      </c>
      <c r="B722" s="8" t="s">
        <v>101</v>
      </c>
      <c r="C722" s="59">
        <v>6</v>
      </c>
      <c r="D722" s="8" t="s">
        <v>96</v>
      </c>
      <c r="E722" s="8" t="s">
        <v>77</v>
      </c>
      <c r="F722" s="59">
        <v>1</v>
      </c>
      <c r="G722" s="59">
        <v>283</v>
      </c>
      <c r="H722" s="33" t="s">
        <v>77</v>
      </c>
    </row>
    <row r="723" spans="1:8" ht="12" customHeight="1">
      <c r="A723" s="34" t="s">
        <v>27</v>
      </c>
      <c r="B723" s="35" t="s">
        <v>101</v>
      </c>
      <c r="C723" s="60">
        <v>7</v>
      </c>
      <c r="D723" s="35" t="s">
        <v>97</v>
      </c>
      <c r="E723" s="35" t="s">
        <v>77</v>
      </c>
      <c r="F723" s="60">
        <v>1</v>
      </c>
      <c r="G723" s="60">
        <v>284</v>
      </c>
      <c r="H723" s="36" t="s">
        <v>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topLeftCell="A4" workbookViewId="0">
      <selection sqref="A1:E1"/>
    </sheetView>
  </sheetViews>
  <sheetFormatPr baseColWidth="10" defaultColWidth="8.6640625" defaultRowHeight="14"/>
  <cols>
    <col min="1" max="1" width="30" style="4" customWidth="1"/>
    <col min="2" max="2" width="59" style="4" customWidth="1"/>
    <col min="3" max="3" width="63.1640625" style="4" bestFit="1" customWidth="1"/>
    <col min="4" max="4" width="24" style="4" customWidth="1"/>
    <col min="5" max="5" width="15" style="4" customWidth="1"/>
    <col min="6" max="16384" width="8.6640625" style="4"/>
  </cols>
  <sheetData>
    <row r="1" spans="1:5" ht="18.75" customHeight="1">
      <c r="A1" s="73" t="s">
        <v>126</v>
      </c>
      <c r="B1" s="73"/>
      <c r="C1" s="73"/>
      <c r="D1" s="73"/>
      <c r="E1" s="73"/>
    </row>
    <row r="2" spans="1:5">
      <c r="A2" s="6"/>
      <c r="B2" s="6"/>
      <c r="C2" s="6"/>
      <c r="D2" s="6"/>
      <c r="E2" s="6"/>
    </row>
    <row r="3" spans="1:5" ht="14.75" customHeight="1">
      <c r="A3" s="11" t="s">
        <v>1</v>
      </c>
      <c r="B3" s="12" t="s">
        <v>87</v>
      </c>
      <c r="C3" s="12" t="s">
        <v>127</v>
      </c>
      <c r="D3" s="12" t="s">
        <v>128</v>
      </c>
      <c r="E3" s="13" t="s">
        <v>82</v>
      </c>
    </row>
    <row r="4" spans="1:5" ht="14.75" customHeight="1">
      <c r="A4" s="39" t="s">
        <v>9</v>
      </c>
      <c r="B4" s="40">
        <v>52</v>
      </c>
      <c r="C4" s="40" t="s">
        <v>129</v>
      </c>
      <c r="D4" s="40" t="s">
        <v>33</v>
      </c>
      <c r="E4" s="41" t="s">
        <v>89</v>
      </c>
    </row>
    <row r="5" spans="1:5" ht="14.75" customHeight="1">
      <c r="A5" s="42" t="s">
        <v>23</v>
      </c>
      <c r="B5" s="43">
        <v>230</v>
      </c>
      <c r="C5" s="43" t="s">
        <v>130</v>
      </c>
      <c r="D5" s="43" t="s">
        <v>120</v>
      </c>
      <c r="E5" s="44" t="s">
        <v>99</v>
      </c>
    </row>
    <row r="6" spans="1:5" ht="14.75" customHeight="1">
      <c r="A6" s="5"/>
      <c r="B6" s="5"/>
      <c r="C6" s="5"/>
      <c r="D6" s="5"/>
      <c r="E6" s="6"/>
    </row>
    <row r="7" spans="1:5" ht="14.75" customHeight="1">
      <c r="A7" s="5"/>
      <c r="B7" s="5"/>
      <c r="C7" s="5"/>
      <c r="D7" s="5"/>
      <c r="E7" s="6"/>
    </row>
    <row r="8" spans="1:5" ht="14.75" customHeight="1">
      <c r="A8" s="11" t="s">
        <v>85</v>
      </c>
      <c r="B8" s="12" t="s">
        <v>131</v>
      </c>
      <c r="C8" s="13" t="s">
        <v>132</v>
      </c>
      <c r="D8" s="6"/>
      <c r="E8" s="6"/>
    </row>
    <row r="9" spans="1:5" ht="22.75" customHeight="1">
      <c r="A9" s="22" t="s">
        <v>34</v>
      </c>
      <c r="B9" s="45" t="s">
        <v>133</v>
      </c>
      <c r="C9" s="37" t="s">
        <v>134</v>
      </c>
      <c r="D9" s="6"/>
      <c r="E9" s="6"/>
    </row>
    <row r="10" spans="1:5" ht="22.75" customHeight="1">
      <c r="A10" s="23" t="s">
        <v>35</v>
      </c>
      <c r="B10" s="6" t="s">
        <v>135</v>
      </c>
      <c r="C10" s="46" t="s">
        <v>134</v>
      </c>
      <c r="D10" s="6"/>
      <c r="E10" s="6"/>
    </row>
    <row r="11" spans="1:5" ht="22.75" customHeight="1">
      <c r="A11" s="23" t="s">
        <v>36</v>
      </c>
      <c r="B11" s="6" t="s">
        <v>136</v>
      </c>
      <c r="C11" s="46" t="s">
        <v>134</v>
      </c>
      <c r="D11" s="6"/>
      <c r="E11" s="6"/>
    </row>
    <row r="12" spans="1:5" ht="22.75" customHeight="1">
      <c r="A12" s="23" t="s">
        <v>37</v>
      </c>
      <c r="B12" s="6" t="s">
        <v>137</v>
      </c>
      <c r="C12" s="46" t="s">
        <v>134</v>
      </c>
      <c r="D12" s="6"/>
      <c r="E12" s="6"/>
    </row>
    <row r="13" spans="1:5" ht="22.75" customHeight="1">
      <c r="A13" s="23" t="s">
        <v>38</v>
      </c>
      <c r="B13" s="6" t="s">
        <v>138</v>
      </c>
      <c r="C13" s="46" t="s">
        <v>134</v>
      </c>
      <c r="D13" s="6"/>
      <c r="E13" s="6"/>
    </row>
    <row r="14" spans="1:5" ht="22.75" customHeight="1">
      <c r="A14" s="23" t="s">
        <v>39</v>
      </c>
      <c r="B14" s="6" t="s">
        <v>139</v>
      </c>
      <c r="C14" s="46" t="s">
        <v>134</v>
      </c>
      <c r="D14" s="6"/>
      <c r="E14" s="6"/>
    </row>
    <row r="15" spans="1:5" ht="22.75" customHeight="1">
      <c r="A15" s="23" t="s">
        <v>40</v>
      </c>
      <c r="B15" s="6" t="s">
        <v>140</v>
      </c>
      <c r="C15" s="46" t="s">
        <v>134</v>
      </c>
      <c r="D15" s="6"/>
      <c r="E15" s="6"/>
    </row>
    <row r="16" spans="1:5" ht="22.75" customHeight="1">
      <c r="A16" s="23" t="s">
        <v>41</v>
      </c>
      <c r="B16" s="6" t="s">
        <v>141</v>
      </c>
      <c r="C16" s="46" t="s">
        <v>134</v>
      </c>
      <c r="D16" s="6"/>
      <c r="E16" s="6"/>
    </row>
    <row r="17" spans="1:5" ht="22.75" customHeight="1">
      <c r="A17" s="23" t="s">
        <v>43</v>
      </c>
      <c r="B17" s="6" t="s">
        <v>142</v>
      </c>
      <c r="C17" s="46" t="s">
        <v>134</v>
      </c>
      <c r="D17" s="6"/>
      <c r="E17" s="6"/>
    </row>
    <row r="18" spans="1:5" ht="22.75" customHeight="1">
      <c r="A18" s="23" t="s">
        <v>45</v>
      </c>
      <c r="B18" s="6" t="s">
        <v>143</v>
      </c>
      <c r="C18" s="46" t="s">
        <v>134</v>
      </c>
      <c r="D18" s="6"/>
      <c r="E18" s="6"/>
    </row>
    <row r="19" spans="1:5" ht="22.75" customHeight="1">
      <c r="A19" s="23" t="s">
        <v>47</v>
      </c>
      <c r="B19" s="6" t="s">
        <v>144</v>
      </c>
      <c r="C19" s="46" t="s">
        <v>134</v>
      </c>
      <c r="D19" s="6"/>
      <c r="E19" s="6"/>
    </row>
    <row r="20" spans="1:5" ht="22.75" customHeight="1">
      <c r="A20" s="23" t="s">
        <v>57</v>
      </c>
      <c r="B20" s="6" t="s">
        <v>145</v>
      </c>
      <c r="C20" s="46" t="s">
        <v>134</v>
      </c>
      <c r="D20" s="6"/>
      <c r="E20" s="6"/>
    </row>
    <row r="21" spans="1:5" ht="22.75" customHeight="1">
      <c r="A21" s="24" t="s">
        <v>80</v>
      </c>
      <c r="B21" s="47" t="s">
        <v>120</v>
      </c>
      <c r="C21" s="38" t="s">
        <v>134</v>
      </c>
      <c r="D21" s="6"/>
      <c r="E21" s="6"/>
    </row>
    <row r="22" spans="1:5" ht="14.75" customHeight="1">
      <c r="A22" s="6"/>
      <c r="B22" s="6"/>
      <c r="C22" s="6"/>
      <c r="D22" s="6"/>
      <c r="E22" s="6"/>
    </row>
    <row r="23" spans="1:5" ht="14.75" customHeight="1">
      <c r="A23" s="6"/>
      <c r="B23" s="6"/>
      <c r="C23" s="6"/>
      <c r="D23" s="6"/>
      <c r="E23" s="6"/>
    </row>
    <row r="24" spans="1:5" ht="14.75" customHeight="1">
      <c r="A24" s="77" t="s">
        <v>146</v>
      </c>
      <c r="B24" s="78"/>
      <c r="C24" s="78"/>
      <c r="D24" s="78"/>
      <c r="E24" s="79"/>
    </row>
    <row r="25" spans="1:5" ht="14.75" customHeight="1">
      <c r="A25" s="80" t="s">
        <v>147</v>
      </c>
      <c r="B25" s="81"/>
      <c r="C25" s="81"/>
      <c r="D25" s="81"/>
      <c r="E25" s="82"/>
    </row>
    <row r="26" spans="1:5" ht="14.75" customHeight="1">
      <c r="A26" s="83" t="s">
        <v>148</v>
      </c>
      <c r="B26" s="84"/>
      <c r="C26" s="84"/>
      <c r="D26" s="84"/>
      <c r="E26" s="85"/>
    </row>
    <row r="27" spans="1:5" ht="14.75" customHeight="1">
      <c r="A27" s="83" t="s">
        <v>149</v>
      </c>
      <c r="B27" s="84"/>
      <c r="C27" s="84"/>
      <c r="D27" s="84"/>
      <c r="E27" s="85"/>
    </row>
    <row r="28" spans="1:5" ht="14.75" customHeight="1">
      <c r="A28" s="74" t="s">
        <v>150</v>
      </c>
      <c r="B28" s="75"/>
      <c r="C28" s="75"/>
      <c r="D28" s="75"/>
      <c r="E28" s="76"/>
    </row>
  </sheetData>
  <mergeCells count="6">
    <mergeCell ref="A28:E28"/>
    <mergeCell ref="A1:E1"/>
    <mergeCell ref="A24:E24"/>
    <mergeCell ref="A25:E25"/>
    <mergeCell ref="A26:E26"/>
    <mergeCell ref="A27:E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workbookViewId="0">
      <selection activeCell="G15" sqref="G15"/>
    </sheetView>
  </sheetViews>
  <sheetFormatPr baseColWidth="10" defaultColWidth="8.6640625" defaultRowHeight="14"/>
  <cols>
    <col min="1" max="1" width="38" customWidth="1"/>
    <col min="2" max="2" width="18" style="3" customWidth="1"/>
    <col min="3" max="3" width="17" style="3" customWidth="1"/>
  </cols>
  <sheetData>
    <row r="1" spans="1:3" ht="18.75" customHeight="1">
      <c r="A1" s="72" t="s">
        <v>151</v>
      </c>
      <c r="B1" s="72"/>
      <c r="C1" s="72"/>
    </row>
    <row r="2" spans="1:3" ht="15.5" customHeight="1">
      <c r="A2" s="61" t="s">
        <v>152</v>
      </c>
      <c r="B2" s="62">
        <f>SUMIFS(Detalle!$F$2:$F$723,Detalle!$A$2:$A$723,"TA")</f>
        <v>35</v>
      </c>
      <c r="C2" s="9"/>
    </row>
    <row r="3" spans="1:3" ht="19" customHeight="1">
      <c r="A3" s="49" t="s">
        <v>30</v>
      </c>
      <c r="B3" s="63" t="s">
        <v>2</v>
      </c>
      <c r="C3" s="49" t="s">
        <v>153</v>
      </c>
    </row>
    <row r="4" spans="1:3" ht="13.5" customHeight="1">
      <c r="A4" s="14" t="s">
        <v>53</v>
      </c>
      <c r="B4" s="64">
        <f>SUMIFS(Detalle!$F$2:$F$723,Detalle!$A$2:$A$723,"TA",Detalle!$E$2:$E$723,A4)</f>
        <v>7</v>
      </c>
      <c r="C4" s="48">
        <f t="shared" ref="C4:C18" si="0">IF($B$2=0,0,B4/$B$2)</f>
        <v>0.2</v>
      </c>
    </row>
    <row r="5" spans="1:3" ht="13.5" customHeight="1">
      <c r="A5" s="65" t="s">
        <v>54</v>
      </c>
      <c r="B5" s="66">
        <f>SUMIFS(Detalle!$F$2:$F$723,Detalle!$A$2:$A$723,"TA",Detalle!$E$2:$E$723,A5)</f>
        <v>6</v>
      </c>
      <c r="C5" s="10">
        <f t="shared" si="0"/>
        <v>0.17142857142857143</v>
      </c>
    </row>
    <row r="6" spans="1:3" ht="13.5" customHeight="1">
      <c r="A6" s="65" t="s">
        <v>58</v>
      </c>
      <c r="B6" s="66">
        <f>SUMIFS(Detalle!$F$2:$F$723,Detalle!$A$2:$A$723,"TA",Detalle!$E$2:$E$723,A6)</f>
        <v>5</v>
      </c>
      <c r="C6" s="10">
        <f t="shared" si="0"/>
        <v>0.14285714285714285</v>
      </c>
    </row>
    <row r="7" spans="1:3" ht="13.5" customHeight="1">
      <c r="A7" s="65" t="s">
        <v>33</v>
      </c>
      <c r="B7" s="66">
        <f>SUMIFS(Detalle!$F$2:$F$723,Detalle!$A$2:$A$723,"TA",Detalle!$E$2:$E$723,A7)</f>
        <v>3</v>
      </c>
      <c r="C7" s="10">
        <f t="shared" si="0"/>
        <v>8.5714285714285715E-2</v>
      </c>
    </row>
    <row r="8" spans="1:3" ht="13.5" customHeight="1">
      <c r="A8" s="65" t="s">
        <v>67</v>
      </c>
      <c r="B8" s="66">
        <f>SUMIFS(Detalle!$F$2:$F$723,Detalle!$A$2:$A$723,"TA",Detalle!$E$2:$E$723,A8)</f>
        <v>2</v>
      </c>
      <c r="C8" s="10">
        <f t="shared" si="0"/>
        <v>5.7142857142857141E-2</v>
      </c>
    </row>
    <row r="9" spans="1:3" ht="13.5" customHeight="1">
      <c r="A9" s="65" t="s">
        <v>38</v>
      </c>
      <c r="B9" s="66">
        <f>SUMIFS(Detalle!$F$2:$F$723,Detalle!$A$2:$A$723,"TA",Detalle!$E$2:$E$723,A9)</f>
        <v>2</v>
      </c>
      <c r="C9" s="10">
        <f t="shared" si="0"/>
        <v>5.7142857142857141E-2</v>
      </c>
    </row>
    <row r="10" spans="1:3" ht="13.5" customHeight="1">
      <c r="A10" s="65" t="s">
        <v>39</v>
      </c>
      <c r="B10" s="66">
        <f>SUMIFS(Detalle!$F$2:$F$723,Detalle!$A$2:$A$723,"TA",Detalle!$E$2:$E$723,A10)</f>
        <v>2</v>
      </c>
      <c r="C10" s="10">
        <f t="shared" si="0"/>
        <v>5.7142857142857141E-2</v>
      </c>
    </row>
    <row r="11" spans="1:3" ht="13.5" customHeight="1">
      <c r="A11" s="65" t="s">
        <v>78</v>
      </c>
      <c r="B11" s="66">
        <f>SUMIFS(Detalle!$F$2:$F$723,Detalle!$A$2:$A$723,"TA",Detalle!$E$2:$E$723,A11)</f>
        <v>1</v>
      </c>
      <c r="C11" s="10">
        <f t="shared" si="0"/>
        <v>2.8571428571428571E-2</v>
      </c>
    </row>
    <row r="12" spans="1:3" ht="13.5" customHeight="1">
      <c r="A12" s="65" t="s">
        <v>42</v>
      </c>
      <c r="B12" s="66">
        <f>SUMIFS(Detalle!$F$2:$F$723,Detalle!$A$2:$A$723,"TA",Detalle!$E$2:$E$723,A12)</f>
        <v>1</v>
      </c>
      <c r="C12" s="10">
        <f t="shared" si="0"/>
        <v>2.8571428571428571E-2</v>
      </c>
    </row>
    <row r="13" spans="1:3" ht="13.5" customHeight="1">
      <c r="A13" s="65" t="s">
        <v>37</v>
      </c>
      <c r="B13" s="66">
        <f>SUMIFS(Detalle!$F$2:$F$723,Detalle!$A$2:$A$723,"TA",Detalle!$E$2:$E$723,A13)</f>
        <v>1</v>
      </c>
      <c r="C13" s="10">
        <f t="shared" si="0"/>
        <v>2.8571428571428571E-2</v>
      </c>
    </row>
    <row r="14" spans="1:3" ht="13.5" customHeight="1">
      <c r="A14" s="65" t="s">
        <v>45</v>
      </c>
      <c r="B14" s="66">
        <f>SUMIFS(Detalle!$F$2:$F$723,Detalle!$A$2:$A$723,"TA",Detalle!$E$2:$E$723,A14)</f>
        <v>1</v>
      </c>
      <c r="C14" s="10">
        <f t="shared" si="0"/>
        <v>2.8571428571428571E-2</v>
      </c>
    </row>
    <row r="15" spans="1:3" ht="13.5" customHeight="1">
      <c r="A15" s="65" t="s">
        <v>41</v>
      </c>
      <c r="B15" s="66">
        <f>SUMIFS(Detalle!$F$2:$F$723,Detalle!$A$2:$A$723,"TA",Detalle!$E$2:$E$723,A15)</f>
        <v>1</v>
      </c>
      <c r="C15" s="10">
        <f t="shared" si="0"/>
        <v>2.8571428571428571E-2</v>
      </c>
    </row>
    <row r="16" spans="1:3" ht="13.5" customHeight="1">
      <c r="A16" s="65" t="s">
        <v>50</v>
      </c>
      <c r="B16" s="66">
        <f>SUMIFS(Detalle!$F$2:$F$723,Detalle!$A$2:$A$723,"TA",Detalle!$E$2:$E$723,A16)</f>
        <v>1</v>
      </c>
      <c r="C16" s="10">
        <f t="shared" si="0"/>
        <v>2.8571428571428571E-2</v>
      </c>
    </row>
    <row r="17" spans="1:3" ht="13.5" customHeight="1">
      <c r="A17" s="65" t="s">
        <v>46</v>
      </c>
      <c r="B17" s="66">
        <f>SUMIFS(Detalle!$F$2:$F$723,Detalle!$A$2:$A$723,"TA",Detalle!$E$2:$E$723,A17)</f>
        <v>1</v>
      </c>
      <c r="C17" s="10">
        <f t="shared" si="0"/>
        <v>2.8571428571428571E-2</v>
      </c>
    </row>
    <row r="18" spans="1:3" ht="13.5" customHeight="1">
      <c r="A18" s="65" t="s">
        <v>48</v>
      </c>
      <c r="B18" s="66">
        <f>SUMIFS(Detalle!$F$2:$F$723,Detalle!$A$2:$A$723,"TA",Detalle!$E$2:$E$723,A18)</f>
        <v>1</v>
      </c>
      <c r="C18" s="10">
        <f t="shared" si="0"/>
        <v>2.8571428571428571E-2</v>
      </c>
    </row>
    <row r="19" spans="1:3" ht="13.5" customHeight="1">
      <c r="A19" s="67" t="s">
        <v>28</v>
      </c>
      <c r="B19" s="68">
        <f>SUM(B4:B18)</f>
        <v>35</v>
      </c>
      <c r="C19" s="69">
        <f>SUM(C4:C18)</f>
        <v>1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1"/>
  <sheetViews>
    <sheetView workbookViewId="0">
      <selection sqref="A1:C21"/>
    </sheetView>
  </sheetViews>
  <sheetFormatPr baseColWidth="10" defaultColWidth="8.6640625" defaultRowHeight="14"/>
  <cols>
    <col min="1" max="1" width="38" customWidth="1"/>
    <col min="2" max="2" width="18" customWidth="1"/>
    <col min="3" max="3" width="17" customWidth="1"/>
  </cols>
  <sheetData>
    <row r="1" spans="1:3" ht="18.75" customHeight="1">
      <c r="A1" s="72" t="s">
        <v>154</v>
      </c>
      <c r="B1" s="72"/>
      <c r="C1" s="72"/>
    </row>
    <row r="2" spans="1:3" ht="15.5" customHeight="1">
      <c r="A2" s="61" t="s">
        <v>152</v>
      </c>
      <c r="B2" s="62">
        <f>SUMIFS(Detalle!$F$2:$F$723,Detalle!$A$2:$A$723,"1A")</f>
        <v>35</v>
      </c>
      <c r="C2" s="7"/>
    </row>
    <row r="3" spans="1:3" ht="5.5" customHeight="1">
      <c r="A3" s="70"/>
      <c r="B3" s="71"/>
      <c r="C3" s="70"/>
    </row>
    <row r="4" spans="1:3" ht="13.5" customHeight="1">
      <c r="A4" s="14" t="s">
        <v>30</v>
      </c>
      <c r="B4" s="64" t="s">
        <v>2</v>
      </c>
      <c r="C4" s="14" t="s">
        <v>153</v>
      </c>
    </row>
    <row r="5" spans="1:3" ht="13.5" customHeight="1">
      <c r="A5" s="65" t="s">
        <v>34</v>
      </c>
      <c r="B5" s="66">
        <f>SUMIFS(Detalle!$F$2:$F$723,Detalle!$A$2:$A$723,"1A",Detalle!$E$2:$E$723,A5)</f>
        <v>5</v>
      </c>
      <c r="C5" s="10">
        <f t="shared" ref="C5:C20" si="0">IF($B$2=0,0,B5/$B$2)</f>
        <v>0.14285714285714285</v>
      </c>
    </row>
    <row r="6" spans="1:3" ht="13.5" customHeight="1">
      <c r="A6" s="65" t="s">
        <v>35</v>
      </c>
      <c r="B6" s="66">
        <f>SUMIFS(Detalle!$F$2:$F$723,Detalle!$A$2:$A$723,"1A",Detalle!$E$2:$E$723,A6)</f>
        <v>4</v>
      </c>
      <c r="C6" s="10">
        <f t="shared" si="0"/>
        <v>0.11428571428571428</v>
      </c>
    </row>
    <row r="7" spans="1:3" ht="13.5" customHeight="1">
      <c r="A7" s="65" t="s">
        <v>40</v>
      </c>
      <c r="B7" s="66">
        <f>SUMIFS(Detalle!$F$2:$F$723,Detalle!$A$2:$A$723,"1A",Detalle!$E$2:$E$723,A7)</f>
        <v>4</v>
      </c>
      <c r="C7" s="10">
        <f t="shared" si="0"/>
        <v>0.11428571428571428</v>
      </c>
    </row>
    <row r="8" spans="1:3" ht="13.5" customHeight="1">
      <c r="A8" s="65" t="s">
        <v>33</v>
      </c>
      <c r="B8" s="66">
        <f>SUMIFS(Detalle!$F$2:$F$723,Detalle!$A$2:$A$723,"1A",Detalle!$E$2:$E$723,A8)</f>
        <v>4</v>
      </c>
      <c r="C8" s="10">
        <f t="shared" si="0"/>
        <v>0.11428571428571428</v>
      </c>
    </row>
    <row r="9" spans="1:3" ht="13.5" customHeight="1">
      <c r="A9" s="65" t="s">
        <v>36</v>
      </c>
      <c r="B9" s="66">
        <f>SUMIFS(Detalle!$F$2:$F$723,Detalle!$A$2:$A$723,"1A",Detalle!$E$2:$E$723,A9)</f>
        <v>4</v>
      </c>
      <c r="C9" s="10">
        <f t="shared" si="0"/>
        <v>0.11428571428571428</v>
      </c>
    </row>
    <row r="10" spans="1:3" ht="13.5" customHeight="1">
      <c r="A10" s="65" t="s">
        <v>37</v>
      </c>
      <c r="B10" s="66">
        <f>SUMIFS(Detalle!$F$2:$F$723,Detalle!$A$2:$A$723,"1A",Detalle!$E$2:$E$723,A10)</f>
        <v>2</v>
      </c>
      <c r="C10" s="10">
        <f t="shared" si="0"/>
        <v>5.7142857142857141E-2</v>
      </c>
    </row>
    <row r="11" spans="1:3" ht="13.5" customHeight="1">
      <c r="A11" s="65" t="s">
        <v>38</v>
      </c>
      <c r="B11" s="66">
        <f>SUMIFS(Detalle!$F$2:$F$723,Detalle!$A$2:$A$723,"1A",Detalle!$E$2:$E$723,A11)</f>
        <v>2</v>
      </c>
      <c r="C11" s="10">
        <f t="shared" si="0"/>
        <v>5.7142857142857141E-2</v>
      </c>
    </row>
    <row r="12" spans="1:3" ht="13.5" customHeight="1">
      <c r="A12" s="65" t="s">
        <v>39</v>
      </c>
      <c r="B12" s="66">
        <f>SUMIFS(Detalle!$F$2:$F$723,Detalle!$A$2:$A$723,"1A",Detalle!$E$2:$E$723,A12)</f>
        <v>2</v>
      </c>
      <c r="C12" s="10">
        <f t="shared" si="0"/>
        <v>5.7142857142857141E-2</v>
      </c>
    </row>
    <row r="13" spans="1:3" ht="13.5" customHeight="1">
      <c r="A13" s="65" t="s">
        <v>49</v>
      </c>
      <c r="B13" s="66">
        <f>SUMIFS(Detalle!$F$2:$F$723,Detalle!$A$2:$A$723,"1A",Detalle!$E$2:$E$723,A13)</f>
        <v>1</v>
      </c>
      <c r="C13" s="10">
        <f t="shared" si="0"/>
        <v>2.8571428571428571E-2</v>
      </c>
    </row>
    <row r="14" spans="1:3" ht="13.5" customHeight="1">
      <c r="A14" s="65" t="s">
        <v>42</v>
      </c>
      <c r="B14" s="66">
        <f>SUMIFS(Detalle!$F$2:$F$723,Detalle!$A$2:$A$723,"1A",Detalle!$E$2:$E$723,A14)</f>
        <v>1</v>
      </c>
      <c r="C14" s="10">
        <f t="shared" si="0"/>
        <v>2.8571428571428571E-2</v>
      </c>
    </row>
    <row r="15" spans="1:3" ht="13.5" customHeight="1">
      <c r="A15" s="65" t="s">
        <v>45</v>
      </c>
      <c r="B15" s="66">
        <f>SUMIFS(Detalle!$F$2:$F$723,Detalle!$A$2:$A$723,"1A",Detalle!$E$2:$E$723,A15)</f>
        <v>1</v>
      </c>
      <c r="C15" s="10">
        <f t="shared" si="0"/>
        <v>2.8571428571428571E-2</v>
      </c>
    </row>
    <row r="16" spans="1:3" ht="13.5" customHeight="1">
      <c r="A16" s="65" t="s">
        <v>41</v>
      </c>
      <c r="B16" s="66">
        <f>SUMIFS(Detalle!$F$2:$F$723,Detalle!$A$2:$A$723,"1A",Detalle!$E$2:$E$723,A16)</f>
        <v>1</v>
      </c>
      <c r="C16" s="10">
        <f t="shared" si="0"/>
        <v>2.8571428571428571E-2</v>
      </c>
    </row>
    <row r="17" spans="1:3" ht="13.5" customHeight="1">
      <c r="A17" s="65" t="s">
        <v>50</v>
      </c>
      <c r="B17" s="66">
        <f>SUMIFS(Detalle!$F$2:$F$723,Detalle!$A$2:$A$723,"1A",Detalle!$E$2:$E$723,A17)</f>
        <v>1</v>
      </c>
      <c r="C17" s="10">
        <f t="shared" si="0"/>
        <v>2.8571428571428571E-2</v>
      </c>
    </row>
    <row r="18" spans="1:3" ht="13.5" customHeight="1">
      <c r="A18" s="65" t="s">
        <v>46</v>
      </c>
      <c r="B18" s="66">
        <f>SUMIFS(Detalle!$F$2:$F$723,Detalle!$A$2:$A$723,"1A",Detalle!$E$2:$E$723,A18)</f>
        <v>1</v>
      </c>
      <c r="C18" s="10">
        <f t="shared" si="0"/>
        <v>2.8571428571428571E-2</v>
      </c>
    </row>
    <row r="19" spans="1:3" ht="13.5" customHeight="1">
      <c r="A19" s="65" t="s">
        <v>48</v>
      </c>
      <c r="B19" s="66">
        <f>SUMIFS(Detalle!$F$2:$F$723,Detalle!$A$2:$A$723,"1A",Detalle!$E$2:$E$723,A19)</f>
        <v>1</v>
      </c>
      <c r="C19" s="10">
        <f t="shared" si="0"/>
        <v>2.8571428571428571E-2</v>
      </c>
    </row>
    <row r="20" spans="1:3" ht="13.5" customHeight="1">
      <c r="A20" s="65" t="s">
        <v>47</v>
      </c>
      <c r="B20" s="66">
        <f>SUMIFS(Detalle!$F$2:$F$723,Detalle!$A$2:$A$723,"1A",Detalle!$E$2:$E$723,A20)</f>
        <v>1</v>
      </c>
      <c r="C20" s="10">
        <f t="shared" si="0"/>
        <v>2.8571428571428571E-2</v>
      </c>
    </row>
    <row r="21" spans="1:3" ht="13.5" customHeight="1">
      <c r="A21" s="67" t="s">
        <v>28</v>
      </c>
      <c r="B21" s="68">
        <f>SUM(B5:B20)</f>
        <v>35</v>
      </c>
      <c r="C21" s="69">
        <f>SUM(C5:C20)</f>
        <v>1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1"/>
  <sheetViews>
    <sheetView workbookViewId="0">
      <selection sqref="A1:C21"/>
    </sheetView>
  </sheetViews>
  <sheetFormatPr baseColWidth="10" defaultColWidth="8.6640625" defaultRowHeight="14"/>
  <cols>
    <col min="1" max="1" width="38" customWidth="1"/>
    <col min="2" max="2" width="18" customWidth="1"/>
    <col min="3" max="3" width="17" customWidth="1"/>
  </cols>
  <sheetData>
    <row r="1" spans="1:3" ht="18.75" customHeight="1">
      <c r="A1" s="72" t="s">
        <v>155</v>
      </c>
      <c r="B1" s="72"/>
      <c r="C1" s="72"/>
    </row>
    <row r="2" spans="1:3" ht="15.5" customHeight="1">
      <c r="A2" s="61" t="s">
        <v>152</v>
      </c>
      <c r="B2" s="62">
        <f>SUMIFS(Detalle!$F$2:$F$723,Detalle!$A$2:$A$723,"1B")</f>
        <v>35</v>
      </c>
      <c r="C2" s="7"/>
    </row>
    <row r="3" spans="1:3" ht="5.5" customHeight="1">
      <c r="A3" s="70"/>
      <c r="B3" s="71"/>
      <c r="C3" s="70"/>
    </row>
    <row r="4" spans="1:3" ht="13.5" customHeight="1">
      <c r="A4" s="14" t="s">
        <v>30</v>
      </c>
      <c r="B4" s="64" t="s">
        <v>2</v>
      </c>
      <c r="C4" s="14" t="s">
        <v>153</v>
      </c>
    </row>
    <row r="5" spans="1:3" ht="13.5" customHeight="1">
      <c r="A5" s="65" t="s">
        <v>34</v>
      </c>
      <c r="B5" s="66">
        <f>SUMIFS(Detalle!$F$2:$F$723,Detalle!$A$2:$A$723,"1B",Detalle!$E$2:$E$723,A5)</f>
        <v>5</v>
      </c>
      <c r="C5" s="10">
        <f t="shared" ref="C5:C20" si="0">IF($B$2=0,0,B5/$B$2)</f>
        <v>0.14285714285714285</v>
      </c>
    </row>
    <row r="6" spans="1:3" ht="13.5" customHeight="1">
      <c r="A6" s="65" t="s">
        <v>35</v>
      </c>
      <c r="B6" s="66">
        <f>SUMIFS(Detalle!$F$2:$F$723,Detalle!$A$2:$A$723,"1B",Detalle!$E$2:$E$723,A6)</f>
        <v>4</v>
      </c>
      <c r="C6" s="10">
        <f t="shared" si="0"/>
        <v>0.11428571428571428</v>
      </c>
    </row>
    <row r="7" spans="1:3" ht="13.5" customHeight="1">
      <c r="A7" s="65" t="s">
        <v>40</v>
      </c>
      <c r="B7" s="66">
        <f>SUMIFS(Detalle!$F$2:$F$723,Detalle!$A$2:$A$723,"1B",Detalle!$E$2:$E$723,A7)</f>
        <v>4</v>
      </c>
      <c r="C7" s="10">
        <f t="shared" si="0"/>
        <v>0.11428571428571428</v>
      </c>
    </row>
    <row r="8" spans="1:3" ht="13.5" customHeight="1">
      <c r="A8" s="65" t="s">
        <v>33</v>
      </c>
      <c r="B8" s="66">
        <f>SUMIFS(Detalle!$F$2:$F$723,Detalle!$A$2:$A$723,"1B",Detalle!$E$2:$E$723,A8)</f>
        <v>4</v>
      </c>
      <c r="C8" s="10">
        <f t="shared" si="0"/>
        <v>0.11428571428571428</v>
      </c>
    </row>
    <row r="9" spans="1:3" ht="13.5" customHeight="1">
      <c r="A9" s="65" t="s">
        <v>36</v>
      </c>
      <c r="B9" s="66">
        <f>SUMIFS(Detalle!$F$2:$F$723,Detalle!$A$2:$A$723,"1B",Detalle!$E$2:$E$723,A9)</f>
        <v>4</v>
      </c>
      <c r="C9" s="10">
        <f t="shared" si="0"/>
        <v>0.11428571428571428</v>
      </c>
    </row>
    <row r="10" spans="1:3" ht="13.5" customHeight="1">
      <c r="A10" s="65" t="s">
        <v>37</v>
      </c>
      <c r="B10" s="66">
        <f>SUMIFS(Detalle!$F$2:$F$723,Detalle!$A$2:$A$723,"1B",Detalle!$E$2:$E$723,A10)</f>
        <v>2</v>
      </c>
      <c r="C10" s="10">
        <f t="shared" si="0"/>
        <v>5.7142857142857141E-2</v>
      </c>
    </row>
    <row r="11" spans="1:3" ht="13.5" customHeight="1">
      <c r="A11" s="65" t="s">
        <v>38</v>
      </c>
      <c r="B11" s="66">
        <f>SUMIFS(Detalle!$F$2:$F$723,Detalle!$A$2:$A$723,"1B",Detalle!$E$2:$E$723,A11)</f>
        <v>2</v>
      </c>
      <c r="C11" s="10">
        <f t="shared" si="0"/>
        <v>5.7142857142857141E-2</v>
      </c>
    </row>
    <row r="12" spans="1:3" ht="13.5" customHeight="1">
      <c r="A12" s="65" t="s">
        <v>39</v>
      </c>
      <c r="B12" s="66">
        <f>SUMIFS(Detalle!$F$2:$F$723,Detalle!$A$2:$A$723,"1B",Detalle!$E$2:$E$723,A12)</f>
        <v>2</v>
      </c>
      <c r="C12" s="10">
        <f t="shared" si="0"/>
        <v>5.7142857142857141E-2</v>
      </c>
    </row>
    <row r="13" spans="1:3" ht="13.5" customHeight="1">
      <c r="A13" s="65" t="s">
        <v>49</v>
      </c>
      <c r="B13" s="66">
        <f>SUMIFS(Detalle!$F$2:$F$723,Detalle!$A$2:$A$723,"1B",Detalle!$E$2:$E$723,A13)</f>
        <v>1</v>
      </c>
      <c r="C13" s="10">
        <f t="shared" si="0"/>
        <v>2.8571428571428571E-2</v>
      </c>
    </row>
    <row r="14" spans="1:3" ht="13.5" customHeight="1">
      <c r="A14" s="65" t="s">
        <v>42</v>
      </c>
      <c r="B14" s="66">
        <f>SUMIFS(Detalle!$F$2:$F$723,Detalle!$A$2:$A$723,"1B",Detalle!$E$2:$E$723,A14)</f>
        <v>1</v>
      </c>
      <c r="C14" s="10">
        <f t="shared" si="0"/>
        <v>2.8571428571428571E-2</v>
      </c>
    </row>
    <row r="15" spans="1:3" ht="13.5" customHeight="1">
      <c r="A15" s="65" t="s">
        <v>45</v>
      </c>
      <c r="B15" s="66">
        <f>SUMIFS(Detalle!$F$2:$F$723,Detalle!$A$2:$A$723,"1B",Detalle!$E$2:$E$723,A15)</f>
        <v>1</v>
      </c>
      <c r="C15" s="10">
        <f t="shared" si="0"/>
        <v>2.8571428571428571E-2</v>
      </c>
    </row>
    <row r="16" spans="1:3" ht="13.5" customHeight="1">
      <c r="A16" s="65" t="s">
        <v>41</v>
      </c>
      <c r="B16" s="66">
        <f>SUMIFS(Detalle!$F$2:$F$723,Detalle!$A$2:$A$723,"1B",Detalle!$E$2:$E$723,A16)</f>
        <v>1</v>
      </c>
      <c r="C16" s="10">
        <f t="shared" si="0"/>
        <v>2.8571428571428571E-2</v>
      </c>
    </row>
    <row r="17" spans="1:3" ht="13.5" customHeight="1">
      <c r="A17" s="65" t="s">
        <v>50</v>
      </c>
      <c r="B17" s="66">
        <f>SUMIFS(Detalle!$F$2:$F$723,Detalle!$A$2:$A$723,"1B",Detalle!$E$2:$E$723,A17)</f>
        <v>1</v>
      </c>
      <c r="C17" s="10">
        <f t="shared" si="0"/>
        <v>2.8571428571428571E-2</v>
      </c>
    </row>
    <row r="18" spans="1:3" ht="13.5" customHeight="1">
      <c r="A18" s="65" t="s">
        <v>46</v>
      </c>
      <c r="B18" s="66">
        <f>SUMIFS(Detalle!$F$2:$F$723,Detalle!$A$2:$A$723,"1B",Detalle!$E$2:$E$723,A18)</f>
        <v>1</v>
      </c>
      <c r="C18" s="10">
        <f t="shared" si="0"/>
        <v>2.8571428571428571E-2</v>
      </c>
    </row>
    <row r="19" spans="1:3" ht="13.5" customHeight="1">
      <c r="A19" s="65" t="s">
        <v>48</v>
      </c>
      <c r="B19" s="66">
        <f>SUMIFS(Detalle!$F$2:$F$723,Detalle!$A$2:$A$723,"1B",Detalle!$E$2:$E$723,A19)</f>
        <v>1</v>
      </c>
      <c r="C19" s="10">
        <f t="shared" si="0"/>
        <v>2.8571428571428571E-2</v>
      </c>
    </row>
    <row r="20" spans="1:3" ht="13.5" customHeight="1">
      <c r="A20" s="65" t="s">
        <v>47</v>
      </c>
      <c r="B20" s="66">
        <f>SUMIFS(Detalle!$F$2:$F$723,Detalle!$A$2:$A$723,"1B",Detalle!$E$2:$E$723,A20)</f>
        <v>1</v>
      </c>
      <c r="C20" s="10">
        <f t="shared" si="0"/>
        <v>2.8571428571428571E-2</v>
      </c>
    </row>
    <row r="21" spans="1:3" ht="13.5" customHeight="1">
      <c r="A21" s="67" t="s">
        <v>28</v>
      </c>
      <c r="B21" s="68">
        <f>SUM(B5:B20)</f>
        <v>35</v>
      </c>
      <c r="C21" s="69">
        <f>SUM(C5:C20)</f>
        <v>1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1"/>
  <sheetViews>
    <sheetView workbookViewId="0">
      <selection sqref="A1:C21"/>
    </sheetView>
  </sheetViews>
  <sheetFormatPr baseColWidth="10" defaultColWidth="8.6640625" defaultRowHeight="14"/>
  <cols>
    <col min="1" max="1" width="38" customWidth="1"/>
    <col min="2" max="2" width="18" customWidth="1"/>
    <col min="3" max="3" width="17" customWidth="1"/>
  </cols>
  <sheetData>
    <row r="1" spans="1:3" ht="18.75" customHeight="1">
      <c r="A1" s="72" t="s">
        <v>156</v>
      </c>
      <c r="B1" s="72"/>
      <c r="C1" s="72"/>
    </row>
    <row r="2" spans="1:3" ht="15.5" customHeight="1">
      <c r="A2" s="61" t="s">
        <v>152</v>
      </c>
      <c r="B2" s="62">
        <f>SUMIFS(Detalle!$F$2:$F$723,Detalle!$A$2:$A$723,"2A")</f>
        <v>35</v>
      </c>
      <c r="C2" s="7"/>
    </row>
    <row r="3" spans="1:3" ht="5.5" customHeight="1">
      <c r="A3" s="70"/>
      <c r="B3" s="71"/>
      <c r="C3" s="70"/>
    </row>
    <row r="4" spans="1:3" ht="13.5" customHeight="1">
      <c r="A4" s="14" t="s">
        <v>30</v>
      </c>
      <c r="B4" s="64" t="s">
        <v>2</v>
      </c>
      <c r="C4" s="14" t="s">
        <v>153</v>
      </c>
    </row>
    <row r="5" spans="1:3" ht="13.5" customHeight="1">
      <c r="A5" s="65" t="s">
        <v>34</v>
      </c>
      <c r="B5" s="66">
        <f>SUMIFS(Detalle!$F$2:$F$723,Detalle!$A$2:$A$723,"2A",Detalle!$E$2:$E$723,A5)</f>
        <v>5</v>
      </c>
      <c r="C5" s="10">
        <f t="shared" ref="C5:C20" si="0">IF($B$2=0,0,B5/$B$2)</f>
        <v>0.14285714285714285</v>
      </c>
    </row>
    <row r="6" spans="1:3" ht="13.5" customHeight="1">
      <c r="A6" s="65" t="s">
        <v>35</v>
      </c>
      <c r="B6" s="66">
        <f>SUMIFS(Detalle!$F$2:$F$723,Detalle!$A$2:$A$723,"2A",Detalle!$E$2:$E$723,A6)</f>
        <v>4</v>
      </c>
      <c r="C6" s="10">
        <f t="shared" si="0"/>
        <v>0.11428571428571428</v>
      </c>
    </row>
    <row r="7" spans="1:3" ht="13.5" customHeight="1">
      <c r="A7" s="65" t="s">
        <v>40</v>
      </c>
      <c r="B7" s="66">
        <f>SUMIFS(Detalle!$F$2:$F$723,Detalle!$A$2:$A$723,"2A",Detalle!$E$2:$E$723,A7)</f>
        <v>4</v>
      </c>
      <c r="C7" s="10">
        <f t="shared" si="0"/>
        <v>0.11428571428571428</v>
      </c>
    </row>
    <row r="8" spans="1:3" ht="13.5" customHeight="1">
      <c r="A8" s="65" t="s">
        <v>33</v>
      </c>
      <c r="B8" s="66">
        <f>SUMIFS(Detalle!$F$2:$F$723,Detalle!$A$2:$A$723,"2A",Detalle!$E$2:$E$723,A8)</f>
        <v>4</v>
      </c>
      <c r="C8" s="10">
        <f t="shared" si="0"/>
        <v>0.11428571428571428</v>
      </c>
    </row>
    <row r="9" spans="1:3" ht="13.5" customHeight="1">
      <c r="A9" s="65" t="s">
        <v>36</v>
      </c>
      <c r="B9" s="66">
        <f>SUMIFS(Detalle!$F$2:$F$723,Detalle!$A$2:$A$723,"2A",Detalle!$E$2:$E$723,A9)</f>
        <v>4</v>
      </c>
      <c r="C9" s="10">
        <f t="shared" si="0"/>
        <v>0.11428571428571428</v>
      </c>
    </row>
    <row r="10" spans="1:3" ht="13.5" customHeight="1">
      <c r="A10" s="65" t="s">
        <v>37</v>
      </c>
      <c r="B10" s="66">
        <f>SUMIFS(Detalle!$F$2:$F$723,Detalle!$A$2:$A$723,"2A",Detalle!$E$2:$E$723,A10)</f>
        <v>2</v>
      </c>
      <c r="C10" s="10">
        <f t="shared" si="0"/>
        <v>5.7142857142857141E-2</v>
      </c>
    </row>
    <row r="11" spans="1:3" ht="13.5" customHeight="1">
      <c r="A11" s="65" t="s">
        <v>38</v>
      </c>
      <c r="B11" s="66">
        <f>SUMIFS(Detalle!$F$2:$F$723,Detalle!$A$2:$A$723,"2A",Detalle!$E$2:$E$723,A11)</f>
        <v>2</v>
      </c>
      <c r="C11" s="10">
        <f t="shared" si="0"/>
        <v>5.7142857142857141E-2</v>
      </c>
    </row>
    <row r="12" spans="1:3" ht="13.5" customHeight="1">
      <c r="A12" s="65" t="s">
        <v>39</v>
      </c>
      <c r="B12" s="66">
        <f>SUMIFS(Detalle!$F$2:$F$723,Detalle!$A$2:$A$723,"2A",Detalle!$E$2:$E$723,A12)</f>
        <v>2</v>
      </c>
      <c r="C12" s="10">
        <f t="shared" si="0"/>
        <v>5.7142857142857141E-2</v>
      </c>
    </row>
    <row r="13" spans="1:3" ht="13.5" customHeight="1">
      <c r="A13" s="65" t="s">
        <v>49</v>
      </c>
      <c r="B13" s="66">
        <f>SUMIFS(Detalle!$F$2:$F$723,Detalle!$A$2:$A$723,"2A",Detalle!$E$2:$E$723,A13)</f>
        <v>1</v>
      </c>
      <c r="C13" s="10">
        <f t="shared" si="0"/>
        <v>2.8571428571428571E-2</v>
      </c>
    </row>
    <row r="14" spans="1:3" ht="13.5" customHeight="1">
      <c r="A14" s="65" t="s">
        <v>42</v>
      </c>
      <c r="B14" s="66">
        <f>SUMIFS(Detalle!$F$2:$F$723,Detalle!$A$2:$A$723,"2A",Detalle!$E$2:$E$723,A14)</f>
        <v>1</v>
      </c>
      <c r="C14" s="10">
        <f t="shared" si="0"/>
        <v>2.8571428571428571E-2</v>
      </c>
    </row>
    <row r="15" spans="1:3" ht="13.5" customHeight="1">
      <c r="A15" s="65" t="s">
        <v>45</v>
      </c>
      <c r="B15" s="66">
        <f>SUMIFS(Detalle!$F$2:$F$723,Detalle!$A$2:$A$723,"2A",Detalle!$E$2:$E$723,A15)</f>
        <v>1</v>
      </c>
      <c r="C15" s="10">
        <f t="shared" si="0"/>
        <v>2.8571428571428571E-2</v>
      </c>
    </row>
    <row r="16" spans="1:3" ht="13.5" customHeight="1">
      <c r="A16" s="65" t="s">
        <v>41</v>
      </c>
      <c r="B16" s="66">
        <f>SUMIFS(Detalle!$F$2:$F$723,Detalle!$A$2:$A$723,"2A",Detalle!$E$2:$E$723,A16)</f>
        <v>1</v>
      </c>
      <c r="C16" s="10">
        <f t="shared" si="0"/>
        <v>2.8571428571428571E-2</v>
      </c>
    </row>
    <row r="17" spans="1:3" ht="13.5" customHeight="1">
      <c r="A17" s="65" t="s">
        <v>50</v>
      </c>
      <c r="B17" s="66">
        <f>SUMIFS(Detalle!$F$2:$F$723,Detalle!$A$2:$A$723,"2A",Detalle!$E$2:$E$723,A17)</f>
        <v>1</v>
      </c>
      <c r="C17" s="10">
        <f t="shared" si="0"/>
        <v>2.8571428571428571E-2</v>
      </c>
    </row>
    <row r="18" spans="1:3" ht="13.5" customHeight="1">
      <c r="A18" s="65" t="s">
        <v>46</v>
      </c>
      <c r="B18" s="66">
        <f>SUMIFS(Detalle!$F$2:$F$723,Detalle!$A$2:$A$723,"2A",Detalle!$E$2:$E$723,A18)</f>
        <v>1</v>
      </c>
      <c r="C18" s="10">
        <f t="shared" si="0"/>
        <v>2.8571428571428571E-2</v>
      </c>
    </row>
    <row r="19" spans="1:3" ht="13.5" customHeight="1">
      <c r="A19" s="65" t="s">
        <v>48</v>
      </c>
      <c r="B19" s="66">
        <f>SUMIFS(Detalle!$F$2:$F$723,Detalle!$A$2:$A$723,"2A",Detalle!$E$2:$E$723,A19)</f>
        <v>1</v>
      </c>
      <c r="C19" s="10">
        <f t="shared" si="0"/>
        <v>2.8571428571428571E-2</v>
      </c>
    </row>
    <row r="20" spans="1:3" ht="13.5" customHeight="1">
      <c r="A20" s="65" t="s">
        <v>47</v>
      </c>
      <c r="B20" s="66">
        <f>SUMIFS(Detalle!$F$2:$F$723,Detalle!$A$2:$A$723,"2A",Detalle!$E$2:$E$723,A20)</f>
        <v>1</v>
      </c>
      <c r="C20" s="10">
        <f t="shared" si="0"/>
        <v>2.8571428571428571E-2</v>
      </c>
    </row>
    <row r="21" spans="1:3" ht="13.5" customHeight="1">
      <c r="A21" s="67" t="s">
        <v>28</v>
      </c>
      <c r="B21" s="68">
        <f>SUM(B5:B20)</f>
        <v>35</v>
      </c>
      <c r="C21" s="69">
        <f>SUM(C5:C20)</f>
        <v>1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0"/>
  <sheetViews>
    <sheetView workbookViewId="0">
      <selection sqref="A1:C20"/>
    </sheetView>
  </sheetViews>
  <sheetFormatPr baseColWidth="10" defaultColWidth="8.6640625" defaultRowHeight="14"/>
  <cols>
    <col min="1" max="1" width="38" customWidth="1"/>
    <col min="2" max="2" width="18" customWidth="1"/>
    <col min="3" max="3" width="17" customWidth="1"/>
  </cols>
  <sheetData>
    <row r="1" spans="1:3" ht="18.75" customHeight="1">
      <c r="A1" s="72" t="s">
        <v>157</v>
      </c>
      <c r="B1" s="72"/>
      <c r="C1" s="72"/>
    </row>
    <row r="2" spans="1:3" ht="15.5" customHeight="1">
      <c r="A2" s="61" t="s">
        <v>152</v>
      </c>
      <c r="B2" s="62">
        <f>SUMIFS(Detalle!$F$2:$F$723,Detalle!$A$2:$A$723,"2B")</f>
        <v>35</v>
      </c>
      <c r="C2" s="7"/>
    </row>
    <row r="3" spans="1:3" ht="5.5" customHeight="1">
      <c r="A3" s="70"/>
      <c r="B3" s="71"/>
      <c r="C3" s="70"/>
    </row>
    <row r="4" spans="1:3" ht="13.5" customHeight="1">
      <c r="A4" s="14" t="s">
        <v>30</v>
      </c>
      <c r="B4" s="64" t="s">
        <v>2</v>
      </c>
      <c r="C4" s="14" t="s">
        <v>153</v>
      </c>
    </row>
    <row r="5" spans="1:3" ht="13.5" customHeight="1">
      <c r="A5" s="65" t="s">
        <v>34</v>
      </c>
      <c r="B5" s="66">
        <f>SUMIFS(Detalle!$F$2:$F$723,Detalle!$A$2:$A$723,"2B",Detalle!$E$2:$E$723,A5)</f>
        <v>5</v>
      </c>
      <c r="C5" s="10">
        <f t="shared" ref="C5:C19" si="0">IF($B$2=0,0,B5/$B$2)</f>
        <v>0.14285714285714285</v>
      </c>
    </row>
    <row r="6" spans="1:3" ht="13.5" customHeight="1">
      <c r="A6" s="65" t="s">
        <v>35</v>
      </c>
      <c r="B6" s="66">
        <f>SUMIFS(Detalle!$F$2:$F$723,Detalle!$A$2:$A$723,"2B",Detalle!$E$2:$E$723,A6)</f>
        <v>4</v>
      </c>
      <c r="C6" s="10">
        <f t="shared" si="0"/>
        <v>0.11428571428571428</v>
      </c>
    </row>
    <row r="7" spans="1:3" ht="13.5" customHeight="1">
      <c r="A7" s="65" t="s">
        <v>40</v>
      </c>
      <c r="B7" s="66">
        <f>SUMIFS(Detalle!$F$2:$F$723,Detalle!$A$2:$A$723,"2B",Detalle!$E$2:$E$723,A7)</f>
        <v>4</v>
      </c>
      <c r="C7" s="10">
        <f t="shared" si="0"/>
        <v>0.11428571428571428</v>
      </c>
    </row>
    <row r="8" spans="1:3" ht="13.5" customHeight="1">
      <c r="A8" s="65" t="s">
        <v>33</v>
      </c>
      <c r="B8" s="66">
        <f>SUMIFS(Detalle!$F$2:$F$723,Detalle!$A$2:$A$723,"2B",Detalle!$E$2:$E$723,A8)</f>
        <v>4</v>
      </c>
      <c r="C8" s="10">
        <f t="shared" si="0"/>
        <v>0.11428571428571428</v>
      </c>
    </row>
    <row r="9" spans="1:3" ht="13.5" customHeight="1">
      <c r="A9" s="65" t="s">
        <v>36</v>
      </c>
      <c r="B9" s="66">
        <f>SUMIFS(Detalle!$F$2:$F$723,Detalle!$A$2:$A$723,"2B",Detalle!$E$2:$E$723,A9)</f>
        <v>4</v>
      </c>
      <c r="C9" s="10">
        <f t="shared" si="0"/>
        <v>0.11428571428571428</v>
      </c>
    </row>
    <row r="10" spans="1:3" ht="13.5" customHeight="1">
      <c r="A10" s="65" t="s">
        <v>37</v>
      </c>
      <c r="B10" s="66">
        <f>SUMIFS(Detalle!$F$2:$F$723,Detalle!$A$2:$A$723,"2B",Detalle!$E$2:$E$723,A10)</f>
        <v>3</v>
      </c>
      <c r="C10" s="10">
        <f t="shared" si="0"/>
        <v>8.5714285714285715E-2</v>
      </c>
    </row>
    <row r="11" spans="1:3" ht="13.5" customHeight="1">
      <c r="A11" s="65" t="s">
        <v>38</v>
      </c>
      <c r="B11" s="66">
        <f>SUMIFS(Detalle!$F$2:$F$723,Detalle!$A$2:$A$723,"2B",Detalle!$E$2:$E$723,A11)</f>
        <v>2</v>
      </c>
      <c r="C11" s="10">
        <f t="shared" si="0"/>
        <v>5.7142857142857141E-2</v>
      </c>
    </row>
    <row r="12" spans="1:3" ht="13.5" customHeight="1">
      <c r="A12" s="65" t="s">
        <v>39</v>
      </c>
      <c r="B12" s="66">
        <f>SUMIFS(Detalle!$F$2:$F$723,Detalle!$A$2:$A$723,"2B",Detalle!$E$2:$E$723,A12)</f>
        <v>2</v>
      </c>
      <c r="C12" s="10">
        <f t="shared" si="0"/>
        <v>5.7142857142857141E-2</v>
      </c>
    </row>
    <row r="13" spans="1:3" ht="13.5" customHeight="1">
      <c r="A13" s="65" t="s">
        <v>49</v>
      </c>
      <c r="B13" s="66">
        <f>SUMIFS(Detalle!$F$2:$F$723,Detalle!$A$2:$A$723,"2B",Detalle!$E$2:$E$723,A13)</f>
        <v>1</v>
      </c>
      <c r="C13" s="10">
        <f t="shared" si="0"/>
        <v>2.8571428571428571E-2</v>
      </c>
    </row>
    <row r="14" spans="1:3" ht="13.5" customHeight="1">
      <c r="A14" s="65" t="s">
        <v>42</v>
      </c>
      <c r="B14" s="66">
        <f>SUMIFS(Detalle!$F$2:$F$723,Detalle!$A$2:$A$723,"2B",Detalle!$E$2:$E$723,A14)</f>
        <v>1</v>
      </c>
      <c r="C14" s="10">
        <f t="shared" si="0"/>
        <v>2.8571428571428571E-2</v>
      </c>
    </row>
    <row r="15" spans="1:3" ht="13.5" customHeight="1">
      <c r="A15" s="65" t="s">
        <v>41</v>
      </c>
      <c r="B15" s="66">
        <f>SUMIFS(Detalle!$F$2:$F$723,Detalle!$A$2:$A$723,"2B",Detalle!$E$2:$E$723,A15)</f>
        <v>1</v>
      </c>
      <c r="C15" s="10">
        <f t="shared" si="0"/>
        <v>2.8571428571428571E-2</v>
      </c>
    </row>
    <row r="16" spans="1:3" ht="13.5" customHeight="1">
      <c r="A16" s="65" t="s">
        <v>50</v>
      </c>
      <c r="B16" s="66">
        <f>SUMIFS(Detalle!$F$2:$F$723,Detalle!$A$2:$A$723,"2B",Detalle!$E$2:$E$723,A16)</f>
        <v>1</v>
      </c>
      <c r="C16" s="10">
        <f t="shared" si="0"/>
        <v>2.8571428571428571E-2</v>
      </c>
    </row>
    <row r="17" spans="1:3" ht="13.5" customHeight="1">
      <c r="A17" s="65" t="s">
        <v>46</v>
      </c>
      <c r="B17" s="66">
        <f>SUMIFS(Detalle!$F$2:$F$723,Detalle!$A$2:$A$723,"2B",Detalle!$E$2:$E$723,A17)</f>
        <v>1</v>
      </c>
      <c r="C17" s="10">
        <f t="shared" si="0"/>
        <v>2.8571428571428571E-2</v>
      </c>
    </row>
    <row r="18" spans="1:3" ht="13.5" customHeight="1">
      <c r="A18" s="65" t="s">
        <v>48</v>
      </c>
      <c r="B18" s="66">
        <f>SUMIFS(Detalle!$F$2:$F$723,Detalle!$A$2:$A$723,"2B",Detalle!$E$2:$E$723,A18)</f>
        <v>1</v>
      </c>
      <c r="C18" s="10">
        <f t="shared" si="0"/>
        <v>2.8571428571428571E-2</v>
      </c>
    </row>
    <row r="19" spans="1:3" ht="13.5" customHeight="1">
      <c r="A19" s="65" t="s">
        <v>47</v>
      </c>
      <c r="B19" s="66">
        <f>SUMIFS(Detalle!$F$2:$F$723,Detalle!$A$2:$A$723,"2B",Detalle!$E$2:$E$723,A19)</f>
        <v>1</v>
      </c>
      <c r="C19" s="10">
        <f t="shared" si="0"/>
        <v>2.8571428571428571E-2</v>
      </c>
    </row>
    <row r="20" spans="1:3" ht="13.5" customHeight="1">
      <c r="A20" s="67" t="s">
        <v>28</v>
      </c>
      <c r="B20" s="68">
        <f>SUM(B5:B19)</f>
        <v>35</v>
      </c>
      <c r="C20" s="69">
        <f>SUM(C5:C19)</f>
        <v>1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1"/>
  <sheetViews>
    <sheetView workbookViewId="0">
      <selection sqref="A1:C21"/>
    </sheetView>
  </sheetViews>
  <sheetFormatPr baseColWidth="10" defaultColWidth="8.6640625" defaultRowHeight="14"/>
  <cols>
    <col min="1" max="1" width="38" customWidth="1"/>
    <col min="2" max="2" width="18" customWidth="1"/>
    <col min="3" max="3" width="17" customWidth="1"/>
  </cols>
  <sheetData>
    <row r="1" spans="1:3" ht="18.75" customHeight="1">
      <c r="A1" s="72" t="s">
        <v>158</v>
      </c>
      <c r="B1" s="72"/>
      <c r="C1" s="72"/>
    </row>
    <row r="2" spans="1:3" ht="15.5" customHeight="1">
      <c r="A2" s="61" t="s">
        <v>152</v>
      </c>
      <c r="B2" s="62">
        <f>SUMIFS(Detalle!$F$2:$F$723,Detalle!$A$2:$A$723,"3A")</f>
        <v>35</v>
      </c>
      <c r="C2" s="7"/>
    </row>
    <row r="3" spans="1:3" ht="5.5" customHeight="1">
      <c r="A3" s="70"/>
      <c r="B3" s="71"/>
      <c r="C3" s="70"/>
    </row>
    <row r="4" spans="1:3" ht="13.5" customHeight="1">
      <c r="A4" s="14" t="s">
        <v>30</v>
      </c>
      <c r="B4" s="64" t="s">
        <v>2</v>
      </c>
      <c r="C4" s="14" t="s">
        <v>153</v>
      </c>
    </row>
    <row r="5" spans="1:3" ht="13.5" customHeight="1">
      <c r="A5" s="65" t="s">
        <v>34</v>
      </c>
      <c r="B5" s="66">
        <f>SUMIFS(Detalle!$F$2:$F$723,Detalle!$A$2:$A$723,"3A",Detalle!$E$2:$E$723,A5)</f>
        <v>5</v>
      </c>
      <c r="C5" s="10">
        <f t="shared" ref="C5:C20" si="0">IF($B$2=0,0,B5/$B$2)</f>
        <v>0.14285714285714285</v>
      </c>
    </row>
    <row r="6" spans="1:3" ht="13.5" customHeight="1">
      <c r="A6" s="65" t="s">
        <v>35</v>
      </c>
      <c r="B6" s="66">
        <f>SUMIFS(Detalle!$F$2:$F$723,Detalle!$A$2:$A$723,"3A",Detalle!$E$2:$E$723,A6)</f>
        <v>4</v>
      </c>
      <c r="C6" s="10">
        <f t="shared" si="0"/>
        <v>0.11428571428571428</v>
      </c>
    </row>
    <row r="7" spans="1:3" ht="13.5" customHeight="1">
      <c r="A7" s="65" t="s">
        <v>40</v>
      </c>
      <c r="B7" s="66">
        <f>SUMIFS(Detalle!$F$2:$F$723,Detalle!$A$2:$A$723,"3A",Detalle!$E$2:$E$723,A7)</f>
        <v>4</v>
      </c>
      <c r="C7" s="10">
        <f t="shared" si="0"/>
        <v>0.11428571428571428</v>
      </c>
    </row>
    <row r="8" spans="1:3" ht="13.5" customHeight="1">
      <c r="A8" s="65" t="s">
        <v>33</v>
      </c>
      <c r="B8" s="66">
        <f>SUMIFS(Detalle!$F$2:$F$723,Detalle!$A$2:$A$723,"3A",Detalle!$E$2:$E$723,A8)</f>
        <v>4</v>
      </c>
      <c r="C8" s="10">
        <f t="shared" si="0"/>
        <v>0.11428571428571428</v>
      </c>
    </row>
    <row r="9" spans="1:3" ht="13.5" customHeight="1">
      <c r="A9" s="65" t="s">
        <v>36</v>
      </c>
      <c r="B9" s="66">
        <f>SUMIFS(Detalle!$F$2:$F$723,Detalle!$A$2:$A$723,"3A",Detalle!$E$2:$E$723,A9)</f>
        <v>4</v>
      </c>
      <c r="C9" s="10">
        <f t="shared" si="0"/>
        <v>0.11428571428571428</v>
      </c>
    </row>
    <row r="10" spans="1:3" ht="13.5" customHeight="1">
      <c r="A10" s="65" t="s">
        <v>37</v>
      </c>
      <c r="B10" s="66">
        <f>SUMIFS(Detalle!$F$2:$F$723,Detalle!$A$2:$A$723,"3A",Detalle!$E$2:$E$723,A10)</f>
        <v>2</v>
      </c>
      <c r="C10" s="10">
        <f t="shared" si="0"/>
        <v>5.7142857142857141E-2</v>
      </c>
    </row>
    <row r="11" spans="1:3" ht="13.5" customHeight="1">
      <c r="A11" s="65" t="s">
        <v>38</v>
      </c>
      <c r="B11" s="66">
        <f>SUMIFS(Detalle!$F$2:$F$723,Detalle!$A$2:$A$723,"3A",Detalle!$E$2:$E$723,A11)</f>
        <v>2</v>
      </c>
      <c r="C11" s="10">
        <f t="shared" si="0"/>
        <v>5.7142857142857141E-2</v>
      </c>
    </row>
    <row r="12" spans="1:3" ht="13.5" customHeight="1">
      <c r="A12" s="65" t="s">
        <v>39</v>
      </c>
      <c r="B12" s="66">
        <f>SUMIFS(Detalle!$F$2:$F$723,Detalle!$A$2:$A$723,"3A",Detalle!$E$2:$E$723,A12)</f>
        <v>2</v>
      </c>
      <c r="C12" s="10">
        <f t="shared" si="0"/>
        <v>5.7142857142857141E-2</v>
      </c>
    </row>
    <row r="13" spans="1:3" ht="13.5" customHeight="1">
      <c r="A13" s="65" t="s">
        <v>49</v>
      </c>
      <c r="B13" s="66">
        <f>SUMIFS(Detalle!$F$2:$F$723,Detalle!$A$2:$A$723,"3A",Detalle!$E$2:$E$723,A13)</f>
        <v>1</v>
      </c>
      <c r="C13" s="10">
        <f t="shared" si="0"/>
        <v>2.8571428571428571E-2</v>
      </c>
    </row>
    <row r="14" spans="1:3" ht="13.5" customHeight="1">
      <c r="A14" s="65" t="s">
        <v>42</v>
      </c>
      <c r="B14" s="66">
        <f>SUMIFS(Detalle!$F$2:$F$723,Detalle!$A$2:$A$723,"3A",Detalle!$E$2:$E$723,A14)</f>
        <v>1</v>
      </c>
      <c r="C14" s="10">
        <f t="shared" si="0"/>
        <v>2.8571428571428571E-2</v>
      </c>
    </row>
    <row r="15" spans="1:3" ht="13.5" customHeight="1">
      <c r="A15" s="65" t="s">
        <v>45</v>
      </c>
      <c r="B15" s="66">
        <f>SUMIFS(Detalle!$F$2:$F$723,Detalle!$A$2:$A$723,"3A",Detalle!$E$2:$E$723,A15)</f>
        <v>1</v>
      </c>
      <c r="C15" s="10">
        <f t="shared" si="0"/>
        <v>2.8571428571428571E-2</v>
      </c>
    </row>
    <row r="16" spans="1:3" ht="13.5" customHeight="1">
      <c r="A16" s="65" t="s">
        <v>41</v>
      </c>
      <c r="B16" s="66">
        <f>SUMIFS(Detalle!$F$2:$F$723,Detalle!$A$2:$A$723,"3A",Detalle!$E$2:$E$723,A16)</f>
        <v>1</v>
      </c>
      <c r="C16" s="10">
        <f t="shared" si="0"/>
        <v>2.8571428571428571E-2</v>
      </c>
    </row>
    <row r="17" spans="1:3" ht="13.5" customHeight="1">
      <c r="A17" s="65" t="s">
        <v>50</v>
      </c>
      <c r="B17" s="66">
        <f>SUMIFS(Detalle!$F$2:$F$723,Detalle!$A$2:$A$723,"3A",Detalle!$E$2:$E$723,A17)</f>
        <v>1</v>
      </c>
      <c r="C17" s="10">
        <f t="shared" si="0"/>
        <v>2.8571428571428571E-2</v>
      </c>
    </row>
    <row r="18" spans="1:3" ht="13.5" customHeight="1">
      <c r="A18" s="65" t="s">
        <v>46</v>
      </c>
      <c r="B18" s="66">
        <f>SUMIFS(Detalle!$F$2:$F$723,Detalle!$A$2:$A$723,"3A",Detalle!$E$2:$E$723,A18)</f>
        <v>1</v>
      </c>
      <c r="C18" s="10">
        <f t="shared" si="0"/>
        <v>2.8571428571428571E-2</v>
      </c>
    </row>
    <row r="19" spans="1:3" ht="13.5" customHeight="1">
      <c r="A19" s="65" t="s">
        <v>48</v>
      </c>
      <c r="B19" s="66">
        <f>SUMIFS(Detalle!$F$2:$F$723,Detalle!$A$2:$A$723,"3A",Detalle!$E$2:$E$723,A19)</f>
        <v>1</v>
      </c>
      <c r="C19" s="10">
        <f t="shared" si="0"/>
        <v>2.8571428571428571E-2</v>
      </c>
    </row>
    <row r="20" spans="1:3" ht="13.5" customHeight="1">
      <c r="A20" s="65" t="s">
        <v>47</v>
      </c>
      <c r="B20" s="66">
        <f>SUMIFS(Detalle!$F$2:$F$723,Detalle!$A$2:$A$723,"3A",Detalle!$E$2:$E$723,A20)</f>
        <v>1</v>
      </c>
      <c r="C20" s="10">
        <f t="shared" si="0"/>
        <v>2.8571428571428571E-2</v>
      </c>
    </row>
    <row r="21" spans="1:3" ht="13.5" customHeight="1">
      <c r="A21" s="67" t="s">
        <v>28</v>
      </c>
      <c r="B21" s="68">
        <f>SUM(B5:B20)</f>
        <v>35</v>
      </c>
      <c r="C21" s="69">
        <f>SUM(C5:C20)</f>
        <v>1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1"/>
  <sheetViews>
    <sheetView workbookViewId="0">
      <selection sqref="A1:C21"/>
    </sheetView>
  </sheetViews>
  <sheetFormatPr baseColWidth="10" defaultColWidth="8.6640625" defaultRowHeight="14"/>
  <cols>
    <col min="1" max="1" width="38" customWidth="1"/>
    <col min="2" max="2" width="18" customWidth="1"/>
    <col min="3" max="3" width="17" customWidth="1"/>
  </cols>
  <sheetData>
    <row r="1" spans="1:3" ht="18.75" customHeight="1">
      <c r="A1" s="72" t="s">
        <v>159</v>
      </c>
      <c r="B1" s="72"/>
      <c r="C1" s="72"/>
    </row>
    <row r="2" spans="1:3" ht="15.5" customHeight="1">
      <c r="A2" s="61" t="s">
        <v>152</v>
      </c>
      <c r="B2" s="62">
        <f>SUMIFS(Detalle!$F$2:$F$723,Detalle!$A$2:$A$723,"3B")</f>
        <v>35</v>
      </c>
      <c r="C2" s="7"/>
    </row>
    <row r="3" spans="1:3" ht="5.5" customHeight="1">
      <c r="A3" s="70"/>
      <c r="B3" s="71"/>
      <c r="C3" s="70"/>
    </row>
    <row r="4" spans="1:3" ht="13.5" customHeight="1">
      <c r="A4" s="14" t="s">
        <v>30</v>
      </c>
      <c r="B4" s="64" t="s">
        <v>2</v>
      </c>
      <c r="C4" s="14" t="s">
        <v>153</v>
      </c>
    </row>
    <row r="5" spans="1:3" ht="13.5" customHeight="1">
      <c r="A5" s="65" t="s">
        <v>34</v>
      </c>
      <c r="B5" s="66">
        <f>SUMIFS(Detalle!$F$2:$F$723,Detalle!$A$2:$A$723,"3B",Detalle!$E$2:$E$723,A5)</f>
        <v>5</v>
      </c>
      <c r="C5" s="10">
        <f t="shared" ref="C5:C20" si="0">IF($B$2=0,0,B5/$B$2)</f>
        <v>0.14285714285714285</v>
      </c>
    </row>
    <row r="6" spans="1:3" ht="13.5" customHeight="1">
      <c r="A6" s="65" t="s">
        <v>35</v>
      </c>
      <c r="B6" s="66">
        <f>SUMIFS(Detalle!$F$2:$F$723,Detalle!$A$2:$A$723,"3B",Detalle!$E$2:$E$723,A6)</f>
        <v>4</v>
      </c>
      <c r="C6" s="10">
        <f t="shared" si="0"/>
        <v>0.11428571428571428</v>
      </c>
    </row>
    <row r="7" spans="1:3" ht="13.5" customHeight="1">
      <c r="A7" s="65" t="s">
        <v>40</v>
      </c>
      <c r="B7" s="66">
        <f>SUMIFS(Detalle!$F$2:$F$723,Detalle!$A$2:$A$723,"3B",Detalle!$E$2:$E$723,A7)</f>
        <v>4</v>
      </c>
      <c r="C7" s="10">
        <f t="shared" si="0"/>
        <v>0.11428571428571428</v>
      </c>
    </row>
    <row r="8" spans="1:3" ht="13.5" customHeight="1">
      <c r="A8" s="65" t="s">
        <v>33</v>
      </c>
      <c r="B8" s="66">
        <f>SUMIFS(Detalle!$F$2:$F$723,Detalle!$A$2:$A$723,"3B",Detalle!$E$2:$E$723,A8)</f>
        <v>4</v>
      </c>
      <c r="C8" s="10">
        <f t="shared" si="0"/>
        <v>0.11428571428571428</v>
      </c>
    </row>
    <row r="9" spans="1:3" ht="13.5" customHeight="1">
      <c r="A9" s="65" t="s">
        <v>36</v>
      </c>
      <c r="B9" s="66">
        <f>SUMIFS(Detalle!$F$2:$F$723,Detalle!$A$2:$A$723,"3B",Detalle!$E$2:$E$723,A9)</f>
        <v>4</v>
      </c>
      <c r="C9" s="10">
        <f t="shared" si="0"/>
        <v>0.11428571428571428</v>
      </c>
    </row>
    <row r="10" spans="1:3" ht="13.5" customHeight="1">
      <c r="A10" s="65" t="s">
        <v>37</v>
      </c>
      <c r="B10" s="66">
        <f>SUMIFS(Detalle!$F$2:$F$723,Detalle!$A$2:$A$723,"3B",Detalle!$E$2:$E$723,A10)</f>
        <v>2</v>
      </c>
      <c r="C10" s="10">
        <f t="shared" si="0"/>
        <v>5.7142857142857141E-2</v>
      </c>
    </row>
    <row r="11" spans="1:3" ht="13.5" customHeight="1">
      <c r="A11" s="65" t="s">
        <v>38</v>
      </c>
      <c r="B11" s="66">
        <f>SUMIFS(Detalle!$F$2:$F$723,Detalle!$A$2:$A$723,"3B",Detalle!$E$2:$E$723,A11)</f>
        <v>2</v>
      </c>
      <c r="C11" s="10">
        <f t="shared" si="0"/>
        <v>5.7142857142857141E-2</v>
      </c>
    </row>
    <row r="12" spans="1:3" ht="13.5" customHeight="1">
      <c r="A12" s="65" t="s">
        <v>39</v>
      </c>
      <c r="B12" s="66">
        <f>SUMIFS(Detalle!$F$2:$F$723,Detalle!$A$2:$A$723,"3B",Detalle!$E$2:$E$723,A12)</f>
        <v>2</v>
      </c>
      <c r="C12" s="10">
        <f t="shared" si="0"/>
        <v>5.7142857142857141E-2</v>
      </c>
    </row>
    <row r="13" spans="1:3" ht="13.5" customHeight="1">
      <c r="A13" s="65" t="s">
        <v>49</v>
      </c>
      <c r="B13" s="66">
        <f>SUMIFS(Detalle!$F$2:$F$723,Detalle!$A$2:$A$723,"3B",Detalle!$E$2:$E$723,A13)</f>
        <v>1</v>
      </c>
      <c r="C13" s="10">
        <f t="shared" si="0"/>
        <v>2.8571428571428571E-2</v>
      </c>
    </row>
    <row r="14" spans="1:3" ht="13.5" customHeight="1">
      <c r="A14" s="65" t="s">
        <v>42</v>
      </c>
      <c r="B14" s="66">
        <f>SUMIFS(Detalle!$F$2:$F$723,Detalle!$A$2:$A$723,"3B",Detalle!$E$2:$E$723,A14)</f>
        <v>1</v>
      </c>
      <c r="C14" s="10">
        <f t="shared" si="0"/>
        <v>2.8571428571428571E-2</v>
      </c>
    </row>
    <row r="15" spans="1:3" ht="13.5" customHeight="1">
      <c r="A15" s="65" t="s">
        <v>45</v>
      </c>
      <c r="B15" s="66">
        <f>SUMIFS(Detalle!$F$2:$F$723,Detalle!$A$2:$A$723,"3B",Detalle!$E$2:$E$723,A15)</f>
        <v>1</v>
      </c>
      <c r="C15" s="10">
        <f t="shared" si="0"/>
        <v>2.8571428571428571E-2</v>
      </c>
    </row>
    <row r="16" spans="1:3" ht="13.5" customHeight="1">
      <c r="A16" s="65" t="s">
        <v>41</v>
      </c>
      <c r="B16" s="66">
        <f>SUMIFS(Detalle!$F$2:$F$723,Detalle!$A$2:$A$723,"3B",Detalle!$E$2:$E$723,A16)</f>
        <v>1</v>
      </c>
      <c r="C16" s="10">
        <f t="shared" si="0"/>
        <v>2.8571428571428571E-2</v>
      </c>
    </row>
    <row r="17" spans="1:3" ht="13.5" customHeight="1">
      <c r="A17" s="65" t="s">
        <v>50</v>
      </c>
      <c r="B17" s="66">
        <f>SUMIFS(Detalle!$F$2:$F$723,Detalle!$A$2:$A$723,"3B",Detalle!$E$2:$E$723,A17)</f>
        <v>1</v>
      </c>
      <c r="C17" s="10">
        <f t="shared" si="0"/>
        <v>2.8571428571428571E-2</v>
      </c>
    </row>
    <row r="18" spans="1:3" ht="13.5" customHeight="1">
      <c r="A18" s="65" t="s">
        <v>46</v>
      </c>
      <c r="B18" s="66">
        <f>SUMIFS(Detalle!$F$2:$F$723,Detalle!$A$2:$A$723,"3B",Detalle!$E$2:$E$723,A18)</f>
        <v>1</v>
      </c>
      <c r="C18" s="10">
        <f t="shared" si="0"/>
        <v>2.8571428571428571E-2</v>
      </c>
    </row>
    <row r="19" spans="1:3" ht="13.5" customHeight="1">
      <c r="A19" s="65" t="s">
        <v>48</v>
      </c>
      <c r="B19" s="66">
        <f>SUMIFS(Detalle!$F$2:$F$723,Detalle!$A$2:$A$723,"3B",Detalle!$E$2:$E$723,A19)</f>
        <v>1</v>
      </c>
      <c r="C19" s="10">
        <f t="shared" si="0"/>
        <v>2.8571428571428571E-2</v>
      </c>
    </row>
    <row r="20" spans="1:3" ht="13.5" customHeight="1">
      <c r="A20" s="65" t="s">
        <v>47</v>
      </c>
      <c r="B20" s="66">
        <f>SUMIFS(Detalle!$F$2:$F$723,Detalle!$A$2:$A$723,"3B",Detalle!$E$2:$E$723,A20)</f>
        <v>1</v>
      </c>
      <c r="C20" s="10">
        <f t="shared" si="0"/>
        <v>2.8571428571428571E-2</v>
      </c>
    </row>
    <row r="21" spans="1:3" ht="13.5" customHeight="1">
      <c r="A21" s="67" t="s">
        <v>28</v>
      </c>
      <c r="B21" s="68">
        <f>SUM(B5:B20)</f>
        <v>35</v>
      </c>
      <c r="C21" s="69">
        <f>SUM(C5:C20)</f>
        <v>1</v>
      </c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1"/>
  <sheetViews>
    <sheetView workbookViewId="0">
      <selection sqref="A1:C21"/>
    </sheetView>
  </sheetViews>
  <sheetFormatPr baseColWidth="10" defaultColWidth="8.6640625" defaultRowHeight="14"/>
  <cols>
    <col min="1" max="1" width="38" customWidth="1"/>
    <col min="2" max="2" width="18" customWidth="1"/>
    <col min="3" max="3" width="17" customWidth="1"/>
  </cols>
  <sheetData>
    <row r="1" spans="1:3" ht="18.75" customHeight="1">
      <c r="A1" s="72" t="s">
        <v>160</v>
      </c>
      <c r="B1" s="72"/>
      <c r="C1" s="72"/>
    </row>
    <row r="2" spans="1:3" ht="15.5" customHeight="1">
      <c r="A2" s="61" t="s">
        <v>152</v>
      </c>
      <c r="B2" s="62">
        <f>SUMIFS(Detalle!$F$2:$F$723,Detalle!$A$2:$A$723,"3C")</f>
        <v>35</v>
      </c>
      <c r="C2" s="7"/>
    </row>
    <row r="3" spans="1:3" ht="5.5" customHeight="1">
      <c r="A3" s="70"/>
      <c r="B3" s="71"/>
      <c r="C3" s="70"/>
    </row>
    <row r="4" spans="1:3" ht="13.5" customHeight="1">
      <c r="A4" s="14" t="s">
        <v>30</v>
      </c>
      <c r="B4" s="64" t="s">
        <v>2</v>
      </c>
      <c r="C4" s="14" t="s">
        <v>153</v>
      </c>
    </row>
    <row r="5" spans="1:3" ht="13.5" customHeight="1">
      <c r="A5" s="65" t="s">
        <v>34</v>
      </c>
      <c r="B5" s="66">
        <f>SUMIFS(Detalle!$F$2:$F$723,Detalle!$A$2:$A$723,"3C",Detalle!$E$2:$E$723,A5)</f>
        <v>5</v>
      </c>
      <c r="C5" s="10">
        <f t="shared" ref="C5:C20" si="0">IF($B$2=0,0,B5/$B$2)</f>
        <v>0.14285714285714285</v>
      </c>
    </row>
    <row r="6" spans="1:3" ht="13.5" customHeight="1">
      <c r="A6" s="65" t="s">
        <v>35</v>
      </c>
      <c r="B6" s="66">
        <f>SUMIFS(Detalle!$F$2:$F$723,Detalle!$A$2:$A$723,"3C",Detalle!$E$2:$E$723,A6)</f>
        <v>4</v>
      </c>
      <c r="C6" s="10">
        <f t="shared" si="0"/>
        <v>0.11428571428571428</v>
      </c>
    </row>
    <row r="7" spans="1:3" ht="13.5" customHeight="1">
      <c r="A7" s="65" t="s">
        <v>40</v>
      </c>
      <c r="B7" s="66">
        <f>SUMIFS(Detalle!$F$2:$F$723,Detalle!$A$2:$A$723,"3C",Detalle!$E$2:$E$723,A7)</f>
        <v>4</v>
      </c>
      <c r="C7" s="10">
        <f t="shared" si="0"/>
        <v>0.11428571428571428</v>
      </c>
    </row>
    <row r="8" spans="1:3" ht="13.5" customHeight="1">
      <c r="A8" s="65" t="s">
        <v>33</v>
      </c>
      <c r="B8" s="66">
        <f>SUMIFS(Detalle!$F$2:$F$723,Detalle!$A$2:$A$723,"3C",Detalle!$E$2:$E$723,A8)</f>
        <v>4</v>
      </c>
      <c r="C8" s="10">
        <f t="shared" si="0"/>
        <v>0.11428571428571428</v>
      </c>
    </row>
    <row r="9" spans="1:3" ht="13.5" customHeight="1">
      <c r="A9" s="65" t="s">
        <v>36</v>
      </c>
      <c r="B9" s="66">
        <f>SUMIFS(Detalle!$F$2:$F$723,Detalle!$A$2:$A$723,"3C",Detalle!$E$2:$E$723,A9)</f>
        <v>4</v>
      </c>
      <c r="C9" s="10">
        <f t="shared" si="0"/>
        <v>0.11428571428571428</v>
      </c>
    </row>
    <row r="10" spans="1:3" ht="13.5" customHeight="1">
      <c r="A10" s="65" t="s">
        <v>37</v>
      </c>
      <c r="B10" s="66">
        <f>SUMIFS(Detalle!$F$2:$F$723,Detalle!$A$2:$A$723,"3C",Detalle!$E$2:$E$723,A10)</f>
        <v>2</v>
      </c>
      <c r="C10" s="10">
        <f t="shared" si="0"/>
        <v>5.7142857142857141E-2</v>
      </c>
    </row>
    <row r="11" spans="1:3" ht="13.5" customHeight="1">
      <c r="A11" s="65" t="s">
        <v>38</v>
      </c>
      <c r="B11" s="66">
        <f>SUMIFS(Detalle!$F$2:$F$723,Detalle!$A$2:$A$723,"3C",Detalle!$E$2:$E$723,A11)</f>
        <v>2</v>
      </c>
      <c r="C11" s="10">
        <f t="shared" si="0"/>
        <v>5.7142857142857141E-2</v>
      </c>
    </row>
    <row r="12" spans="1:3" ht="13.5" customHeight="1">
      <c r="A12" s="65" t="s">
        <v>39</v>
      </c>
      <c r="B12" s="66">
        <f>SUMIFS(Detalle!$F$2:$F$723,Detalle!$A$2:$A$723,"3C",Detalle!$E$2:$E$723,A12)</f>
        <v>2</v>
      </c>
      <c r="C12" s="10">
        <f t="shared" si="0"/>
        <v>5.7142857142857141E-2</v>
      </c>
    </row>
    <row r="13" spans="1:3" ht="13.5" customHeight="1">
      <c r="A13" s="65" t="s">
        <v>49</v>
      </c>
      <c r="B13" s="66">
        <f>SUMIFS(Detalle!$F$2:$F$723,Detalle!$A$2:$A$723,"3C",Detalle!$E$2:$E$723,A13)</f>
        <v>1</v>
      </c>
      <c r="C13" s="10">
        <f t="shared" si="0"/>
        <v>2.8571428571428571E-2</v>
      </c>
    </row>
    <row r="14" spans="1:3" ht="13.5" customHeight="1">
      <c r="A14" s="65" t="s">
        <v>42</v>
      </c>
      <c r="B14" s="66">
        <f>SUMIFS(Detalle!$F$2:$F$723,Detalle!$A$2:$A$723,"3C",Detalle!$E$2:$E$723,A14)</f>
        <v>1</v>
      </c>
      <c r="C14" s="10">
        <f t="shared" si="0"/>
        <v>2.8571428571428571E-2</v>
      </c>
    </row>
    <row r="15" spans="1:3" ht="13.5" customHeight="1">
      <c r="A15" s="65" t="s">
        <v>45</v>
      </c>
      <c r="B15" s="66">
        <f>SUMIFS(Detalle!$F$2:$F$723,Detalle!$A$2:$A$723,"3C",Detalle!$E$2:$E$723,A15)</f>
        <v>1</v>
      </c>
      <c r="C15" s="10">
        <f t="shared" si="0"/>
        <v>2.8571428571428571E-2</v>
      </c>
    </row>
    <row r="16" spans="1:3" ht="13.5" customHeight="1">
      <c r="A16" s="65" t="s">
        <v>41</v>
      </c>
      <c r="B16" s="66">
        <f>SUMIFS(Detalle!$F$2:$F$723,Detalle!$A$2:$A$723,"3C",Detalle!$E$2:$E$723,A16)</f>
        <v>1</v>
      </c>
      <c r="C16" s="10">
        <f t="shared" si="0"/>
        <v>2.8571428571428571E-2</v>
      </c>
    </row>
    <row r="17" spans="1:3" ht="13.5" customHeight="1">
      <c r="A17" s="65" t="s">
        <v>50</v>
      </c>
      <c r="B17" s="66">
        <f>SUMIFS(Detalle!$F$2:$F$723,Detalle!$A$2:$A$723,"3C",Detalle!$E$2:$E$723,A17)</f>
        <v>1</v>
      </c>
      <c r="C17" s="10">
        <f t="shared" si="0"/>
        <v>2.8571428571428571E-2</v>
      </c>
    </row>
    <row r="18" spans="1:3" ht="13.5" customHeight="1">
      <c r="A18" s="65" t="s">
        <v>46</v>
      </c>
      <c r="B18" s="66">
        <f>SUMIFS(Detalle!$F$2:$F$723,Detalle!$A$2:$A$723,"3C",Detalle!$E$2:$E$723,A18)</f>
        <v>1</v>
      </c>
      <c r="C18" s="10">
        <f t="shared" si="0"/>
        <v>2.8571428571428571E-2</v>
      </c>
    </row>
    <row r="19" spans="1:3" ht="13.5" customHeight="1">
      <c r="A19" s="65" t="s">
        <v>48</v>
      </c>
      <c r="B19" s="66">
        <f>SUMIFS(Detalle!$F$2:$F$723,Detalle!$A$2:$A$723,"3C",Detalle!$E$2:$E$723,A19)</f>
        <v>1</v>
      </c>
      <c r="C19" s="10">
        <f t="shared" si="0"/>
        <v>2.8571428571428571E-2</v>
      </c>
    </row>
    <row r="20" spans="1:3" ht="13.5" customHeight="1">
      <c r="A20" s="65" t="s">
        <v>47</v>
      </c>
      <c r="B20" s="66">
        <f>SUMIFS(Detalle!$F$2:$F$723,Detalle!$A$2:$A$723,"3C",Detalle!$E$2:$E$723,A20)</f>
        <v>1</v>
      </c>
      <c r="C20" s="10">
        <f t="shared" si="0"/>
        <v>2.8571428571428571E-2</v>
      </c>
    </row>
    <row r="21" spans="1:3" ht="13.5" customHeight="1">
      <c r="A21" s="67" t="s">
        <v>28</v>
      </c>
      <c r="B21" s="68">
        <f>SUM(B5:B20)</f>
        <v>35</v>
      </c>
      <c r="C21" s="69">
        <f>SUM(C5:C20)</f>
        <v>1</v>
      </c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3"/>
  <sheetViews>
    <sheetView workbookViewId="0">
      <selection sqref="A1:C23"/>
    </sheetView>
  </sheetViews>
  <sheetFormatPr baseColWidth="10" defaultColWidth="8.6640625" defaultRowHeight="14"/>
  <cols>
    <col min="1" max="1" width="38" customWidth="1"/>
    <col min="2" max="2" width="18" customWidth="1"/>
    <col min="3" max="3" width="17" customWidth="1"/>
  </cols>
  <sheetData>
    <row r="1" spans="1:3" ht="18.75" customHeight="1">
      <c r="A1" s="72" t="s">
        <v>161</v>
      </c>
      <c r="B1" s="72"/>
      <c r="C1" s="72"/>
    </row>
    <row r="2" spans="1:3" ht="15.5" customHeight="1">
      <c r="A2" s="61" t="s">
        <v>152</v>
      </c>
      <c r="B2" s="62">
        <f>SUMIFS(Detalle!$F$2:$F$723,Detalle!$A$2:$A$723,"4A")</f>
        <v>35</v>
      </c>
      <c r="C2" s="7"/>
    </row>
    <row r="3" spans="1:3" ht="5.5" customHeight="1">
      <c r="A3" s="70"/>
      <c r="B3" s="71"/>
      <c r="C3" s="70"/>
    </row>
    <row r="4" spans="1:3" ht="13.5" customHeight="1">
      <c r="A4" s="14" t="s">
        <v>30</v>
      </c>
      <c r="B4" s="64" t="s">
        <v>2</v>
      </c>
      <c r="C4" s="14" t="s">
        <v>153</v>
      </c>
    </row>
    <row r="5" spans="1:3" ht="13.5" customHeight="1">
      <c r="A5" s="65" t="s">
        <v>35</v>
      </c>
      <c r="B5" s="66">
        <f>SUMIFS(Detalle!$F$2:$F$723,Detalle!$A$2:$A$723,"4A",Detalle!$E$2:$E$723,A5)</f>
        <v>4</v>
      </c>
      <c r="C5" s="10">
        <f t="shared" ref="C5:C22" si="0">IF($B$2=0,0,B5/$B$2)</f>
        <v>0.11428571428571428</v>
      </c>
    </row>
    <row r="6" spans="1:3" ht="13.5" customHeight="1">
      <c r="A6" s="65" t="s">
        <v>33</v>
      </c>
      <c r="B6" s="66">
        <f>SUMIFS(Detalle!$F$2:$F$723,Detalle!$A$2:$A$723,"4A",Detalle!$E$2:$E$723,A6)</f>
        <v>4</v>
      </c>
      <c r="C6" s="10">
        <f t="shared" si="0"/>
        <v>0.11428571428571428</v>
      </c>
    </row>
    <row r="7" spans="1:3" ht="13.5" customHeight="1">
      <c r="A7" s="65" t="s">
        <v>34</v>
      </c>
      <c r="B7" s="66">
        <f>SUMIFS(Detalle!$F$2:$F$723,Detalle!$A$2:$A$723,"4A",Detalle!$E$2:$E$723,A7)</f>
        <v>4</v>
      </c>
      <c r="C7" s="10">
        <f t="shared" si="0"/>
        <v>0.11428571428571428</v>
      </c>
    </row>
    <row r="8" spans="1:3" ht="13.5" customHeight="1">
      <c r="A8" s="65" t="s">
        <v>36</v>
      </c>
      <c r="B8" s="66">
        <f>SUMIFS(Detalle!$F$2:$F$723,Detalle!$A$2:$A$723,"4A",Detalle!$E$2:$E$723,A8)</f>
        <v>4</v>
      </c>
      <c r="C8" s="10">
        <f t="shared" si="0"/>
        <v>0.11428571428571428</v>
      </c>
    </row>
    <row r="9" spans="1:3" ht="13.5" customHeight="1">
      <c r="A9" s="65" t="s">
        <v>37</v>
      </c>
      <c r="B9" s="66">
        <f>SUMIFS(Detalle!$F$2:$F$723,Detalle!$A$2:$A$723,"4A",Detalle!$E$2:$E$723,A9)</f>
        <v>2</v>
      </c>
      <c r="C9" s="10">
        <f t="shared" si="0"/>
        <v>5.7142857142857141E-2</v>
      </c>
    </row>
    <row r="10" spans="1:3" ht="13.5" customHeight="1">
      <c r="A10" s="65" t="s">
        <v>38</v>
      </c>
      <c r="B10" s="66">
        <f>SUMIFS(Detalle!$F$2:$F$723,Detalle!$A$2:$A$723,"4A",Detalle!$E$2:$E$723,A10)</f>
        <v>2</v>
      </c>
      <c r="C10" s="10">
        <f t="shared" si="0"/>
        <v>5.7142857142857141E-2</v>
      </c>
    </row>
    <row r="11" spans="1:3" ht="13.5" customHeight="1">
      <c r="A11" s="65" t="s">
        <v>43</v>
      </c>
      <c r="B11" s="66">
        <f>SUMIFS(Detalle!$F$2:$F$723,Detalle!$A$2:$A$723,"4A",Detalle!$E$2:$E$723,A11)</f>
        <v>2</v>
      </c>
      <c r="C11" s="10">
        <f t="shared" si="0"/>
        <v>5.7142857142857141E-2</v>
      </c>
    </row>
    <row r="12" spans="1:3" ht="13.5" customHeight="1">
      <c r="A12" s="65" t="s">
        <v>44</v>
      </c>
      <c r="B12" s="66">
        <f>SUMIFS(Detalle!$F$2:$F$723,Detalle!$A$2:$A$723,"4A",Detalle!$E$2:$E$723,A12)</f>
        <v>2</v>
      </c>
      <c r="C12" s="10">
        <f t="shared" si="0"/>
        <v>5.7142857142857141E-2</v>
      </c>
    </row>
    <row r="13" spans="1:3" ht="13.5" customHeight="1">
      <c r="A13" s="65" t="s">
        <v>39</v>
      </c>
      <c r="B13" s="66">
        <f>SUMIFS(Detalle!$F$2:$F$723,Detalle!$A$2:$A$723,"4A",Detalle!$E$2:$E$723,A13)</f>
        <v>2</v>
      </c>
      <c r="C13" s="10">
        <f t="shared" si="0"/>
        <v>5.7142857142857141E-2</v>
      </c>
    </row>
    <row r="14" spans="1:3" ht="13.5" customHeight="1">
      <c r="A14" s="65" t="s">
        <v>49</v>
      </c>
      <c r="B14" s="66">
        <f>SUMIFS(Detalle!$F$2:$F$723,Detalle!$A$2:$A$723,"4A",Detalle!$E$2:$E$723,A14)</f>
        <v>1</v>
      </c>
      <c r="C14" s="10">
        <f t="shared" si="0"/>
        <v>2.8571428571428571E-2</v>
      </c>
    </row>
    <row r="15" spans="1:3" ht="13.5" customHeight="1">
      <c r="A15" s="65" t="s">
        <v>42</v>
      </c>
      <c r="B15" s="66">
        <f>SUMIFS(Detalle!$F$2:$F$723,Detalle!$A$2:$A$723,"4A",Detalle!$E$2:$E$723,A15)</f>
        <v>1</v>
      </c>
      <c r="C15" s="10">
        <f t="shared" si="0"/>
        <v>2.8571428571428571E-2</v>
      </c>
    </row>
    <row r="16" spans="1:3" ht="13.5" customHeight="1">
      <c r="A16" s="65" t="s">
        <v>51</v>
      </c>
      <c r="B16" s="66">
        <f>SUMIFS(Detalle!$F$2:$F$723,Detalle!$A$2:$A$723,"4A",Detalle!$E$2:$E$723,A16)</f>
        <v>1</v>
      </c>
      <c r="C16" s="10">
        <f t="shared" si="0"/>
        <v>2.8571428571428571E-2</v>
      </c>
    </row>
    <row r="17" spans="1:3" ht="13.5" customHeight="1">
      <c r="A17" s="65" t="s">
        <v>45</v>
      </c>
      <c r="B17" s="66">
        <f>SUMIFS(Detalle!$F$2:$F$723,Detalle!$A$2:$A$723,"4A",Detalle!$E$2:$E$723,A17)</f>
        <v>1</v>
      </c>
      <c r="C17" s="10">
        <f t="shared" si="0"/>
        <v>2.8571428571428571E-2</v>
      </c>
    </row>
    <row r="18" spans="1:3" ht="13.5" customHeight="1">
      <c r="A18" s="65" t="s">
        <v>41</v>
      </c>
      <c r="B18" s="66">
        <f>SUMIFS(Detalle!$F$2:$F$723,Detalle!$A$2:$A$723,"4A",Detalle!$E$2:$E$723,A18)</f>
        <v>1</v>
      </c>
      <c r="C18" s="10">
        <f t="shared" si="0"/>
        <v>2.8571428571428571E-2</v>
      </c>
    </row>
    <row r="19" spans="1:3" ht="13.5" customHeight="1">
      <c r="A19" s="65" t="s">
        <v>50</v>
      </c>
      <c r="B19" s="66">
        <f>SUMIFS(Detalle!$F$2:$F$723,Detalle!$A$2:$A$723,"4A",Detalle!$E$2:$E$723,A19)</f>
        <v>1</v>
      </c>
      <c r="C19" s="10">
        <f t="shared" si="0"/>
        <v>2.8571428571428571E-2</v>
      </c>
    </row>
    <row r="20" spans="1:3" ht="13.5" customHeight="1">
      <c r="A20" s="65" t="s">
        <v>46</v>
      </c>
      <c r="B20" s="66">
        <f>SUMIFS(Detalle!$F$2:$F$723,Detalle!$A$2:$A$723,"4A",Detalle!$E$2:$E$723,A20)</f>
        <v>1</v>
      </c>
      <c r="C20" s="10">
        <f t="shared" si="0"/>
        <v>2.8571428571428571E-2</v>
      </c>
    </row>
    <row r="21" spans="1:3" ht="13.5" customHeight="1">
      <c r="A21" s="65" t="s">
        <v>48</v>
      </c>
      <c r="B21" s="66">
        <f>SUMIFS(Detalle!$F$2:$F$723,Detalle!$A$2:$A$723,"4A",Detalle!$E$2:$E$723,A21)</f>
        <v>1</v>
      </c>
      <c r="C21" s="10">
        <f t="shared" si="0"/>
        <v>2.8571428571428571E-2</v>
      </c>
    </row>
    <row r="22" spans="1:3" ht="13.5" customHeight="1">
      <c r="A22" s="65" t="s">
        <v>47</v>
      </c>
      <c r="B22" s="66">
        <f>SUMIFS(Detalle!$F$2:$F$723,Detalle!$A$2:$A$723,"4A",Detalle!$E$2:$E$723,A22)</f>
        <v>1</v>
      </c>
      <c r="C22" s="10">
        <f t="shared" si="0"/>
        <v>2.8571428571428571E-2</v>
      </c>
    </row>
    <row r="23" spans="1:3" ht="13.5" customHeight="1">
      <c r="A23" s="67" t="s">
        <v>28</v>
      </c>
      <c r="B23" s="68">
        <f>SUM(B5:B22)</f>
        <v>35</v>
      </c>
      <c r="C23" s="69">
        <f>SUM(C5:C22)</f>
        <v>1</v>
      </c>
    </row>
  </sheetData>
  <mergeCells count="1">
    <mergeCell ref="A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3"/>
  <sheetViews>
    <sheetView workbookViewId="0">
      <selection sqref="A1:C23"/>
    </sheetView>
  </sheetViews>
  <sheetFormatPr baseColWidth="10" defaultColWidth="8.6640625" defaultRowHeight="14"/>
  <cols>
    <col min="1" max="1" width="38" customWidth="1"/>
    <col min="2" max="2" width="18" customWidth="1"/>
    <col min="3" max="3" width="17" customWidth="1"/>
  </cols>
  <sheetData>
    <row r="1" spans="1:3" ht="18.75" customHeight="1">
      <c r="A1" s="72" t="s">
        <v>162</v>
      </c>
      <c r="B1" s="72"/>
      <c r="C1" s="72"/>
    </row>
    <row r="2" spans="1:3" ht="15.5" customHeight="1">
      <c r="A2" s="61" t="s">
        <v>152</v>
      </c>
      <c r="B2" s="62">
        <f>SUMIFS(Detalle!$F$2:$F$723,Detalle!$A$2:$A$723,"4B")</f>
        <v>35</v>
      </c>
      <c r="C2" s="7"/>
    </row>
    <row r="3" spans="1:3" ht="5.5" customHeight="1">
      <c r="A3" s="70"/>
      <c r="B3" s="71"/>
      <c r="C3" s="70"/>
    </row>
    <row r="4" spans="1:3" ht="13.5" customHeight="1">
      <c r="A4" s="14" t="s">
        <v>30</v>
      </c>
      <c r="B4" s="64" t="s">
        <v>2</v>
      </c>
      <c r="C4" s="14" t="s">
        <v>153</v>
      </c>
    </row>
    <row r="5" spans="1:3" ht="13.5" customHeight="1">
      <c r="A5" s="65" t="s">
        <v>35</v>
      </c>
      <c r="B5" s="66">
        <f>SUMIFS(Detalle!$F$2:$F$723,Detalle!$A$2:$A$723,"4B",Detalle!$E$2:$E$723,A5)</f>
        <v>4</v>
      </c>
      <c r="C5" s="10">
        <f t="shared" ref="C5:C22" si="0">IF($B$2=0,0,B5/$B$2)</f>
        <v>0.11428571428571428</v>
      </c>
    </row>
    <row r="6" spans="1:3" ht="13.5" customHeight="1">
      <c r="A6" s="65" t="s">
        <v>33</v>
      </c>
      <c r="B6" s="66">
        <f>SUMIFS(Detalle!$F$2:$F$723,Detalle!$A$2:$A$723,"4B",Detalle!$E$2:$E$723,A6)</f>
        <v>4</v>
      </c>
      <c r="C6" s="10">
        <f t="shared" si="0"/>
        <v>0.11428571428571428</v>
      </c>
    </row>
    <row r="7" spans="1:3" ht="13.5" customHeight="1">
      <c r="A7" s="65" t="s">
        <v>34</v>
      </c>
      <c r="B7" s="66">
        <f>SUMIFS(Detalle!$F$2:$F$723,Detalle!$A$2:$A$723,"4B",Detalle!$E$2:$E$723,A7)</f>
        <v>4</v>
      </c>
      <c r="C7" s="10">
        <f t="shared" si="0"/>
        <v>0.11428571428571428</v>
      </c>
    </row>
    <row r="8" spans="1:3" ht="13.5" customHeight="1">
      <c r="A8" s="65" t="s">
        <v>36</v>
      </c>
      <c r="B8" s="66">
        <f>SUMIFS(Detalle!$F$2:$F$723,Detalle!$A$2:$A$723,"4B",Detalle!$E$2:$E$723,A8)</f>
        <v>4</v>
      </c>
      <c r="C8" s="10">
        <f t="shared" si="0"/>
        <v>0.11428571428571428</v>
      </c>
    </row>
    <row r="9" spans="1:3" ht="13.5" customHeight="1">
      <c r="A9" s="65" t="s">
        <v>37</v>
      </c>
      <c r="B9" s="66">
        <f>SUMIFS(Detalle!$F$2:$F$723,Detalle!$A$2:$A$723,"4B",Detalle!$E$2:$E$723,A9)</f>
        <v>2</v>
      </c>
      <c r="C9" s="10">
        <f t="shared" si="0"/>
        <v>5.7142857142857141E-2</v>
      </c>
    </row>
    <row r="10" spans="1:3" ht="13.5" customHeight="1">
      <c r="A10" s="65" t="s">
        <v>38</v>
      </c>
      <c r="B10" s="66">
        <f>SUMIFS(Detalle!$F$2:$F$723,Detalle!$A$2:$A$723,"4B",Detalle!$E$2:$E$723,A10)</f>
        <v>2</v>
      </c>
      <c r="C10" s="10">
        <f t="shared" si="0"/>
        <v>5.7142857142857141E-2</v>
      </c>
    </row>
    <row r="11" spans="1:3" ht="13.5" customHeight="1">
      <c r="A11" s="65" t="s">
        <v>43</v>
      </c>
      <c r="B11" s="66">
        <f>SUMIFS(Detalle!$F$2:$F$723,Detalle!$A$2:$A$723,"4B",Detalle!$E$2:$E$723,A11)</f>
        <v>2</v>
      </c>
      <c r="C11" s="10">
        <f t="shared" si="0"/>
        <v>5.7142857142857141E-2</v>
      </c>
    </row>
    <row r="12" spans="1:3" ht="13.5" customHeight="1">
      <c r="A12" s="65" t="s">
        <v>44</v>
      </c>
      <c r="B12" s="66">
        <f>SUMIFS(Detalle!$F$2:$F$723,Detalle!$A$2:$A$723,"4B",Detalle!$E$2:$E$723,A12)</f>
        <v>2</v>
      </c>
      <c r="C12" s="10">
        <f t="shared" si="0"/>
        <v>5.7142857142857141E-2</v>
      </c>
    </row>
    <row r="13" spans="1:3" ht="13.5" customHeight="1">
      <c r="A13" s="65" t="s">
        <v>39</v>
      </c>
      <c r="B13" s="66">
        <f>SUMIFS(Detalle!$F$2:$F$723,Detalle!$A$2:$A$723,"4B",Detalle!$E$2:$E$723,A13)</f>
        <v>2</v>
      </c>
      <c r="C13" s="10">
        <f t="shared" si="0"/>
        <v>5.7142857142857141E-2</v>
      </c>
    </row>
    <row r="14" spans="1:3" ht="13.5" customHeight="1">
      <c r="A14" s="65" t="s">
        <v>49</v>
      </c>
      <c r="B14" s="66">
        <f>SUMIFS(Detalle!$F$2:$F$723,Detalle!$A$2:$A$723,"4B",Detalle!$E$2:$E$723,A14)</f>
        <v>1</v>
      </c>
      <c r="C14" s="10">
        <f t="shared" si="0"/>
        <v>2.8571428571428571E-2</v>
      </c>
    </row>
    <row r="15" spans="1:3" ht="13.5" customHeight="1">
      <c r="A15" s="65" t="s">
        <v>42</v>
      </c>
      <c r="B15" s="66">
        <f>SUMIFS(Detalle!$F$2:$F$723,Detalle!$A$2:$A$723,"4B",Detalle!$E$2:$E$723,A15)</f>
        <v>1</v>
      </c>
      <c r="C15" s="10">
        <f t="shared" si="0"/>
        <v>2.8571428571428571E-2</v>
      </c>
    </row>
    <row r="16" spans="1:3" ht="13.5" customHeight="1">
      <c r="A16" s="65" t="s">
        <v>51</v>
      </c>
      <c r="B16" s="66">
        <f>SUMIFS(Detalle!$F$2:$F$723,Detalle!$A$2:$A$723,"4B",Detalle!$E$2:$E$723,A16)</f>
        <v>1</v>
      </c>
      <c r="C16" s="10">
        <f t="shared" si="0"/>
        <v>2.8571428571428571E-2</v>
      </c>
    </row>
    <row r="17" spans="1:3" ht="13.5" customHeight="1">
      <c r="A17" s="65" t="s">
        <v>45</v>
      </c>
      <c r="B17" s="66">
        <f>SUMIFS(Detalle!$F$2:$F$723,Detalle!$A$2:$A$723,"4B",Detalle!$E$2:$E$723,A17)</f>
        <v>1</v>
      </c>
      <c r="C17" s="10">
        <f t="shared" si="0"/>
        <v>2.8571428571428571E-2</v>
      </c>
    </row>
    <row r="18" spans="1:3" ht="13.5" customHeight="1">
      <c r="A18" s="65" t="s">
        <v>41</v>
      </c>
      <c r="B18" s="66">
        <f>SUMIFS(Detalle!$F$2:$F$723,Detalle!$A$2:$A$723,"4B",Detalle!$E$2:$E$723,A18)</f>
        <v>1</v>
      </c>
      <c r="C18" s="10">
        <f t="shared" si="0"/>
        <v>2.8571428571428571E-2</v>
      </c>
    </row>
    <row r="19" spans="1:3" ht="13.5" customHeight="1">
      <c r="A19" s="65" t="s">
        <v>50</v>
      </c>
      <c r="B19" s="66">
        <f>SUMIFS(Detalle!$F$2:$F$723,Detalle!$A$2:$A$723,"4B",Detalle!$E$2:$E$723,A19)</f>
        <v>1</v>
      </c>
      <c r="C19" s="10">
        <f t="shared" si="0"/>
        <v>2.8571428571428571E-2</v>
      </c>
    </row>
    <row r="20" spans="1:3" ht="13.5" customHeight="1">
      <c r="A20" s="65" t="s">
        <v>46</v>
      </c>
      <c r="B20" s="66">
        <f>SUMIFS(Detalle!$F$2:$F$723,Detalle!$A$2:$A$723,"4B",Detalle!$E$2:$E$723,A20)</f>
        <v>1</v>
      </c>
      <c r="C20" s="10">
        <f t="shared" si="0"/>
        <v>2.8571428571428571E-2</v>
      </c>
    </row>
    <row r="21" spans="1:3" ht="13.5" customHeight="1">
      <c r="A21" s="65" t="s">
        <v>48</v>
      </c>
      <c r="B21" s="66">
        <f>SUMIFS(Detalle!$F$2:$F$723,Detalle!$A$2:$A$723,"4B",Detalle!$E$2:$E$723,A21)</f>
        <v>1</v>
      </c>
      <c r="C21" s="10">
        <f t="shared" si="0"/>
        <v>2.8571428571428571E-2</v>
      </c>
    </row>
    <row r="22" spans="1:3" ht="13.5" customHeight="1">
      <c r="A22" s="65" t="s">
        <v>47</v>
      </c>
      <c r="B22" s="66">
        <f>SUMIFS(Detalle!$F$2:$F$723,Detalle!$A$2:$A$723,"4B",Detalle!$E$2:$E$723,A22)</f>
        <v>1</v>
      </c>
      <c r="C22" s="10">
        <f t="shared" si="0"/>
        <v>2.8571428571428571E-2</v>
      </c>
    </row>
    <row r="23" spans="1:3" ht="13.5" customHeight="1">
      <c r="A23" s="67" t="s">
        <v>28</v>
      </c>
      <c r="B23" s="68">
        <f>SUM(B5:B22)</f>
        <v>35</v>
      </c>
      <c r="C23" s="69">
        <f>SUM(C5:C22)</f>
        <v>1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3"/>
  <sheetViews>
    <sheetView workbookViewId="0">
      <selection sqref="A1:C23"/>
    </sheetView>
  </sheetViews>
  <sheetFormatPr baseColWidth="10" defaultColWidth="8.6640625" defaultRowHeight="14"/>
  <cols>
    <col min="1" max="1" width="38" customWidth="1"/>
    <col min="2" max="2" width="18" customWidth="1"/>
    <col min="3" max="3" width="17" customWidth="1"/>
  </cols>
  <sheetData>
    <row r="1" spans="1:3" ht="18.75" customHeight="1">
      <c r="A1" s="72" t="s">
        <v>163</v>
      </c>
      <c r="B1" s="72"/>
      <c r="C1" s="72"/>
    </row>
    <row r="2" spans="1:3" ht="15.5" customHeight="1">
      <c r="A2" s="61" t="s">
        <v>152</v>
      </c>
      <c r="B2" s="62">
        <f>SUMIFS(Detalle!$F$2:$F$723,Detalle!$A$2:$A$723,"5A")</f>
        <v>35</v>
      </c>
      <c r="C2" s="7"/>
    </row>
    <row r="3" spans="1:3" ht="5.5" customHeight="1">
      <c r="A3" s="70"/>
      <c r="B3" s="71"/>
      <c r="C3" s="70"/>
    </row>
    <row r="4" spans="1:3" ht="13.5" customHeight="1">
      <c r="A4" s="14" t="s">
        <v>30</v>
      </c>
      <c r="B4" s="64" t="s">
        <v>2</v>
      </c>
      <c r="C4" s="14" t="s">
        <v>153</v>
      </c>
    </row>
    <row r="5" spans="1:3" ht="13.5" customHeight="1">
      <c r="A5" s="65" t="s">
        <v>35</v>
      </c>
      <c r="B5" s="66">
        <f>SUMIFS(Detalle!$F$2:$F$723,Detalle!$A$2:$A$723,"5A",Detalle!$E$2:$E$723,A5)</f>
        <v>4</v>
      </c>
      <c r="C5" s="10">
        <f t="shared" ref="C5:C22" si="0">IF($B$2=0,0,B5/$B$2)</f>
        <v>0.11428571428571428</v>
      </c>
    </row>
    <row r="6" spans="1:3" ht="13.5" customHeight="1">
      <c r="A6" s="65" t="s">
        <v>33</v>
      </c>
      <c r="B6" s="66">
        <f>SUMIFS(Detalle!$F$2:$F$723,Detalle!$A$2:$A$723,"5A",Detalle!$E$2:$E$723,A6)</f>
        <v>4</v>
      </c>
      <c r="C6" s="10">
        <f t="shared" si="0"/>
        <v>0.11428571428571428</v>
      </c>
    </row>
    <row r="7" spans="1:3" ht="13.5" customHeight="1">
      <c r="A7" s="65" t="s">
        <v>34</v>
      </c>
      <c r="B7" s="66">
        <f>SUMIFS(Detalle!$F$2:$F$723,Detalle!$A$2:$A$723,"5A",Detalle!$E$2:$E$723,A7)</f>
        <v>4</v>
      </c>
      <c r="C7" s="10">
        <f t="shared" si="0"/>
        <v>0.11428571428571428</v>
      </c>
    </row>
    <row r="8" spans="1:3" ht="13.5" customHeight="1">
      <c r="A8" s="65" t="s">
        <v>36</v>
      </c>
      <c r="B8" s="66">
        <f>SUMIFS(Detalle!$F$2:$F$723,Detalle!$A$2:$A$723,"5A",Detalle!$E$2:$E$723,A8)</f>
        <v>4</v>
      </c>
      <c r="C8" s="10">
        <f t="shared" si="0"/>
        <v>0.11428571428571428</v>
      </c>
    </row>
    <row r="9" spans="1:3" ht="13.5" customHeight="1">
      <c r="A9" s="65" t="s">
        <v>37</v>
      </c>
      <c r="B9" s="66">
        <f>SUMIFS(Detalle!$F$2:$F$723,Detalle!$A$2:$A$723,"5A",Detalle!$E$2:$E$723,A9)</f>
        <v>2</v>
      </c>
      <c r="C9" s="10">
        <f t="shared" si="0"/>
        <v>5.7142857142857141E-2</v>
      </c>
    </row>
    <row r="10" spans="1:3" ht="13.5" customHeight="1">
      <c r="A10" s="65" t="s">
        <v>38</v>
      </c>
      <c r="B10" s="66">
        <f>SUMIFS(Detalle!$F$2:$F$723,Detalle!$A$2:$A$723,"5A",Detalle!$E$2:$E$723,A10)</f>
        <v>2</v>
      </c>
      <c r="C10" s="10">
        <f t="shared" si="0"/>
        <v>5.7142857142857141E-2</v>
      </c>
    </row>
    <row r="11" spans="1:3" ht="13.5" customHeight="1">
      <c r="A11" s="65" t="s">
        <v>43</v>
      </c>
      <c r="B11" s="66">
        <f>SUMIFS(Detalle!$F$2:$F$723,Detalle!$A$2:$A$723,"5A",Detalle!$E$2:$E$723,A11)</f>
        <v>2</v>
      </c>
      <c r="C11" s="10">
        <f t="shared" si="0"/>
        <v>5.7142857142857141E-2</v>
      </c>
    </row>
    <row r="12" spans="1:3" ht="13.5" customHeight="1">
      <c r="A12" s="65" t="s">
        <v>44</v>
      </c>
      <c r="B12" s="66">
        <f>SUMIFS(Detalle!$F$2:$F$723,Detalle!$A$2:$A$723,"5A",Detalle!$E$2:$E$723,A12)</f>
        <v>2</v>
      </c>
      <c r="C12" s="10">
        <f t="shared" si="0"/>
        <v>5.7142857142857141E-2</v>
      </c>
    </row>
    <row r="13" spans="1:3" ht="13.5" customHeight="1">
      <c r="A13" s="65" t="s">
        <v>39</v>
      </c>
      <c r="B13" s="66">
        <f>SUMIFS(Detalle!$F$2:$F$723,Detalle!$A$2:$A$723,"5A",Detalle!$E$2:$E$723,A13)</f>
        <v>2</v>
      </c>
      <c r="C13" s="10">
        <f t="shared" si="0"/>
        <v>5.7142857142857141E-2</v>
      </c>
    </row>
    <row r="14" spans="1:3" ht="13.5" customHeight="1">
      <c r="A14" s="65" t="s">
        <v>49</v>
      </c>
      <c r="B14" s="66">
        <f>SUMIFS(Detalle!$F$2:$F$723,Detalle!$A$2:$A$723,"5A",Detalle!$E$2:$E$723,A14)</f>
        <v>1</v>
      </c>
      <c r="C14" s="10">
        <f t="shared" si="0"/>
        <v>2.8571428571428571E-2</v>
      </c>
    </row>
    <row r="15" spans="1:3" ht="13.5" customHeight="1">
      <c r="A15" s="65" t="s">
        <v>42</v>
      </c>
      <c r="B15" s="66">
        <f>SUMIFS(Detalle!$F$2:$F$723,Detalle!$A$2:$A$723,"5A",Detalle!$E$2:$E$723,A15)</f>
        <v>1</v>
      </c>
      <c r="C15" s="10">
        <f t="shared" si="0"/>
        <v>2.8571428571428571E-2</v>
      </c>
    </row>
    <row r="16" spans="1:3" ht="13.5" customHeight="1">
      <c r="A16" s="65" t="s">
        <v>51</v>
      </c>
      <c r="B16" s="66">
        <f>SUMIFS(Detalle!$F$2:$F$723,Detalle!$A$2:$A$723,"5A",Detalle!$E$2:$E$723,A16)</f>
        <v>1</v>
      </c>
      <c r="C16" s="10">
        <f t="shared" si="0"/>
        <v>2.8571428571428571E-2</v>
      </c>
    </row>
    <row r="17" spans="1:3" ht="13.5" customHeight="1">
      <c r="A17" s="65" t="s">
        <v>45</v>
      </c>
      <c r="B17" s="66">
        <f>SUMIFS(Detalle!$F$2:$F$723,Detalle!$A$2:$A$723,"5A",Detalle!$E$2:$E$723,A17)</f>
        <v>1</v>
      </c>
      <c r="C17" s="10">
        <f t="shared" si="0"/>
        <v>2.8571428571428571E-2</v>
      </c>
    </row>
    <row r="18" spans="1:3" ht="13.5" customHeight="1">
      <c r="A18" s="65" t="s">
        <v>41</v>
      </c>
      <c r="B18" s="66">
        <f>SUMIFS(Detalle!$F$2:$F$723,Detalle!$A$2:$A$723,"5A",Detalle!$E$2:$E$723,A18)</f>
        <v>1</v>
      </c>
      <c r="C18" s="10">
        <f t="shared" si="0"/>
        <v>2.8571428571428571E-2</v>
      </c>
    </row>
    <row r="19" spans="1:3" ht="13.5" customHeight="1">
      <c r="A19" s="65" t="s">
        <v>50</v>
      </c>
      <c r="B19" s="66">
        <f>SUMIFS(Detalle!$F$2:$F$723,Detalle!$A$2:$A$723,"5A",Detalle!$E$2:$E$723,A19)</f>
        <v>1</v>
      </c>
      <c r="C19" s="10">
        <f t="shared" si="0"/>
        <v>2.8571428571428571E-2</v>
      </c>
    </row>
    <row r="20" spans="1:3" ht="13.5" customHeight="1">
      <c r="A20" s="65" t="s">
        <v>46</v>
      </c>
      <c r="B20" s="66">
        <f>SUMIFS(Detalle!$F$2:$F$723,Detalle!$A$2:$A$723,"5A",Detalle!$E$2:$E$723,A20)</f>
        <v>1</v>
      </c>
      <c r="C20" s="10">
        <f t="shared" si="0"/>
        <v>2.8571428571428571E-2</v>
      </c>
    </row>
    <row r="21" spans="1:3" ht="13.5" customHeight="1">
      <c r="A21" s="65" t="s">
        <v>48</v>
      </c>
      <c r="B21" s="66">
        <f>SUMIFS(Detalle!$F$2:$F$723,Detalle!$A$2:$A$723,"5A",Detalle!$E$2:$E$723,A21)</f>
        <v>1</v>
      </c>
      <c r="C21" s="10">
        <f t="shared" si="0"/>
        <v>2.8571428571428571E-2</v>
      </c>
    </row>
    <row r="22" spans="1:3" ht="13.5" customHeight="1">
      <c r="A22" s="65" t="s">
        <v>47</v>
      </c>
      <c r="B22" s="66">
        <f>SUMIFS(Detalle!$F$2:$F$723,Detalle!$A$2:$A$723,"5A",Detalle!$E$2:$E$723,A22)</f>
        <v>1</v>
      </c>
      <c r="C22" s="10">
        <f t="shared" si="0"/>
        <v>2.8571428571428571E-2</v>
      </c>
    </row>
    <row r="23" spans="1:3" ht="13.5" customHeight="1">
      <c r="A23" s="67" t="s">
        <v>28</v>
      </c>
      <c r="B23" s="68">
        <f>SUM(B5:B22)</f>
        <v>35</v>
      </c>
      <c r="C23" s="69">
        <f>SUM(C5:C22)</f>
        <v>1</v>
      </c>
    </row>
  </sheetData>
  <mergeCells count="1">
    <mergeCell ref="A1:C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3"/>
  <sheetViews>
    <sheetView workbookViewId="0">
      <selection activeCell="E22" sqref="E22"/>
    </sheetView>
  </sheetViews>
  <sheetFormatPr baseColWidth="10" defaultColWidth="8.6640625" defaultRowHeight="14"/>
  <cols>
    <col min="1" max="1" width="38" customWidth="1"/>
    <col min="2" max="2" width="18" customWidth="1"/>
    <col min="3" max="3" width="17" customWidth="1"/>
  </cols>
  <sheetData>
    <row r="1" spans="1:3" ht="18.75" customHeight="1">
      <c r="A1" s="72" t="s">
        <v>164</v>
      </c>
      <c r="B1" s="72"/>
      <c r="C1" s="72"/>
    </row>
    <row r="2" spans="1:3" ht="15.5" customHeight="1">
      <c r="A2" s="61" t="s">
        <v>152</v>
      </c>
      <c r="B2" s="62">
        <f>SUMIFS(Detalle!$F$2:$F$723,Detalle!$A$2:$A$723,"5B")</f>
        <v>35</v>
      </c>
      <c r="C2" s="7"/>
    </row>
    <row r="3" spans="1:3" ht="5.5" customHeight="1">
      <c r="A3" s="70"/>
      <c r="B3" s="71"/>
      <c r="C3" s="70"/>
    </row>
    <row r="4" spans="1:3" ht="13.5" customHeight="1">
      <c r="A4" s="14" t="s">
        <v>30</v>
      </c>
      <c r="B4" s="64" t="s">
        <v>2</v>
      </c>
      <c r="C4" s="14" t="s">
        <v>153</v>
      </c>
    </row>
    <row r="5" spans="1:3" ht="13.5" customHeight="1">
      <c r="A5" s="65" t="s">
        <v>35</v>
      </c>
      <c r="B5" s="66">
        <f>SUMIFS(Detalle!$F$2:$F$723,Detalle!$A$2:$A$723,"5B",Detalle!$E$2:$E$723,A5)</f>
        <v>4</v>
      </c>
      <c r="C5" s="10">
        <f t="shared" ref="C5:C22" si="0">IF($B$2=0,0,B5/$B$2)</f>
        <v>0.11428571428571428</v>
      </c>
    </row>
    <row r="6" spans="1:3" ht="13.5" customHeight="1">
      <c r="A6" s="65" t="s">
        <v>33</v>
      </c>
      <c r="B6" s="66">
        <f>SUMIFS(Detalle!$F$2:$F$723,Detalle!$A$2:$A$723,"5B",Detalle!$E$2:$E$723,A6)</f>
        <v>4</v>
      </c>
      <c r="C6" s="10">
        <f t="shared" si="0"/>
        <v>0.11428571428571428</v>
      </c>
    </row>
    <row r="7" spans="1:3" ht="13.5" customHeight="1">
      <c r="A7" s="65" t="s">
        <v>34</v>
      </c>
      <c r="B7" s="66">
        <f>SUMIFS(Detalle!$F$2:$F$723,Detalle!$A$2:$A$723,"5B",Detalle!$E$2:$E$723,A7)</f>
        <v>4</v>
      </c>
      <c r="C7" s="10">
        <f t="shared" si="0"/>
        <v>0.11428571428571428</v>
      </c>
    </row>
    <row r="8" spans="1:3" ht="13.5" customHeight="1">
      <c r="A8" s="65" t="s">
        <v>36</v>
      </c>
      <c r="B8" s="66">
        <f>SUMIFS(Detalle!$F$2:$F$723,Detalle!$A$2:$A$723,"5B",Detalle!$E$2:$E$723,A8)</f>
        <v>4</v>
      </c>
      <c r="C8" s="10">
        <f t="shared" si="0"/>
        <v>0.11428571428571428</v>
      </c>
    </row>
    <row r="9" spans="1:3" ht="13.5" customHeight="1">
      <c r="A9" s="65" t="s">
        <v>37</v>
      </c>
      <c r="B9" s="66">
        <f>SUMIFS(Detalle!$F$2:$F$723,Detalle!$A$2:$A$723,"5B",Detalle!$E$2:$E$723,A9)</f>
        <v>2</v>
      </c>
      <c r="C9" s="10">
        <f t="shared" si="0"/>
        <v>5.7142857142857141E-2</v>
      </c>
    </row>
    <row r="10" spans="1:3" ht="13.5" customHeight="1">
      <c r="A10" s="65" t="s">
        <v>38</v>
      </c>
      <c r="B10" s="66">
        <f>SUMIFS(Detalle!$F$2:$F$723,Detalle!$A$2:$A$723,"5B",Detalle!$E$2:$E$723,A10)</f>
        <v>2</v>
      </c>
      <c r="C10" s="10">
        <f t="shared" si="0"/>
        <v>5.7142857142857141E-2</v>
      </c>
    </row>
    <row r="11" spans="1:3" ht="13.5" customHeight="1">
      <c r="A11" s="65" t="s">
        <v>43</v>
      </c>
      <c r="B11" s="66">
        <f>SUMIFS(Detalle!$F$2:$F$723,Detalle!$A$2:$A$723,"5B",Detalle!$E$2:$E$723,A11)</f>
        <v>2</v>
      </c>
      <c r="C11" s="10">
        <f t="shared" si="0"/>
        <v>5.7142857142857141E-2</v>
      </c>
    </row>
    <row r="12" spans="1:3" ht="13.5" customHeight="1">
      <c r="A12" s="65" t="s">
        <v>44</v>
      </c>
      <c r="B12" s="66">
        <f>SUMIFS(Detalle!$F$2:$F$723,Detalle!$A$2:$A$723,"5B",Detalle!$E$2:$E$723,A12)</f>
        <v>2</v>
      </c>
      <c r="C12" s="10">
        <f t="shared" si="0"/>
        <v>5.7142857142857141E-2</v>
      </c>
    </row>
    <row r="13" spans="1:3" ht="13.5" customHeight="1">
      <c r="A13" s="65" t="s">
        <v>39</v>
      </c>
      <c r="B13" s="66">
        <f>SUMIFS(Detalle!$F$2:$F$723,Detalle!$A$2:$A$723,"5B",Detalle!$E$2:$E$723,A13)</f>
        <v>2</v>
      </c>
      <c r="C13" s="10">
        <f t="shared" si="0"/>
        <v>5.7142857142857141E-2</v>
      </c>
    </row>
    <row r="14" spans="1:3" ht="13.5" customHeight="1">
      <c r="A14" s="65" t="s">
        <v>49</v>
      </c>
      <c r="B14" s="66">
        <f>SUMIFS(Detalle!$F$2:$F$723,Detalle!$A$2:$A$723,"5B",Detalle!$E$2:$E$723,A14)</f>
        <v>1</v>
      </c>
      <c r="C14" s="10">
        <f t="shared" si="0"/>
        <v>2.8571428571428571E-2</v>
      </c>
    </row>
    <row r="15" spans="1:3" ht="13.5" customHeight="1">
      <c r="A15" s="65" t="s">
        <v>42</v>
      </c>
      <c r="B15" s="66">
        <f>SUMIFS(Detalle!$F$2:$F$723,Detalle!$A$2:$A$723,"5B",Detalle!$E$2:$E$723,A15)</f>
        <v>1</v>
      </c>
      <c r="C15" s="10">
        <f t="shared" si="0"/>
        <v>2.8571428571428571E-2</v>
      </c>
    </row>
    <row r="16" spans="1:3" ht="13.5" customHeight="1">
      <c r="A16" s="65" t="s">
        <v>51</v>
      </c>
      <c r="B16" s="66">
        <f>SUMIFS(Detalle!$F$2:$F$723,Detalle!$A$2:$A$723,"5B",Detalle!$E$2:$E$723,A16)</f>
        <v>1</v>
      </c>
      <c r="C16" s="10">
        <f t="shared" si="0"/>
        <v>2.8571428571428571E-2</v>
      </c>
    </row>
    <row r="17" spans="1:3" ht="13.5" customHeight="1">
      <c r="A17" s="65" t="s">
        <v>45</v>
      </c>
      <c r="B17" s="66">
        <f>SUMIFS(Detalle!$F$2:$F$723,Detalle!$A$2:$A$723,"5B",Detalle!$E$2:$E$723,A17)</f>
        <v>1</v>
      </c>
      <c r="C17" s="10">
        <f t="shared" si="0"/>
        <v>2.8571428571428571E-2</v>
      </c>
    </row>
    <row r="18" spans="1:3" ht="13.5" customHeight="1">
      <c r="A18" s="65" t="s">
        <v>41</v>
      </c>
      <c r="B18" s="66">
        <f>SUMIFS(Detalle!$F$2:$F$723,Detalle!$A$2:$A$723,"5B",Detalle!$E$2:$E$723,A18)</f>
        <v>1</v>
      </c>
      <c r="C18" s="10">
        <f t="shared" si="0"/>
        <v>2.8571428571428571E-2</v>
      </c>
    </row>
    <row r="19" spans="1:3" ht="13.5" customHeight="1">
      <c r="A19" s="65" t="s">
        <v>50</v>
      </c>
      <c r="B19" s="66">
        <f>SUMIFS(Detalle!$F$2:$F$723,Detalle!$A$2:$A$723,"5B",Detalle!$E$2:$E$723,A19)</f>
        <v>1</v>
      </c>
      <c r="C19" s="10">
        <f t="shared" si="0"/>
        <v>2.8571428571428571E-2</v>
      </c>
    </row>
    <row r="20" spans="1:3" ht="13.5" customHeight="1">
      <c r="A20" s="65" t="s">
        <v>46</v>
      </c>
      <c r="B20" s="66">
        <f>SUMIFS(Detalle!$F$2:$F$723,Detalle!$A$2:$A$723,"5B",Detalle!$E$2:$E$723,A20)</f>
        <v>1</v>
      </c>
      <c r="C20" s="10">
        <f t="shared" si="0"/>
        <v>2.8571428571428571E-2</v>
      </c>
    </row>
    <row r="21" spans="1:3" ht="13.5" customHeight="1">
      <c r="A21" s="65" t="s">
        <v>48</v>
      </c>
      <c r="B21" s="66">
        <f>SUMIFS(Detalle!$F$2:$F$723,Detalle!$A$2:$A$723,"5B",Detalle!$E$2:$E$723,A21)</f>
        <v>1</v>
      </c>
      <c r="C21" s="10">
        <f t="shared" si="0"/>
        <v>2.8571428571428571E-2</v>
      </c>
    </row>
    <row r="22" spans="1:3" ht="13.5" customHeight="1">
      <c r="A22" s="65" t="s">
        <v>47</v>
      </c>
      <c r="B22" s="66">
        <f>SUMIFS(Detalle!$F$2:$F$723,Detalle!$A$2:$A$723,"5B",Detalle!$E$2:$E$723,A22)</f>
        <v>1</v>
      </c>
      <c r="C22" s="10">
        <f t="shared" si="0"/>
        <v>2.8571428571428571E-2</v>
      </c>
    </row>
    <row r="23" spans="1:3" ht="13.5" customHeight="1">
      <c r="A23" s="67" t="s">
        <v>28</v>
      </c>
      <c r="B23" s="68">
        <f>SUM(B5:B22)</f>
        <v>35</v>
      </c>
      <c r="C23" s="69">
        <f>SUM(C5:C22)</f>
        <v>1</v>
      </c>
    </row>
  </sheetData>
  <mergeCells count="1">
    <mergeCell ref="A1:C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3"/>
  <sheetViews>
    <sheetView workbookViewId="0">
      <selection sqref="A1:C23"/>
    </sheetView>
  </sheetViews>
  <sheetFormatPr baseColWidth="10" defaultColWidth="8.6640625" defaultRowHeight="14"/>
  <cols>
    <col min="1" max="1" width="38" customWidth="1"/>
    <col min="2" max="2" width="18" customWidth="1"/>
    <col min="3" max="3" width="17" customWidth="1"/>
  </cols>
  <sheetData>
    <row r="1" spans="1:3" ht="18.75" customHeight="1">
      <c r="A1" s="72" t="s">
        <v>165</v>
      </c>
      <c r="B1" s="72"/>
      <c r="C1" s="72"/>
    </row>
    <row r="2" spans="1:3" ht="15.5" customHeight="1">
      <c r="A2" s="61" t="s">
        <v>152</v>
      </c>
      <c r="B2" s="62">
        <f>SUMIFS(Detalle!$F$2:$F$723,Detalle!$A$2:$A$723,"6A")</f>
        <v>35</v>
      </c>
      <c r="C2" s="7"/>
    </row>
    <row r="3" spans="1:3" ht="5.5" customHeight="1">
      <c r="A3" s="70"/>
      <c r="B3" s="71"/>
      <c r="C3" s="70"/>
    </row>
    <row r="4" spans="1:3" ht="13.5" customHeight="1">
      <c r="A4" s="14" t="s">
        <v>30</v>
      </c>
      <c r="B4" s="64" t="s">
        <v>2</v>
      </c>
      <c r="C4" s="14" t="s">
        <v>153</v>
      </c>
    </row>
    <row r="5" spans="1:3" ht="13.5" customHeight="1">
      <c r="A5" s="65" t="s">
        <v>35</v>
      </c>
      <c r="B5" s="66">
        <f>SUMIFS(Detalle!$F$2:$F$723,Detalle!$A$2:$A$723,"6A",Detalle!$E$2:$E$723,A5)</f>
        <v>4</v>
      </c>
      <c r="C5" s="10">
        <f t="shared" ref="C5:C22" si="0">IF($B$2=0,0,B5/$B$2)</f>
        <v>0.11428571428571428</v>
      </c>
    </row>
    <row r="6" spans="1:3" ht="13.5" customHeight="1">
      <c r="A6" s="65" t="s">
        <v>33</v>
      </c>
      <c r="B6" s="66">
        <f>SUMIFS(Detalle!$F$2:$F$723,Detalle!$A$2:$A$723,"6A",Detalle!$E$2:$E$723,A6)</f>
        <v>4</v>
      </c>
      <c r="C6" s="10">
        <f t="shared" si="0"/>
        <v>0.11428571428571428</v>
      </c>
    </row>
    <row r="7" spans="1:3" ht="13.5" customHeight="1">
      <c r="A7" s="65" t="s">
        <v>34</v>
      </c>
      <c r="B7" s="66">
        <f>SUMIFS(Detalle!$F$2:$F$723,Detalle!$A$2:$A$723,"6A",Detalle!$E$2:$E$723,A7)</f>
        <v>4</v>
      </c>
      <c r="C7" s="10">
        <f t="shared" si="0"/>
        <v>0.11428571428571428</v>
      </c>
    </row>
    <row r="8" spans="1:3" ht="13.5" customHeight="1">
      <c r="A8" s="65" t="s">
        <v>36</v>
      </c>
      <c r="B8" s="66">
        <f>SUMIFS(Detalle!$F$2:$F$723,Detalle!$A$2:$A$723,"6A",Detalle!$E$2:$E$723,A8)</f>
        <v>4</v>
      </c>
      <c r="C8" s="10">
        <f t="shared" si="0"/>
        <v>0.11428571428571428</v>
      </c>
    </row>
    <row r="9" spans="1:3" ht="13.5" customHeight="1">
      <c r="A9" s="65" t="s">
        <v>37</v>
      </c>
      <c r="B9" s="66">
        <f>SUMIFS(Detalle!$F$2:$F$723,Detalle!$A$2:$A$723,"6A",Detalle!$E$2:$E$723,A9)</f>
        <v>2</v>
      </c>
      <c r="C9" s="10">
        <f t="shared" si="0"/>
        <v>5.7142857142857141E-2</v>
      </c>
    </row>
    <row r="10" spans="1:3" ht="13.5" customHeight="1">
      <c r="A10" s="65" t="s">
        <v>38</v>
      </c>
      <c r="B10" s="66">
        <f>SUMIFS(Detalle!$F$2:$F$723,Detalle!$A$2:$A$723,"6A",Detalle!$E$2:$E$723,A10)</f>
        <v>2</v>
      </c>
      <c r="C10" s="10">
        <f t="shared" si="0"/>
        <v>5.7142857142857141E-2</v>
      </c>
    </row>
    <row r="11" spans="1:3" ht="13.5" customHeight="1">
      <c r="A11" s="65" t="s">
        <v>43</v>
      </c>
      <c r="B11" s="66">
        <f>SUMIFS(Detalle!$F$2:$F$723,Detalle!$A$2:$A$723,"6A",Detalle!$E$2:$E$723,A11)</f>
        <v>2</v>
      </c>
      <c r="C11" s="10">
        <f t="shared" si="0"/>
        <v>5.7142857142857141E-2</v>
      </c>
    </row>
    <row r="12" spans="1:3" ht="13.5" customHeight="1">
      <c r="A12" s="65" t="s">
        <v>44</v>
      </c>
      <c r="B12" s="66">
        <f>SUMIFS(Detalle!$F$2:$F$723,Detalle!$A$2:$A$723,"6A",Detalle!$E$2:$E$723,A12)</f>
        <v>2</v>
      </c>
      <c r="C12" s="10">
        <f t="shared" si="0"/>
        <v>5.7142857142857141E-2</v>
      </c>
    </row>
    <row r="13" spans="1:3" ht="13.5" customHeight="1">
      <c r="A13" s="65" t="s">
        <v>39</v>
      </c>
      <c r="B13" s="66">
        <f>SUMIFS(Detalle!$F$2:$F$723,Detalle!$A$2:$A$723,"6A",Detalle!$E$2:$E$723,A13)</f>
        <v>2</v>
      </c>
      <c r="C13" s="10">
        <f t="shared" si="0"/>
        <v>5.7142857142857141E-2</v>
      </c>
    </row>
    <row r="14" spans="1:3" ht="13.5" customHeight="1">
      <c r="A14" s="65" t="s">
        <v>49</v>
      </c>
      <c r="B14" s="66">
        <f>SUMIFS(Detalle!$F$2:$F$723,Detalle!$A$2:$A$723,"6A",Detalle!$E$2:$E$723,A14)</f>
        <v>1</v>
      </c>
      <c r="C14" s="10">
        <f t="shared" si="0"/>
        <v>2.8571428571428571E-2</v>
      </c>
    </row>
    <row r="15" spans="1:3" ht="13.5" customHeight="1">
      <c r="A15" s="65" t="s">
        <v>42</v>
      </c>
      <c r="B15" s="66">
        <f>SUMIFS(Detalle!$F$2:$F$723,Detalle!$A$2:$A$723,"6A",Detalle!$E$2:$E$723,A15)</f>
        <v>1</v>
      </c>
      <c r="C15" s="10">
        <f t="shared" si="0"/>
        <v>2.8571428571428571E-2</v>
      </c>
    </row>
    <row r="16" spans="1:3" ht="13.5" customHeight="1">
      <c r="A16" s="65" t="s">
        <v>51</v>
      </c>
      <c r="B16" s="66">
        <f>SUMIFS(Detalle!$F$2:$F$723,Detalle!$A$2:$A$723,"6A",Detalle!$E$2:$E$723,A16)</f>
        <v>1</v>
      </c>
      <c r="C16" s="10">
        <f t="shared" si="0"/>
        <v>2.8571428571428571E-2</v>
      </c>
    </row>
    <row r="17" spans="1:3" ht="13.5" customHeight="1">
      <c r="A17" s="65" t="s">
        <v>45</v>
      </c>
      <c r="B17" s="66">
        <f>SUMIFS(Detalle!$F$2:$F$723,Detalle!$A$2:$A$723,"6A",Detalle!$E$2:$E$723,A17)</f>
        <v>1</v>
      </c>
      <c r="C17" s="10">
        <f t="shared" si="0"/>
        <v>2.8571428571428571E-2</v>
      </c>
    </row>
    <row r="18" spans="1:3" ht="13.5" customHeight="1">
      <c r="A18" s="65" t="s">
        <v>41</v>
      </c>
      <c r="B18" s="66">
        <f>SUMIFS(Detalle!$F$2:$F$723,Detalle!$A$2:$A$723,"6A",Detalle!$E$2:$E$723,A18)</f>
        <v>1</v>
      </c>
      <c r="C18" s="10">
        <f t="shared" si="0"/>
        <v>2.8571428571428571E-2</v>
      </c>
    </row>
    <row r="19" spans="1:3" ht="13.5" customHeight="1">
      <c r="A19" s="65" t="s">
        <v>46</v>
      </c>
      <c r="B19" s="66">
        <f>SUMIFS(Detalle!$F$2:$F$723,Detalle!$A$2:$A$723,"6A",Detalle!$E$2:$E$723,A19)</f>
        <v>1</v>
      </c>
      <c r="C19" s="10">
        <f t="shared" si="0"/>
        <v>2.8571428571428571E-2</v>
      </c>
    </row>
    <row r="20" spans="1:3" ht="13.5" customHeight="1">
      <c r="A20" s="65" t="s">
        <v>48</v>
      </c>
      <c r="B20" s="66">
        <f>SUMIFS(Detalle!$F$2:$F$723,Detalle!$A$2:$A$723,"6A",Detalle!$E$2:$E$723,A20)</f>
        <v>1</v>
      </c>
      <c r="C20" s="10">
        <f t="shared" si="0"/>
        <v>2.8571428571428571E-2</v>
      </c>
    </row>
    <row r="21" spans="1:3" ht="13.5" customHeight="1">
      <c r="A21" s="65" t="s">
        <v>57</v>
      </c>
      <c r="B21" s="66">
        <f>SUMIFS(Detalle!$F$2:$F$723,Detalle!$A$2:$A$723,"6A",Detalle!$E$2:$E$723,A21)</f>
        <v>1</v>
      </c>
      <c r="C21" s="10">
        <f t="shared" si="0"/>
        <v>2.8571428571428571E-2</v>
      </c>
    </row>
    <row r="22" spans="1:3" ht="13.5" customHeight="1">
      <c r="A22" s="65" t="s">
        <v>47</v>
      </c>
      <c r="B22" s="66">
        <f>SUMIFS(Detalle!$F$2:$F$723,Detalle!$A$2:$A$723,"6A",Detalle!$E$2:$E$723,A22)</f>
        <v>1</v>
      </c>
      <c r="C22" s="10">
        <f t="shared" si="0"/>
        <v>2.8571428571428571E-2</v>
      </c>
    </row>
    <row r="23" spans="1:3" ht="13.5" customHeight="1">
      <c r="A23" s="67" t="s">
        <v>28</v>
      </c>
      <c r="B23" s="68">
        <f>SUM(B5:B22)</f>
        <v>35</v>
      </c>
      <c r="C23" s="69">
        <f>SUM(C5:C22)</f>
        <v>1</v>
      </c>
    </row>
  </sheetData>
  <mergeCells count="1">
    <mergeCell ref="A1:C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3"/>
  <sheetViews>
    <sheetView workbookViewId="0">
      <selection sqref="A1:C23"/>
    </sheetView>
  </sheetViews>
  <sheetFormatPr baseColWidth="10" defaultColWidth="8.6640625" defaultRowHeight="14"/>
  <cols>
    <col min="1" max="1" width="38" customWidth="1"/>
    <col min="2" max="2" width="18" customWidth="1"/>
    <col min="3" max="3" width="17" customWidth="1"/>
  </cols>
  <sheetData>
    <row r="1" spans="1:3" ht="18.75" customHeight="1">
      <c r="A1" s="72" t="s">
        <v>166</v>
      </c>
      <c r="B1" s="72"/>
      <c r="C1" s="72"/>
    </row>
    <row r="2" spans="1:3" ht="15.5" customHeight="1">
      <c r="A2" s="61" t="s">
        <v>152</v>
      </c>
      <c r="B2" s="62">
        <f>SUMIFS(Detalle!$F$2:$F$723,Detalle!$A$2:$A$723,"6B")</f>
        <v>35</v>
      </c>
      <c r="C2" s="7"/>
    </row>
    <row r="3" spans="1:3" ht="5.5" customHeight="1">
      <c r="A3" s="70"/>
      <c r="B3" s="71"/>
      <c r="C3" s="70"/>
    </row>
    <row r="4" spans="1:3" ht="13.5" customHeight="1">
      <c r="A4" s="14" t="s">
        <v>30</v>
      </c>
      <c r="B4" s="64" t="s">
        <v>2</v>
      </c>
      <c r="C4" s="14" t="s">
        <v>153</v>
      </c>
    </row>
    <row r="5" spans="1:3" ht="13.5" customHeight="1">
      <c r="A5" s="65" t="s">
        <v>35</v>
      </c>
      <c r="B5" s="66">
        <f>SUMIFS(Detalle!$F$2:$F$723,Detalle!$A$2:$A$723,"6B",Detalle!$E$2:$E$723,A5)</f>
        <v>4</v>
      </c>
      <c r="C5" s="10">
        <f t="shared" ref="C5:C22" si="0">IF($B$2=0,0,B5/$B$2)</f>
        <v>0.11428571428571428</v>
      </c>
    </row>
    <row r="6" spans="1:3" ht="13.5" customHeight="1">
      <c r="A6" s="65" t="s">
        <v>33</v>
      </c>
      <c r="B6" s="66">
        <f>SUMIFS(Detalle!$F$2:$F$723,Detalle!$A$2:$A$723,"6B",Detalle!$E$2:$E$723,A6)</f>
        <v>4</v>
      </c>
      <c r="C6" s="10">
        <f t="shared" si="0"/>
        <v>0.11428571428571428</v>
      </c>
    </row>
    <row r="7" spans="1:3" ht="13.5" customHeight="1">
      <c r="A7" s="65" t="s">
        <v>34</v>
      </c>
      <c r="B7" s="66">
        <f>SUMIFS(Detalle!$F$2:$F$723,Detalle!$A$2:$A$723,"6B",Detalle!$E$2:$E$723,A7)</f>
        <v>4</v>
      </c>
      <c r="C7" s="10">
        <f t="shared" si="0"/>
        <v>0.11428571428571428</v>
      </c>
    </row>
    <row r="8" spans="1:3" ht="13.5" customHeight="1">
      <c r="A8" s="65" t="s">
        <v>36</v>
      </c>
      <c r="B8" s="66">
        <f>SUMIFS(Detalle!$F$2:$F$723,Detalle!$A$2:$A$723,"6B",Detalle!$E$2:$E$723,A8)</f>
        <v>4</v>
      </c>
      <c r="C8" s="10">
        <f t="shared" si="0"/>
        <v>0.11428571428571428</v>
      </c>
    </row>
    <row r="9" spans="1:3" ht="13.5" customHeight="1">
      <c r="A9" s="65" t="s">
        <v>37</v>
      </c>
      <c r="B9" s="66">
        <f>SUMIFS(Detalle!$F$2:$F$723,Detalle!$A$2:$A$723,"6B",Detalle!$E$2:$E$723,A9)</f>
        <v>2</v>
      </c>
      <c r="C9" s="10">
        <f t="shared" si="0"/>
        <v>5.7142857142857141E-2</v>
      </c>
    </row>
    <row r="10" spans="1:3" ht="13.5" customHeight="1">
      <c r="A10" s="65" t="s">
        <v>38</v>
      </c>
      <c r="B10" s="66">
        <f>SUMIFS(Detalle!$F$2:$F$723,Detalle!$A$2:$A$723,"6B",Detalle!$E$2:$E$723,A10)</f>
        <v>2</v>
      </c>
      <c r="C10" s="10">
        <f t="shared" si="0"/>
        <v>5.7142857142857141E-2</v>
      </c>
    </row>
    <row r="11" spans="1:3" ht="13.5" customHeight="1">
      <c r="A11" s="65" t="s">
        <v>43</v>
      </c>
      <c r="B11" s="66">
        <f>SUMIFS(Detalle!$F$2:$F$723,Detalle!$A$2:$A$723,"6B",Detalle!$E$2:$E$723,A11)</f>
        <v>2</v>
      </c>
      <c r="C11" s="10">
        <f t="shared" si="0"/>
        <v>5.7142857142857141E-2</v>
      </c>
    </row>
    <row r="12" spans="1:3" ht="13.5" customHeight="1">
      <c r="A12" s="65" t="s">
        <v>44</v>
      </c>
      <c r="B12" s="66">
        <f>SUMIFS(Detalle!$F$2:$F$723,Detalle!$A$2:$A$723,"6B",Detalle!$E$2:$E$723,A12)</f>
        <v>2</v>
      </c>
      <c r="C12" s="10">
        <f t="shared" si="0"/>
        <v>5.7142857142857141E-2</v>
      </c>
    </row>
    <row r="13" spans="1:3" ht="13.5" customHeight="1">
      <c r="A13" s="65" t="s">
        <v>39</v>
      </c>
      <c r="B13" s="66">
        <f>SUMIFS(Detalle!$F$2:$F$723,Detalle!$A$2:$A$723,"6B",Detalle!$E$2:$E$723,A13)</f>
        <v>2</v>
      </c>
      <c r="C13" s="10">
        <f t="shared" si="0"/>
        <v>5.7142857142857141E-2</v>
      </c>
    </row>
    <row r="14" spans="1:3" ht="13.5" customHeight="1">
      <c r="A14" s="65" t="s">
        <v>49</v>
      </c>
      <c r="B14" s="66">
        <f>SUMIFS(Detalle!$F$2:$F$723,Detalle!$A$2:$A$723,"6B",Detalle!$E$2:$E$723,A14)</f>
        <v>1</v>
      </c>
      <c r="C14" s="10">
        <f t="shared" si="0"/>
        <v>2.8571428571428571E-2</v>
      </c>
    </row>
    <row r="15" spans="1:3" ht="13.5" customHeight="1">
      <c r="A15" s="65" t="s">
        <v>42</v>
      </c>
      <c r="B15" s="66">
        <f>SUMIFS(Detalle!$F$2:$F$723,Detalle!$A$2:$A$723,"6B",Detalle!$E$2:$E$723,A15)</f>
        <v>1</v>
      </c>
      <c r="C15" s="10">
        <f t="shared" si="0"/>
        <v>2.8571428571428571E-2</v>
      </c>
    </row>
    <row r="16" spans="1:3" ht="13.5" customHeight="1">
      <c r="A16" s="65" t="s">
        <v>51</v>
      </c>
      <c r="B16" s="66">
        <f>SUMIFS(Detalle!$F$2:$F$723,Detalle!$A$2:$A$723,"6B",Detalle!$E$2:$E$723,A16)</f>
        <v>1</v>
      </c>
      <c r="C16" s="10">
        <f t="shared" si="0"/>
        <v>2.8571428571428571E-2</v>
      </c>
    </row>
    <row r="17" spans="1:3" ht="13.5" customHeight="1">
      <c r="A17" s="65" t="s">
        <v>45</v>
      </c>
      <c r="B17" s="66">
        <f>SUMIFS(Detalle!$F$2:$F$723,Detalle!$A$2:$A$723,"6B",Detalle!$E$2:$E$723,A17)</f>
        <v>1</v>
      </c>
      <c r="C17" s="10">
        <f t="shared" si="0"/>
        <v>2.8571428571428571E-2</v>
      </c>
    </row>
    <row r="18" spans="1:3" ht="13.5" customHeight="1">
      <c r="A18" s="65" t="s">
        <v>41</v>
      </c>
      <c r="B18" s="66">
        <f>SUMIFS(Detalle!$F$2:$F$723,Detalle!$A$2:$A$723,"6B",Detalle!$E$2:$E$723,A18)</f>
        <v>1</v>
      </c>
      <c r="C18" s="10">
        <f t="shared" si="0"/>
        <v>2.8571428571428571E-2</v>
      </c>
    </row>
    <row r="19" spans="1:3" ht="13.5" customHeight="1">
      <c r="A19" s="65" t="s">
        <v>46</v>
      </c>
      <c r="B19" s="66">
        <f>SUMIFS(Detalle!$F$2:$F$723,Detalle!$A$2:$A$723,"6B",Detalle!$E$2:$E$723,A19)</f>
        <v>1</v>
      </c>
      <c r="C19" s="10">
        <f t="shared" si="0"/>
        <v>2.8571428571428571E-2</v>
      </c>
    </row>
    <row r="20" spans="1:3" ht="13.5" customHeight="1">
      <c r="A20" s="65" t="s">
        <v>48</v>
      </c>
      <c r="B20" s="66">
        <f>SUMIFS(Detalle!$F$2:$F$723,Detalle!$A$2:$A$723,"6B",Detalle!$E$2:$E$723,A20)</f>
        <v>1</v>
      </c>
      <c r="C20" s="10">
        <f t="shared" si="0"/>
        <v>2.8571428571428571E-2</v>
      </c>
    </row>
    <row r="21" spans="1:3" ht="13.5" customHeight="1">
      <c r="A21" s="65" t="s">
        <v>57</v>
      </c>
      <c r="B21" s="66">
        <f>SUMIFS(Detalle!$F$2:$F$723,Detalle!$A$2:$A$723,"6B",Detalle!$E$2:$E$723,A21)</f>
        <v>1</v>
      </c>
      <c r="C21" s="10">
        <f t="shared" si="0"/>
        <v>2.8571428571428571E-2</v>
      </c>
    </row>
    <row r="22" spans="1:3" ht="13.5" customHeight="1">
      <c r="A22" s="65" t="s">
        <v>47</v>
      </c>
      <c r="B22" s="66">
        <f>SUMIFS(Detalle!$F$2:$F$723,Detalle!$A$2:$A$723,"6B",Detalle!$E$2:$E$723,A22)</f>
        <v>1</v>
      </c>
      <c r="C22" s="10">
        <f t="shared" si="0"/>
        <v>2.8571428571428571E-2</v>
      </c>
    </row>
    <row r="23" spans="1:3" ht="13.5" customHeight="1">
      <c r="A23" s="67" t="s">
        <v>28</v>
      </c>
      <c r="B23" s="68">
        <f>SUM(B5:B22)</f>
        <v>35</v>
      </c>
      <c r="C23" s="69">
        <f>SUM(C5:C22)</f>
        <v>1</v>
      </c>
    </row>
  </sheetData>
  <mergeCells count="1">
    <mergeCell ref="A1:C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3"/>
  <sheetViews>
    <sheetView workbookViewId="0">
      <selection sqref="A1:C23"/>
    </sheetView>
  </sheetViews>
  <sheetFormatPr baseColWidth="10" defaultColWidth="8.6640625" defaultRowHeight="14"/>
  <cols>
    <col min="1" max="1" width="38" customWidth="1"/>
    <col min="2" max="2" width="18" customWidth="1"/>
    <col min="3" max="3" width="17" customWidth="1"/>
  </cols>
  <sheetData>
    <row r="1" spans="1:3" ht="18.75" customHeight="1">
      <c r="A1" s="72" t="s">
        <v>167</v>
      </c>
      <c r="B1" s="72"/>
      <c r="C1" s="72"/>
    </row>
    <row r="2" spans="1:3" ht="15.5" customHeight="1">
      <c r="A2" s="61" t="s">
        <v>152</v>
      </c>
      <c r="B2" s="62">
        <f>SUMIFS(Detalle!$F$2:$F$723,Detalle!$A$2:$A$723,"7A")</f>
        <v>35</v>
      </c>
      <c r="C2" s="7"/>
    </row>
    <row r="3" spans="1:3" ht="5.5" customHeight="1">
      <c r="A3" s="70"/>
      <c r="B3" s="71"/>
      <c r="C3" s="70"/>
    </row>
    <row r="4" spans="1:3" ht="13.5" customHeight="1">
      <c r="A4" s="14" t="s">
        <v>30</v>
      </c>
      <c r="B4" s="64" t="s">
        <v>2</v>
      </c>
      <c r="C4" s="14" t="s">
        <v>153</v>
      </c>
    </row>
    <row r="5" spans="1:3" ht="13.5" customHeight="1">
      <c r="A5" s="65" t="s">
        <v>35</v>
      </c>
      <c r="B5" s="66">
        <f>SUMIFS(Detalle!$F$2:$F$723,Detalle!$A$2:$A$723,"7A",Detalle!$E$2:$E$723,A5)</f>
        <v>4</v>
      </c>
      <c r="C5" s="10">
        <f t="shared" ref="C5:C22" si="0">IF($B$2=0,0,B5/$B$2)</f>
        <v>0.11428571428571428</v>
      </c>
    </row>
    <row r="6" spans="1:3" ht="13.5" customHeight="1">
      <c r="A6" s="65" t="s">
        <v>33</v>
      </c>
      <c r="B6" s="66">
        <f>SUMIFS(Detalle!$F$2:$F$723,Detalle!$A$2:$A$723,"7A",Detalle!$E$2:$E$723,A6)</f>
        <v>4</v>
      </c>
      <c r="C6" s="10">
        <f t="shared" si="0"/>
        <v>0.11428571428571428</v>
      </c>
    </row>
    <row r="7" spans="1:3" ht="13.5" customHeight="1">
      <c r="A7" s="65" t="s">
        <v>34</v>
      </c>
      <c r="B7" s="66">
        <f>SUMIFS(Detalle!$F$2:$F$723,Detalle!$A$2:$A$723,"7A",Detalle!$E$2:$E$723,A7)</f>
        <v>4</v>
      </c>
      <c r="C7" s="10">
        <f t="shared" si="0"/>
        <v>0.11428571428571428</v>
      </c>
    </row>
    <row r="8" spans="1:3" ht="13.5" customHeight="1">
      <c r="A8" s="65" t="s">
        <v>36</v>
      </c>
      <c r="B8" s="66">
        <f>SUMIFS(Detalle!$F$2:$F$723,Detalle!$A$2:$A$723,"7A",Detalle!$E$2:$E$723,A8)</f>
        <v>4</v>
      </c>
      <c r="C8" s="10">
        <f t="shared" si="0"/>
        <v>0.11428571428571428</v>
      </c>
    </row>
    <row r="9" spans="1:3" ht="13.5" customHeight="1">
      <c r="A9" s="65" t="s">
        <v>37</v>
      </c>
      <c r="B9" s="66">
        <f>SUMIFS(Detalle!$F$2:$F$723,Detalle!$A$2:$A$723,"7A",Detalle!$E$2:$E$723,A9)</f>
        <v>2</v>
      </c>
      <c r="C9" s="10">
        <f t="shared" si="0"/>
        <v>5.7142857142857141E-2</v>
      </c>
    </row>
    <row r="10" spans="1:3" ht="13.5" customHeight="1">
      <c r="A10" s="65" t="s">
        <v>38</v>
      </c>
      <c r="B10" s="66">
        <f>SUMIFS(Detalle!$F$2:$F$723,Detalle!$A$2:$A$723,"7A",Detalle!$E$2:$E$723,A10)</f>
        <v>2</v>
      </c>
      <c r="C10" s="10">
        <f t="shared" si="0"/>
        <v>5.7142857142857141E-2</v>
      </c>
    </row>
    <row r="11" spans="1:3" ht="13.5" customHeight="1">
      <c r="A11" s="65" t="s">
        <v>43</v>
      </c>
      <c r="B11" s="66">
        <f>SUMIFS(Detalle!$F$2:$F$723,Detalle!$A$2:$A$723,"7A",Detalle!$E$2:$E$723,A11)</f>
        <v>2</v>
      </c>
      <c r="C11" s="10">
        <f t="shared" si="0"/>
        <v>5.7142857142857141E-2</v>
      </c>
    </row>
    <row r="12" spans="1:3" ht="13.5" customHeight="1">
      <c r="A12" s="65" t="s">
        <v>44</v>
      </c>
      <c r="B12" s="66">
        <f>SUMIFS(Detalle!$F$2:$F$723,Detalle!$A$2:$A$723,"7A",Detalle!$E$2:$E$723,A12)</f>
        <v>2</v>
      </c>
      <c r="C12" s="10">
        <f t="shared" si="0"/>
        <v>5.7142857142857141E-2</v>
      </c>
    </row>
    <row r="13" spans="1:3" ht="13.5" customHeight="1">
      <c r="A13" s="65" t="s">
        <v>39</v>
      </c>
      <c r="B13" s="66">
        <f>SUMIFS(Detalle!$F$2:$F$723,Detalle!$A$2:$A$723,"7A",Detalle!$E$2:$E$723,A13)</f>
        <v>2</v>
      </c>
      <c r="C13" s="10">
        <f t="shared" si="0"/>
        <v>5.7142857142857141E-2</v>
      </c>
    </row>
    <row r="14" spans="1:3" ht="13.5" customHeight="1">
      <c r="A14" s="65" t="s">
        <v>49</v>
      </c>
      <c r="B14" s="66">
        <f>SUMIFS(Detalle!$F$2:$F$723,Detalle!$A$2:$A$723,"7A",Detalle!$E$2:$E$723,A14)</f>
        <v>1</v>
      </c>
      <c r="C14" s="10">
        <f t="shared" si="0"/>
        <v>2.8571428571428571E-2</v>
      </c>
    </row>
    <row r="15" spans="1:3" ht="13.5" customHeight="1">
      <c r="A15" s="65" t="s">
        <v>42</v>
      </c>
      <c r="B15" s="66">
        <f>SUMIFS(Detalle!$F$2:$F$723,Detalle!$A$2:$A$723,"7A",Detalle!$E$2:$E$723,A15)</f>
        <v>1</v>
      </c>
      <c r="C15" s="10">
        <f t="shared" si="0"/>
        <v>2.8571428571428571E-2</v>
      </c>
    </row>
    <row r="16" spans="1:3" ht="13.5" customHeight="1">
      <c r="A16" s="65" t="s">
        <v>51</v>
      </c>
      <c r="B16" s="66">
        <f>SUMIFS(Detalle!$F$2:$F$723,Detalle!$A$2:$A$723,"7A",Detalle!$E$2:$E$723,A16)</f>
        <v>1</v>
      </c>
      <c r="C16" s="10">
        <f t="shared" si="0"/>
        <v>2.8571428571428571E-2</v>
      </c>
    </row>
    <row r="17" spans="1:3" ht="13.5" customHeight="1">
      <c r="A17" s="65" t="s">
        <v>45</v>
      </c>
      <c r="B17" s="66">
        <f>SUMIFS(Detalle!$F$2:$F$723,Detalle!$A$2:$A$723,"7A",Detalle!$E$2:$E$723,A17)</f>
        <v>1</v>
      </c>
      <c r="C17" s="10">
        <f t="shared" si="0"/>
        <v>2.8571428571428571E-2</v>
      </c>
    </row>
    <row r="18" spans="1:3" ht="13.5" customHeight="1">
      <c r="A18" s="65" t="s">
        <v>41</v>
      </c>
      <c r="B18" s="66">
        <f>SUMIFS(Detalle!$F$2:$F$723,Detalle!$A$2:$A$723,"7A",Detalle!$E$2:$E$723,A18)</f>
        <v>1</v>
      </c>
      <c r="C18" s="10">
        <f t="shared" si="0"/>
        <v>2.8571428571428571E-2</v>
      </c>
    </row>
    <row r="19" spans="1:3" ht="13.5" customHeight="1">
      <c r="A19" s="65" t="s">
        <v>46</v>
      </c>
      <c r="B19" s="66">
        <f>SUMIFS(Detalle!$F$2:$F$723,Detalle!$A$2:$A$723,"7A",Detalle!$E$2:$E$723,A19)</f>
        <v>1</v>
      </c>
      <c r="C19" s="10">
        <f t="shared" si="0"/>
        <v>2.8571428571428571E-2</v>
      </c>
    </row>
    <row r="20" spans="1:3" ht="13.5" customHeight="1">
      <c r="A20" s="65" t="s">
        <v>48</v>
      </c>
      <c r="B20" s="66">
        <f>SUMIFS(Detalle!$F$2:$F$723,Detalle!$A$2:$A$723,"7A",Detalle!$E$2:$E$723,A20)</f>
        <v>1</v>
      </c>
      <c r="C20" s="10">
        <f t="shared" si="0"/>
        <v>2.8571428571428571E-2</v>
      </c>
    </row>
    <row r="21" spans="1:3" ht="13.5" customHeight="1">
      <c r="A21" s="65" t="s">
        <v>57</v>
      </c>
      <c r="B21" s="66">
        <f>SUMIFS(Detalle!$F$2:$F$723,Detalle!$A$2:$A$723,"7A",Detalle!$E$2:$E$723,A21)</f>
        <v>1</v>
      </c>
      <c r="C21" s="10">
        <f t="shared" si="0"/>
        <v>2.8571428571428571E-2</v>
      </c>
    </row>
    <row r="22" spans="1:3" ht="13.5" customHeight="1">
      <c r="A22" s="65" t="s">
        <v>47</v>
      </c>
      <c r="B22" s="66">
        <f>SUMIFS(Detalle!$F$2:$F$723,Detalle!$A$2:$A$723,"7A",Detalle!$E$2:$E$723,A22)</f>
        <v>1</v>
      </c>
      <c r="C22" s="10">
        <f t="shared" si="0"/>
        <v>2.8571428571428571E-2</v>
      </c>
    </row>
    <row r="23" spans="1:3" ht="13.5" customHeight="1">
      <c r="A23" s="67" t="s">
        <v>28</v>
      </c>
      <c r="B23" s="68">
        <f>SUM(B5:B22)</f>
        <v>35</v>
      </c>
      <c r="C23" s="69">
        <f>SUM(C5:C22)</f>
        <v>1</v>
      </c>
    </row>
  </sheetData>
  <mergeCells count="1">
    <mergeCell ref="A1:C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3"/>
  <sheetViews>
    <sheetView workbookViewId="0">
      <selection activeCell="E14" sqref="E14"/>
    </sheetView>
  </sheetViews>
  <sheetFormatPr baseColWidth="10" defaultColWidth="8.6640625" defaultRowHeight="14"/>
  <cols>
    <col min="1" max="1" width="38" customWidth="1"/>
    <col min="2" max="2" width="18" customWidth="1"/>
    <col min="3" max="3" width="17" customWidth="1"/>
  </cols>
  <sheetData>
    <row r="1" spans="1:3" ht="18.75" customHeight="1">
      <c r="A1" s="72" t="s">
        <v>168</v>
      </c>
      <c r="B1" s="72"/>
      <c r="C1" s="72"/>
    </row>
    <row r="2" spans="1:3" ht="15.5" customHeight="1">
      <c r="A2" s="61" t="s">
        <v>152</v>
      </c>
      <c r="B2" s="62">
        <f>SUMIFS(Detalle!$F$2:$F$723,Detalle!$A$2:$A$723,"7B")</f>
        <v>35</v>
      </c>
      <c r="C2" s="7"/>
    </row>
    <row r="3" spans="1:3" ht="5.5" customHeight="1">
      <c r="A3" s="70"/>
      <c r="B3" s="71"/>
      <c r="C3" s="70"/>
    </row>
    <row r="4" spans="1:3" ht="13.5" customHeight="1">
      <c r="A4" s="14" t="s">
        <v>30</v>
      </c>
      <c r="B4" s="64" t="s">
        <v>2</v>
      </c>
      <c r="C4" s="14" t="s">
        <v>153</v>
      </c>
    </row>
    <row r="5" spans="1:3" ht="13.5" customHeight="1">
      <c r="A5" s="65" t="s">
        <v>35</v>
      </c>
      <c r="B5" s="66">
        <f>SUMIFS(Detalle!$F$2:$F$723,Detalle!$A$2:$A$723,"7B",Detalle!$E$2:$E$723,A5)</f>
        <v>4</v>
      </c>
      <c r="C5" s="10">
        <f t="shared" ref="C5:C22" si="0">IF($B$2=0,0,B5/$B$2)</f>
        <v>0.11428571428571428</v>
      </c>
    </row>
    <row r="6" spans="1:3" ht="13.5" customHeight="1">
      <c r="A6" s="65" t="s">
        <v>33</v>
      </c>
      <c r="B6" s="66">
        <f>SUMIFS(Detalle!$F$2:$F$723,Detalle!$A$2:$A$723,"7B",Detalle!$E$2:$E$723,A6)</f>
        <v>4</v>
      </c>
      <c r="C6" s="10">
        <f t="shared" si="0"/>
        <v>0.11428571428571428</v>
      </c>
    </row>
    <row r="7" spans="1:3" ht="13.5" customHeight="1">
      <c r="A7" s="65" t="s">
        <v>34</v>
      </c>
      <c r="B7" s="66">
        <f>SUMIFS(Detalle!$F$2:$F$723,Detalle!$A$2:$A$723,"7B",Detalle!$E$2:$E$723,A7)</f>
        <v>4</v>
      </c>
      <c r="C7" s="10">
        <f t="shared" si="0"/>
        <v>0.11428571428571428</v>
      </c>
    </row>
    <row r="8" spans="1:3" ht="13.5" customHeight="1">
      <c r="A8" s="65" t="s">
        <v>36</v>
      </c>
      <c r="B8" s="66">
        <f>SUMIFS(Detalle!$F$2:$F$723,Detalle!$A$2:$A$723,"7B",Detalle!$E$2:$E$723,A8)</f>
        <v>4</v>
      </c>
      <c r="C8" s="10">
        <f t="shared" si="0"/>
        <v>0.11428571428571428</v>
      </c>
    </row>
    <row r="9" spans="1:3" ht="13.5" customHeight="1">
      <c r="A9" s="65" t="s">
        <v>37</v>
      </c>
      <c r="B9" s="66">
        <f>SUMIFS(Detalle!$F$2:$F$723,Detalle!$A$2:$A$723,"7B",Detalle!$E$2:$E$723,A9)</f>
        <v>2</v>
      </c>
      <c r="C9" s="10">
        <f t="shared" si="0"/>
        <v>5.7142857142857141E-2</v>
      </c>
    </row>
    <row r="10" spans="1:3" ht="13.5" customHeight="1">
      <c r="A10" s="65" t="s">
        <v>38</v>
      </c>
      <c r="B10" s="66">
        <f>SUMIFS(Detalle!$F$2:$F$723,Detalle!$A$2:$A$723,"7B",Detalle!$E$2:$E$723,A10)</f>
        <v>2</v>
      </c>
      <c r="C10" s="10">
        <f t="shared" si="0"/>
        <v>5.7142857142857141E-2</v>
      </c>
    </row>
    <row r="11" spans="1:3" ht="13.5" customHeight="1">
      <c r="A11" s="65" t="s">
        <v>43</v>
      </c>
      <c r="B11" s="66">
        <f>SUMIFS(Detalle!$F$2:$F$723,Detalle!$A$2:$A$723,"7B",Detalle!$E$2:$E$723,A11)</f>
        <v>2</v>
      </c>
      <c r="C11" s="10">
        <f t="shared" si="0"/>
        <v>5.7142857142857141E-2</v>
      </c>
    </row>
    <row r="12" spans="1:3" ht="13.5" customHeight="1">
      <c r="A12" s="65" t="s">
        <v>44</v>
      </c>
      <c r="B12" s="66">
        <f>SUMIFS(Detalle!$F$2:$F$723,Detalle!$A$2:$A$723,"7B",Detalle!$E$2:$E$723,A12)</f>
        <v>2</v>
      </c>
      <c r="C12" s="10">
        <f t="shared" si="0"/>
        <v>5.7142857142857141E-2</v>
      </c>
    </row>
    <row r="13" spans="1:3" ht="13.5" customHeight="1">
      <c r="A13" s="65" t="s">
        <v>39</v>
      </c>
      <c r="B13" s="66">
        <f>SUMIFS(Detalle!$F$2:$F$723,Detalle!$A$2:$A$723,"7B",Detalle!$E$2:$E$723,A13)</f>
        <v>2</v>
      </c>
      <c r="C13" s="10">
        <f t="shared" si="0"/>
        <v>5.7142857142857141E-2</v>
      </c>
    </row>
    <row r="14" spans="1:3" ht="13.5" customHeight="1">
      <c r="A14" s="65" t="s">
        <v>49</v>
      </c>
      <c r="B14" s="66">
        <f>SUMIFS(Detalle!$F$2:$F$723,Detalle!$A$2:$A$723,"7B",Detalle!$E$2:$E$723,A14)</f>
        <v>1</v>
      </c>
      <c r="C14" s="10">
        <f t="shared" si="0"/>
        <v>2.8571428571428571E-2</v>
      </c>
    </row>
    <row r="15" spans="1:3" ht="13.5" customHeight="1">
      <c r="A15" s="65" t="s">
        <v>42</v>
      </c>
      <c r="B15" s="66">
        <f>SUMIFS(Detalle!$F$2:$F$723,Detalle!$A$2:$A$723,"7B",Detalle!$E$2:$E$723,A15)</f>
        <v>1</v>
      </c>
      <c r="C15" s="10">
        <f t="shared" si="0"/>
        <v>2.8571428571428571E-2</v>
      </c>
    </row>
    <row r="16" spans="1:3" ht="13.5" customHeight="1">
      <c r="A16" s="65" t="s">
        <v>51</v>
      </c>
      <c r="B16" s="66">
        <f>SUMIFS(Detalle!$F$2:$F$723,Detalle!$A$2:$A$723,"7B",Detalle!$E$2:$E$723,A16)</f>
        <v>1</v>
      </c>
      <c r="C16" s="10">
        <f t="shared" si="0"/>
        <v>2.8571428571428571E-2</v>
      </c>
    </row>
    <row r="17" spans="1:3" ht="13.5" customHeight="1">
      <c r="A17" s="65" t="s">
        <v>45</v>
      </c>
      <c r="B17" s="66">
        <f>SUMIFS(Detalle!$F$2:$F$723,Detalle!$A$2:$A$723,"7B",Detalle!$E$2:$E$723,A17)</f>
        <v>1</v>
      </c>
      <c r="C17" s="10">
        <f t="shared" si="0"/>
        <v>2.8571428571428571E-2</v>
      </c>
    </row>
    <row r="18" spans="1:3" ht="13.5" customHeight="1">
      <c r="A18" s="65" t="s">
        <v>41</v>
      </c>
      <c r="B18" s="66">
        <f>SUMIFS(Detalle!$F$2:$F$723,Detalle!$A$2:$A$723,"7B",Detalle!$E$2:$E$723,A18)</f>
        <v>1</v>
      </c>
      <c r="C18" s="10">
        <f t="shared" si="0"/>
        <v>2.8571428571428571E-2</v>
      </c>
    </row>
    <row r="19" spans="1:3" ht="13.5" customHeight="1">
      <c r="A19" s="65" t="s">
        <v>46</v>
      </c>
      <c r="B19" s="66">
        <f>SUMIFS(Detalle!$F$2:$F$723,Detalle!$A$2:$A$723,"7B",Detalle!$E$2:$E$723,A19)</f>
        <v>1</v>
      </c>
      <c r="C19" s="10">
        <f t="shared" si="0"/>
        <v>2.8571428571428571E-2</v>
      </c>
    </row>
    <row r="20" spans="1:3" ht="13.5" customHeight="1">
      <c r="A20" s="65" t="s">
        <v>48</v>
      </c>
      <c r="B20" s="66">
        <f>SUMIFS(Detalle!$F$2:$F$723,Detalle!$A$2:$A$723,"7B",Detalle!$E$2:$E$723,A20)</f>
        <v>1</v>
      </c>
      <c r="C20" s="10">
        <f t="shared" si="0"/>
        <v>2.8571428571428571E-2</v>
      </c>
    </row>
    <row r="21" spans="1:3" ht="13.5" customHeight="1">
      <c r="A21" s="65" t="s">
        <v>57</v>
      </c>
      <c r="B21" s="66">
        <f>SUMIFS(Detalle!$F$2:$F$723,Detalle!$A$2:$A$723,"7B",Detalle!$E$2:$E$723,A21)</f>
        <v>1</v>
      </c>
      <c r="C21" s="10">
        <f t="shared" si="0"/>
        <v>2.8571428571428571E-2</v>
      </c>
    </row>
    <row r="22" spans="1:3" ht="13.5" customHeight="1">
      <c r="A22" s="65" t="s">
        <v>47</v>
      </c>
      <c r="B22" s="66">
        <f>SUMIFS(Detalle!$F$2:$F$723,Detalle!$A$2:$A$723,"7B",Detalle!$E$2:$E$723,A22)</f>
        <v>1</v>
      </c>
      <c r="C22" s="10">
        <f t="shared" si="0"/>
        <v>2.8571428571428571E-2</v>
      </c>
    </row>
    <row r="23" spans="1:3" ht="13.5" customHeight="1">
      <c r="A23" s="67" t="s">
        <v>28</v>
      </c>
      <c r="B23" s="68">
        <f>SUM(B5:B22)</f>
        <v>35</v>
      </c>
      <c r="C23" s="69">
        <f>SUM(C5:C22)</f>
        <v>1</v>
      </c>
    </row>
  </sheetData>
  <mergeCells count="1">
    <mergeCell ref="A1:C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4"/>
  <sheetViews>
    <sheetView workbookViewId="0">
      <selection sqref="A1:C24"/>
    </sheetView>
  </sheetViews>
  <sheetFormatPr baseColWidth="10" defaultColWidth="8.6640625" defaultRowHeight="14"/>
  <cols>
    <col min="1" max="1" width="38" customWidth="1"/>
    <col min="2" max="2" width="18" customWidth="1"/>
    <col min="3" max="3" width="17" customWidth="1"/>
  </cols>
  <sheetData>
    <row r="1" spans="1:3" ht="18.75" customHeight="1">
      <c r="A1" s="72" t="s">
        <v>169</v>
      </c>
      <c r="B1" s="72"/>
      <c r="C1" s="72"/>
    </row>
    <row r="2" spans="1:3" ht="15.5" customHeight="1">
      <c r="A2" s="61" t="s">
        <v>152</v>
      </c>
      <c r="B2" s="62">
        <f>SUMIFS(Detalle!$F$2:$F$723,Detalle!$A$2:$A$723,"8°")</f>
        <v>35</v>
      </c>
      <c r="C2" s="7"/>
    </row>
    <row r="3" spans="1:3" ht="5.5" customHeight="1">
      <c r="A3" s="70"/>
      <c r="B3" s="71"/>
      <c r="C3" s="70"/>
    </row>
    <row r="4" spans="1:3" ht="13.5" customHeight="1">
      <c r="A4" s="14" t="s">
        <v>30</v>
      </c>
      <c r="B4" s="64" t="s">
        <v>2</v>
      </c>
      <c r="C4" s="14" t="s">
        <v>153</v>
      </c>
    </row>
    <row r="5" spans="1:3" ht="13.5" customHeight="1">
      <c r="A5" s="65" t="s">
        <v>35</v>
      </c>
      <c r="B5" s="66">
        <f>SUMIFS(Detalle!$F$2:$F$723,Detalle!$A$2:$A$723,"8°",Detalle!$E$2:$E$723,A5)</f>
        <v>4</v>
      </c>
      <c r="C5" s="10">
        <f t="shared" ref="C5:C23" si="0">IF($B$2=0,0,B5/$B$2)</f>
        <v>0.11428571428571428</v>
      </c>
    </row>
    <row r="6" spans="1:3" ht="13.5" customHeight="1">
      <c r="A6" s="65" t="s">
        <v>33</v>
      </c>
      <c r="B6" s="66">
        <f>SUMIFS(Detalle!$F$2:$F$723,Detalle!$A$2:$A$723,"8°",Detalle!$E$2:$E$723,A6)</f>
        <v>4</v>
      </c>
      <c r="C6" s="10">
        <f t="shared" si="0"/>
        <v>0.11428571428571428</v>
      </c>
    </row>
    <row r="7" spans="1:3" ht="13.5" customHeight="1">
      <c r="A7" s="65" t="s">
        <v>52</v>
      </c>
      <c r="B7" s="66">
        <f>SUMIFS(Detalle!$F$2:$F$723,Detalle!$A$2:$A$723,"8°",Detalle!$E$2:$E$723,A7)</f>
        <v>4</v>
      </c>
      <c r="C7" s="10">
        <f t="shared" si="0"/>
        <v>0.11428571428571428</v>
      </c>
    </row>
    <row r="8" spans="1:3" ht="13.5" customHeight="1">
      <c r="A8" s="65" t="s">
        <v>34</v>
      </c>
      <c r="B8" s="66">
        <f>SUMIFS(Detalle!$F$2:$F$723,Detalle!$A$2:$A$723,"8°",Detalle!$E$2:$E$723,A8)</f>
        <v>3</v>
      </c>
      <c r="C8" s="10">
        <f t="shared" si="0"/>
        <v>8.5714285714285715E-2</v>
      </c>
    </row>
    <row r="9" spans="1:3" ht="13.5" customHeight="1">
      <c r="A9" s="65" t="s">
        <v>37</v>
      </c>
      <c r="B9" s="66">
        <f>SUMIFS(Detalle!$F$2:$F$723,Detalle!$A$2:$A$723,"8°",Detalle!$E$2:$E$723,A9)</f>
        <v>2</v>
      </c>
      <c r="C9" s="10">
        <f t="shared" si="0"/>
        <v>5.7142857142857141E-2</v>
      </c>
    </row>
    <row r="10" spans="1:3" ht="13.5" customHeight="1">
      <c r="A10" s="65" t="s">
        <v>38</v>
      </c>
      <c r="B10" s="66">
        <f>SUMIFS(Detalle!$F$2:$F$723,Detalle!$A$2:$A$723,"8°",Detalle!$E$2:$E$723,A10)</f>
        <v>2</v>
      </c>
      <c r="C10" s="10">
        <f t="shared" si="0"/>
        <v>5.7142857142857141E-2</v>
      </c>
    </row>
    <row r="11" spans="1:3" ht="13.5" customHeight="1">
      <c r="A11" s="65" t="s">
        <v>43</v>
      </c>
      <c r="B11" s="66">
        <f>SUMIFS(Detalle!$F$2:$F$723,Detalle!$A$2:$A$723,"8°",Detalle!$E$2:$E$723,A11)</f>
        <v>2</v>
      </c>
      <c r="C11" s="10">
        <f t="shared" si="0"/>
        <v>5.7142857142857141E-2</v>
      </c>
    </row>
    <row r="12" spans="1:3" ht="13.5" customHeight="1">
      <c r="A12" s="65" t="s">
        <v>44</v>
      </c>
      <c r="B12" s="66">
        <f>SUMIFS(Detalle!$F$2:$F$723,Detalle!$A$2:$A$723,"8°",Detalle!$E$2:$E$723,A12)</f>
        <v>2</v>
      </c>
      <c r="C12" s="10">
        <f t="shared" si="0"/>
        <v>5.7142857142857141E-2</v>
      </c>
    </row>
    <row r="13" spans="1:3" ht="13.5" customHeight="1">
      <c r="A13" s="65" t="s">
        <v>39</v>
      </c>
      <c r="B13" s="66">
        <f>SUMIFS(Detalle!$F$2:$F$723,Detalle!$A$2:$A$723,"8°",Detalle!$E$2:$E$723,A13)</f>
        <v>2</v>
      </c>
      <c r="C13" s="10">
        <f t="shared" si="0"/>
        <v>5.7142857142857141E-2</v>
      </c>
    </row>
    <row r="14" spans="1:3" ht="13.5" customHeight="1">
      <c r="A14" s="65" t="s">
        <v>49</v>
      </c>
      <c r="B14" s="66">
        <f>SUMIFS(Detalle!$F$2:$F$723,Detalle!$A$2:$A$723,"8°",Detalle!$E$2:$E$723,A14)</f>
        <v>1</v>
      </c>
      <c r="C14" s="10">
        <f t="shared" si="0"/>
        <v>2.8571428571428571E-2</v>
      </c>
    </row>
    <row r="15" spans="1:3" ht="13.5" customHeight="1">
      <c r="A15" s="65" t="s">
        <v>42</v>
      </c>
      <c r="B15" s="66">
        <f>SUMIFS(Detalle!$F$2:$F$723,Detalle!$A$2:$A$723,"8°",Detalle!$E$2:$E$723,A15)</f>
        <v>1</v>
      </c>
      <c r="C15" s="10">
        <f t="shared" si="0"/>
        <v>2.8571428571428571E-2</v>
      </c>
    </row>
    <row r="16" spans="1:3" ht="13.5" customHeight="1">
      <c r="A16" s="65" t="s">
        <v>51</v>
      </c>
      <c r="B16" s="66">
        <f>SUMIFS(Detalle!$F$2:$F$723,Detalle!$A$2:$A$723,"8°",Detalle!$E$2:$E$723,A16)</f>
        <v>1</v>
      </c>
      <c r="C16" s="10">
        <f t="shared" si="0"/>
        <v>2.8571428571428571E-2</v>
      </c>
    </row>
    <row r="17" spans="1:3" ht="13.5" customHeight="1">
      <c r="A17" s="65" t="s">
        <v>45</v>
      </c>
      <c r="B17" s="66">
        <f>SUMIFS(Detalle!$F$2:$F$723,Detalle!$A$2:$A$723,"8°",Detalle!$E$2:$E$723,A17)</f>
        <v>1</v>
      </c>
      <c r="C17" s="10">
        <f t="shared" si="0"/>
        <v>2.8571428571428571E-2</v>
      </c>
    </row>
    <row r="18" spans="1:3" ht="13.5" customHeight="1">
      <c r="A18" s="65" t="s">
        <v>41</v>
      </c>
      <c r="B18" s="66">
        <f>SUMIFS(Detalle!$F$2:$F$723,Detalle!$A$2:$A$723,"8°",Detalle!$E$2:$E$723,A18)</f>
        <v>1</v>
      </c>
      <c r="C18" s="10">
        <f t="shared" si="0"/>
        <v>2.8571428571428571E-2</v>
      </c>
    </row>
    <row r="19" spans="1:3" ht="13.5" customHeight="1">
      <c r="A19" s="65" t="s">
        <v>46</v>
      </c>
      <c r="B19" s="66">
        <f>SUMIFS(Detalle!$F$2:$F$723,Detalle!$A$2:$A$723,"8°",Detalle!$E$2:$E$723,A19)</f>
        <v>1</v>
      </c>
      <c r="C19" s="10">
        <f t="shared" si="0"/>
        <v>2.8571428571428571E-2</v>
      </c>
    </row>
    <row r="20" spans="1:3" ht="13.5" customHeight="1">
      <c r="A20" s="65" t="s">
        <v>48</v>
      </c>
      <c r="B20" s="66">
        <f>SUMIFS(Detalle!$F$2:$F$723,Detalle!$A$2:$A$723,"8°",Detalle!$E$2:$E$723,A20)</f>
        <v>1</v>
      </c>
      <c r="C20" s="10">
        <f t="shared" si="0"/>
        <v>2.8571428571428571E-2</v>
      </c>
    </row>
    <row r="21" spans="1:3" ht="13.5" customHeight="1">
      <c r="A21" s="65" t="s">
        <v>57</v>
      </c>
      <c r="B21" s="66">
        <f>SUMIFS(Detalle!$F$2:$F$723,Detalle!$A$2:$A$723,"8°",Detalle!$E$2:$E$723,A21)</f>
        <v>1</v>
      </c>
      <c r="C21" s="10">
        <f t="shared" si="0"/>
        <v>2.8571428571428571E-2</v>
      </c>
    </row>
    <row r="22" spans="1:3" ht="13.5" customHeight="1">
      <c r="A22" s="65" t="s">
        <v>80</v>
      </c>
      <c r="B22" s="66">
        <f>SUMIFS(Detalle!$F$2:$F$723,Detalle!$A$2:$A$723,"8°",Detalle!$E$2:$E$723,A22)</f>
        <v>1</v>
      </c>
      <c r="C22" s="10">
        <f t="shared" si="0"/>
        <v>2.8571428571428571E-2</v>
      </c>
    </row>
    <row r="23" spans="1:3" ht="13.5" customHeight="1">
      <c r="A23" s="65" t="s">
        <v>47</v>
      </c>
      <c r="B23" s="66">
        <f>SUMIFS(Detalle!$F$2:$F$723,Detalle!$A$2:$A$723,"8°",Detalle!$E$2:$E$723,A23)</f>
        <v>1</v>
      </c>
      <c r="C23" s="10">
        <f t="shared" si="0"/>
        <v>2.8571428571428571E-2</v>
      </c>
    </row>
    <row r="24" spans="1:3" ht="13.5" customHeight="1">
      <c r="A24" s="67" t="s">
        <v>28</v>
      </c>
      <c r="B24" s="68">
        <f>SUM(B5:B23)</f>
        <v>35</v>
      </c>
      <c r="C24" s="69">
        <f>SUM(C5:C23)</f>
        <v>1.0000000000000002</v>
      </c>
    </row>
  </sheetData>
  <mergeCells count="1">
    <mergeCell ref="A1:C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3"/>
  <sheetViews>
    <sheetView workbookViewId="0">
      <selection sqref="A1:C23"/>
    </sheetView>
  </sheetViews>
  <sheetFormatPr baseColWidth="10" defaultColWidth="8.6640625" defaultRowHeight="14"/>
  <cols>
    <col min="1" max="1" width="38" customWidth="1"/>
    <col min="2" max="2" width="18" customWidth="1"/>
    <col min="3" max="3" width="17" customWidth="1"/>
  </cols>
  <sheetData>
    <row r="1" spans="1:3" ht="18.75" customHeight="1">
      <c r="A1" s="72" t="s">
        <v>170</v>
      </c>
      <c r="B1" s="72"/>
      <c r="C1" s="72"/>
    </row>
    <row r="2" spans="1:3" ht="15.5" customHeight="1">
      <c r="A2" s="61" t="s">
        <v>152</v>
      </c>
      <c r="B2" s="62">
        <f>SUMIFS(Detalle!$F$2:$F$723,Detalle!$A$2:$A$723,"9°")</f>
        <v>35</v>
      </c>
      <c r="C2" s="7"/>
    </row>
    <row r="3" spans="1:3" ht="5.5" customHeight="1">
      <c r="A3" s="70"/>
      <c r="B3" s="71"/>
      <c r="C3" s="70"/>
    </row>
    <row r="4" spans="1:3" ht="13.5" customHeight="1">
      <c r="A4" s="14" t="s">
        <v>30</v>
      </c>
      <c r="B4" s="64" t="s">
        <v>2</v>
      </c>
      <c r="C4" s="14" t="s">
        <v>153</v>
      </c>
    </row>
    <row r="5" spans="1:3" ht="13.5" customHeight="1">
      <c r="A5" s="65" t="s">
        <v>35</v>
      </c>
      <c r="B5" s="66">
        <f>SUMIFS(Detalle!$F$2:$F$723,Detalle!$A$2:$A$723,"9°",Detalle!$E$2:$E$723,A5)</f>
        <v>4</v>
      </c>
      <c r="C5" s="10">
        <f t="shared" ref="C5:C22" si="0">IF($B$2=0,0,B5/$B$2)</f>
        <v>0.11428571428571428</v>
      </c>
    </row>
    <row r="6" spans="1:3" ht="13.5" customHeight="1">
      <c r="A6" s="65" t="s">
        <v>33</v>
      </c>
      <c r="B6" s="66">
        <f>SUMIFS(Detalle!$F$2:$F$723,Detalle!$A$2:$A$723,"9°",Detalle!$E$2:$E$723,A6)</f>
        <v>4</v>
      </c>
      <c r="C6" s="10">
        <f t="shared" si="0"/>
        <v>0.11428571428571428</v>
      </c>
    </row>
    <row r="7" spans="1:3" ht="13.5" customHeight="1">
      <c r="A7" s="65" t="s">
        <v>34</v>
      </c>
      <c r="B7" s="66">
        <f>SUMIFS(Detalle!$F$2:$F$723,Detalle!$A$2:$A$723,"9°",Detalle!$E$2:$E$723,A7)</f>
        <v>4</v>
      </c>
      <c r="C7" s="10">
        <f t="shared" si="0"/>
        <v>0.11428571428571428</v>
      </c>
    </row>
    <row r="8" spans="1:3" ht="13.5" customHeight="1">
      <c r="A8" s="65" t="s">
        <v>52</v>
      </c>
      <c r="B8" s="66">
        <f>SUMIFS(Detalle!$F$2:$F$723,Detalle!$A$2:$A$723,"9°",Detalle!$E$2:$E$723,A8)</f>
        <v>4</v>
      </c>
      <c r="C8" s="10">
        <f t="shared" si="0"/>
        <v>0.11428571428571428</v>
      </c>
    </row>
    <row r="9" spans="1:3" ht="13.5" customHeight="1">
      <c r="A9" s="65" t="s">
        <v>37</v>
      </c>
      <c r="B9" s="66">
        <f>SUMIFS(Detalle!$F$2:$F$723,Detalle!$A$2:$A$723,"9°",Detalle!$E$2:$E$723,A9)</f>
        <v>2</v>
      </c>
      <c r="C9" s="10">
        <f t="shared" si="0"/>
        <v>5.7142857142857141E-2</v>
      </c>
    </row>
    <row r="10" spans="1:3" ht="13.5" customHeight="1">
      <c r="A10" s="65" t="s">
        <v>38</v>
      </c>
      <c r="B10" s="66">
        <f>SUMIFS(Detalle!$F$2:$F$723,Detalle!$A$2:$A$723,"9°",Detalle!$E$2:$E$723,A10)</f>
        <v>2</v>
      </c>
      <c r="C10" s="10">
        <f t="shared" si="0"/>
        <v>5.7142857142857141E-2</v>
      </c>
    </row>
    <row r="11" spans="1:3" ht="13.5" customHeight="1">
      <c r="A11" s="65" t="s">
        <v>43</v>
      </c>
      <c r="B11" s="66">
        <f>SUMIFS(Detalle!$F$2:$F$723,Detalle!$A$2:$A$723,"9°",Detalle!$E$2:$E$723,A11)</f>
        <v>2</v>
      </c>
      <c r="C11" s="10">
        <f t="shared" si="0"/>
        <v>5.7142857142857141E-2</v>
      </c>
    </row>
    <row r="12" spans="1:3" ht="13.5" customHeight="1">
      <c r="A12" s="65" t="s">
        <v>44</v>
      </c>
      <c r="B12" s="66">
        <f>SUMIFS(Detalle!$F$2:$F$723,Detalle!$A$2:$A$723,"9°",Detalle!$E$2:$E$723,A12)</f>
        <v>2</v>
      </c>
      <c r="C12" s="10">
        <f t="shared" si="0"/>
        <v>5.7142857142857141E-2</v>
      </c>
    </row>
    <row r="13" spans="1:3" ht="13.5" customHeight="1">
      <c r="A13" s="65" t="s">
        <v>39</v>
      </c>
      <c r="B13" s="66">
        <f>SUMIFS(Detalle!$F$2:$F$723,Detalle!$A$2:$A$723,"9°",Detalle!$E$2:$E$723,A13)</f>
        <v>2</v>
      </c>
      <c r="C13" s="10">
        <f t="shared" si="0"/>
        <v>5.7142857142857141E-2</v>
      </c>
    </row>
    <row r="14" spans="1:3" ht="13.5" customHeight="1">
      <c r="A14" s="65" t="s">
        <v>49</v>
      </c>
      <c r="B14" s="66">
        <f>SUMIFS(Detalle!$F$2:$F$723,Detalle!$A$2:$A$723,"9°",Detalle!$E$2:$E$723,A14)</f>
        <v>1</v>
      </c>
      <c r="C14" s="10">
        <f t="shared" si="0"/>
        <v>2.8571428571428571E-2</v>
      </c>
    </row>
    <row r="15" spans="1:3" ht="13.5" customHeight="1">
      <c r="A15" s="65" t="s">
        <v>42</v>
      </c>
      <c r="B15" s="66">
        <f>SUMIFS(Detalle!$F$2:$F$723,Detalle!$A$2:$A$723,"9°",Detalle!$E$2:$E$723,A15)</f>
        <v>1</v>
      </c>
      <c r="C15" s="10">
        <f t="shared" si="0"/>
        <v>2.8571428571428571E-2</v>
      </c>
    </row>
    <row r="16" spans="1:3" ht="13.5" customHeight="1">
      <c r="A16" s="65" t="s">
        <v>51</v>
      </c>
      <c r="B16" s="66">
        <f>SUMIFS(Detalle!$F$2:$F$723,Detalle!$A$2:$A$723,"9°",Detalle!$E$2:$E$723,A16)</f>
        <v>1</v>
      </c>
      <c r="C16" s="10">
        <f t="shared" si="0"/>
        <v>2.8571428571428571E-2</v>
      </c>
    </row>
    <row r="17" spans="1:3" ht="13.5" customHeight="1">
      <c r="A17" s="65" t="s">
        <v>45</v>
      </c>
      <c r="B17" s="66">
        <f>SUMIFS(Detalle!$F$2:$F$723,Detalle!$A$2:$A$723,"9°",Detalle!$E$2:$E$723,A17)</f>
        <v>1</v>
      </c>
      <c r="C17" s="10">
        <f t="shared" si="0"/>
        <v>2.8571428571428571E-2</v>
      </c>
    </row>
    <row r="18" spans="1:3" ht="13.5" customHeight="1">
      <c r="A18" s="65" t="s">
        <v>41</v>
      </c>
      <c r="B18" s="66">
        <f>SUMIFS(Detalle!$F$2:$F$723,Detalle!$A$2:$A$723,"9°",Detalle!$E$2:$E$723,A18)</f>
        <v>1</v>
      </c>
      <c r="C18" s="10">
        <f t="shared" si="0"/>
        <v>2.8571428571428571E-2</v>
      </c>
    </row>
    <row r="19" spans="1:3" ht="13.5" customHeight="1">
      <c r="A19" s="65" t="s">
        <v>46</v>
      </c>
      <c r="B19" s="66">
        <f>SUMIFS(Detalle!$F$2:$F$723,Detalle!$A$2:$A$723,"9°",Detalle!$E$2:$E$723,A19)</f>
        <v>1</v>
      </c>
      <c r="C19" s="10">
        <f t="shared" si="0"/>
        <v>2.8571428571428571E-2</v>
      </c>
    </row>
    <row r="20" spans="1:3" ht="13.5" customHeight="1">
      <c r="A20" s="65" t="s">
        <v>48</v>
      </c>
      <c r="B20" s="66">
        <f>SUMIFS(Detalle!$F$2:$F$723,Detalle!$A$2:$A$723,"9°",Detalle!$E$2:$E$723,A20)</f>
        <v>1</v>
      </c>
      <c r="C20" s="10">
        <f t="shared" si="0"/>
        <v>2.8571428571428571E-2</v>
      </c>
    </row>
    <row r="21" spans="1:3" ht="13.5" customHeight="1">
      <c r="A21" s="65" t="s">
        <v>57</v>
      </c>
      <c r="B21" s="66">
        <f>SUMIFS(Detalle!$F$2:$F$723,Detalle!$A$2:$A$723,"9°",Detalle!$E$2:$E$723,A21)</f>
        <v>1</v>
      </c>
      <c r="C21" s="10">
        <f t="shared" si="0"/>
        <v>2.8571428571428571E-2</v>
      </c>
    </row>
    <row r="22" spans="1:3" ht="13.5" customHeight="1">
      <c r="A22" s="65" t="s">
        <v>47</v>
      </c>
      <c r="B22" s="66">
        <f>SUMIFS(Detalle!$F$2:$F$723,Detalle!$A$2:$A$723,"9°",Detalle!$E$2:$E$723,A22)</f>
        <v>1</v>
      </c>
      <c r="C22" s="10">
        <f t="shared" si="0"/>
        <v>2.8571428571428571E-2</v>
      </c>
    </row>
    <row r="23" spans="1:3" ht="13.5" customHeight="1">
      <c r="A23" s="67" t="s">
        <v>28</v>
      </c>
      <c r="B23" s="68">
        <f>SUM(B5:B22)</f>
        <v>35</v>
      </c>
      <c r="C23" s="69">
        <f>SUM(C5:C22)</f>
        <v>1</v>
      </c>
    </row>
  </sheetData>
  <mergeCells count="1">
    <mergeCell ref="A1:C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2"/>
  <sheetViews>
    <sheetView workbookViewId="0">
      <selection sqref="A1:C22"/>
    </sheetView>
  </sheetViews>
  <sheetFormatPr baseColWidth="10" defaultColWidth="8.6640625" defaultRowHeight="14"/>
  <cols>
    <col min="1" max="1" width="38" customWidth="1"/>
    <col min="2" max="2" width="18" customWidth="1"/>
    <col min="3" max="3" width="17" customWidth="1"/>
  </cols>
  <sheetData>
    <row r="1" spans="1:3" ht="18.75" customHeight="1">
      <c r="A1" s="72" t="s">
        <v>171</v>
      </c>
      <c r="B1" s="72"/>
      <c r="C1" s="72"/>
    </row>
    <row r="2" spans="1:3" ht="15.5" customHeight="1">
      <c r="A2" s="61" t="s">
        <v>152</v>
      </c>
      <c r="B2" s="62">
        <f>SUMIFS(Detalle!$F$2:$F$723,Detalle!$A$2:$A$723,"10°")</f>
        <v>35</v>
      </c>
      <c r="C2" s="7"/>
    </row>
    <row r="3" spans="1:3" ht="5.5" customHeight="1">
      <c r="A3" s="70"/>
      <c r="B3" s="71"/>
      <c r="C3" s="70"/>
    </row>
    <row r="4" spans="1:3" ht="13.5" customHeight="1">
      <c r="A4" s="14" t="s">
        <v>30</v>
      </c>
      <c r="B4" s="64" t="s">
        <v>2</v>
      </c>
      <c r="C4" s="14" t="s">
        <v>153</v>
      </c>
    </row>
    <row r="5" spans="1:3" ht="13.5" customHeight="1">
      <c r="A5" s="65" t="s">
        <v>33</v>
      </c>
      <c r="B5" s="66">
        <f>SUMIFS(Detalle!$F$2:$F$723,Detalle!$A$2:$A$723,"10°",Detalle!$E$2:$E$723,A5)</f>
        <v>5</v>
      </c>
      <c r="C5" s="10">
        <f t="shared" ref="C5:C21" si="0">IF($B$2=0,0,B5/$B$2)</f>
        <v>0.14285714285714285</v>
      </c>
    </row>
    <row r="6" spans="1:3" ht="13.5" customHeight="1">
      <c r="A6" s="65" t="s">
        <v>55</v>
      </c>
      <c r="B6" s="66">
        <f>SUMIFS(Detalle!$F$2:$F$723,Detalle!$A$2:$A$723,"10°",Detalle!$E$2:$E$723,A6)</f>
        <v>3</v>
      </c>
      <c r="C6" s="10">
        <f t="shared" si="0"/>
        <v>8.5714285714285715E-2</v>
      </c>
    </row>
    <row r="7" spans="1:3" ht="13.5" customHeight="1">
      <c r="A7" s="65" t="s">
        <v>34</v>
      </c>
      <c r="B7" s="66">
        <f>SUMIFS(Detalle!$F$2:$F$723,Detalle!$A$2:$A$723,"10°",Detalle!$E$2:$E$723,A7)</f>
        <v>3</v>
      </c>
      <c r="C7" s="10">
        <f t="shared" si="0"/>
        <v>8.5714285714285715E-2</v>
      </c>
    </row>
    <row r="8" spans="1:3" ht="13.5" customHeight="1">
      <c r="A8" s="65" t="s">
        <v>56</v>
      </c>
      <c r="B8" s="66">
        <f>SUMIFS(Detalle!$F$2:$F$723,Detalle!$A$2:$A$723,"10°",Detalle!$E$2:$E$723,A8)</f>
        <v>3</v>
      </c>
      <c r="C8" s="10">
        <f t="shared" si="0"/>
        <v>8.5714285714285715E-2</v>
      </c>
    </row>
    <row r="9" spans="1:3" ht="13.5" customHeight="1">
      <c r="A9" s="65" t="s">
        <v>63</v>
      </c>
      <c r="B9" s="66">
        <f>SUMIFS(Detalle!$F$2:$F$723,Detalle!$A$2:$A$723,"10°",Detalle!$E$2:$E$723,A9)</f>
        <v>3</v>
      </c>
      <c r="C9" s="10">
        <f t="shared" si="0"/>
        <v>8.5714285714285715E-2</v>
      </c>
    </row>
    <row r="10" spans="1:3" ht="13.5" customHeight="1">
      <c r="A10" s="65" t="s">
        <v>59</v>
      </c>
      <c r="B10" s="66">
        <f>SUMIFS(Detalle!$F$2:$F$723,Detalle!$A$2:$A$723,"10°",Detalle!$E$2:$E$723,A10)</f>
        <v>2</v>
      </c>
      <c r="C10" s="10">
        <f t="shared" si="0"/>
        <v>5.7142857142857141E-2</v>
      </c>
    </row>
    <row r="11" spans="1:3" ht="13.5" customHeight="1">
      <c r="A11" s="65" t="s">
        <v>37</v>
      </c>
      <c r="B11" s="66">
        <f>SUMIFS(Detalle!$F$2:$F$723,Detalle!$A$2:$A$723,"10°",Detalle!$E$2:$E$723,A11)</f>
        <v>2</v>
      </c>
      <c r="C11" s="10">
        <f t="shared" si="0"/>
        <v>5.7142857142857141E-2</v>
      </c>
    </row>
    <row r="12" spans="1:3" ht="13.5" customHeight="1">
      <c r="A12" s="65" t="s">
        <v>38</v>
      </c>
      <c r="B12" s="66">
        <f>SUMIFS(Detalle!$F$2:$F$723,Detalle!$A$2:$A$723,"10°",Detalle!$E$2:$E$723,A12)</f>
        <v>2</v>
      </c>
      <c r="C12" s="10">
        <f t="shared" si="0"/>
        <v>5.7142857142857141E-2</v>
      </c>
    </row>
    <row r="13" spans="1:3" ht="13.5" customHeight="1">
      <c r="A13" s="65" t="s">
        <v>60</v>
      </c>
      <c r="B13" s="66">
        <f>SUMIFS(Detalle!$F$2:$F$723,Detalle!$A$2:$A$723,"10°",Detalle!$E$2:$E$723,A13)</f>
        <v>2</v>
      </c>
      <c r="C13" s="10">
        <f t="shared" si="0"/>
        <v>5.7142857142857141E-2</v>
      </c>
    </row>
    <row r="14" spans="1:3" ht="13.5" customHeight="1">
      <c r="A14" s="65" t="s">
        <v>71</v>
      </c>
      <c r="B14" s="66">
        <f>SUMIFS(Detalle!$F$2:$F$723,Detalle!$A$2:$A$723,"10°",Detalle!$E$2:$E$723,A14)</f>
        <v>2</v>
      </c>
      <c r="C14" s="10">
        <f t="shared" si="0"/>
        <v>5.7142857142857141E-2</v>
      </c>
    </row>
    <row r="15" spans="1:3" ht="13.5" customHeight="1">
      <c r="A15" s="65" t="s">
        <v>76</v>
      </c>
      <c r="B15" s="66">
        <f>SUMIFS(Detalle!$F$2:$F$723,Detalle!$A$2:$A$723,"10°",Detalle!$E$2:$E$723,A15)</f>
        <v>2</v>
      </c>
      <c r="C15" s="10">
        <f t="shared" si="0"/>
        <v>5.7142857142857141E-2</v>
      </c>
    </row>
    <row r="16" spans="1:3" ht="13.5" customHeight="1">
      <c r="A16" s="65" t="s">
        <v>42</v>
      </c>
      <c r="B16" s="66">
        <f>SUMIFS(Detalle!$F$2:$F$723,Detalle!$A$2:$A$723,"10°",Detalle!$E$2:$E$723,A16)</f>
        <v>1</v>
      </c>
      <c r="C16" s="10">
        <f t="shared" si="0"/>
        <v>2.8571428571428571E-2</v>
      </c>
    </row>
    <row r="17" spans="1:3" ht="13.5" customHeight="1">
      <c r="A17" s="65" t="s">
        <v>45</v>
      </c>
      <c r="B17" s="66">
        <f>SUMIFS(Detalle!$F$2:$F$723,Detalle!$A$2:$A$723,"10°",Detalle!$E$2:$E$723,A17)</f>
        <v>1</v>
      </c>
      <c r="C17" s="10">
        <f t="shared" si="0"/>
        <v>2.8571428571428571E-2</v>
      </c>
    </row>
    <row r="18" spans="1:3" ht="13.5" customHeight="1">
      <c r="A18" s="65" t="s">
        <v>41</v>
      </c>
      <c r="B18" s="66">
        <f>SUMIFS(Detalle!$F$2:$F$723,Detalle!$A$2:$A$723,"10°",Detalle!$E$2:$E$723,A18)</f>
        <v>1</v>
      </c>
      <c r="C18" s="10">
        <f t="shared" si="0"/>
        <v>2.8571428571428571E-2</v>
      </c>
    </row>
    <row r="19" spans="1:3" ht="13.5" customHeight="1">
      <c r="A19" s="65" t="s">
        <v>46</v>
      </c>
      <c r="B19" s="66">
        <f>SUMIFS(Detalle!$F$2:$F$723,Detalle!$A$2:$A$723,"10°",Detalle!$E$2:$E$723,A19)</f>
        <v>1</v>
      </c>
      <c r="C19" s="10">
        <f t="shared" si="0"/>
        <v>2.8571428571428571E-2</v>
      </c>
    </row>
    <row r="20" spans="1:3" ht="13.5" customHeight="1">
      <c r="A20" s="65" t="s">
        <v>72</v>
      </c>
      <c r="B20" s="66">
        <f>SUMIFS(Detalle!$F$2:$F$723,Detalle!$A$2:$A$723,"10°",Detalle!$E$2:$E$723,A20)</f>
        <v>1</v>
      </c>
      <c r="C20" s="10">
        <f t="shared" si="0"/>
        <v>2.8571428571428571E-2</v>
      </c>
    </row>
    <row r="21" spans="1:3" ht="13.5" customHeight="1">
      <c r="A21" s="65" t="s">
        <v>47</v>
      </c>
      <c r="B21" s="66">
        <f>SUMIFS(Detalle!$F$2:$F$723,Detalle!$A$2:$A$723,"10°",Detalle!$E$2:$E$723,A21)</f>
        <v>1</v>
      </c>
      <c r="C21" s="10">
        <f t="shared" si="0"/>
        <v>2.8571428571428571E-2</v>
      </c>
    </row>
    <row r="22" spans="1:3" ht="13.5" customHeight="1">
      <c r="A22" s="67" t="s">
        <v>28</v>
      </c>
      <c r="B22" s="68">
        <f>SUM(B5:B21)</f>
        <v>35</v>
      </c>
      <c r="C22" s="69">
        <f>SUM(C5:C21)</f>
        <v>1.0000000000000002</v>
      </c>
    </row>
  </sheetData>
  <mergeCells count="1">
    <mergeCell ref="A1: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2"/>
  <sheetViews>
    <sheetView workbookViewId="0">
      <selection sqref="A1:C22"/>
    </sheetView>
  </sheetViews>
  <sheetFormatPr baseColWidth="10" defaultColWidth="8.6640625" defaultRowHeight="14"/>
  <cols>
    <col min="1" max="1" width="38" customWidth="1"/>
    <col min="2" max="2" width="18" customWidth="1"/>
    <col min="3" max="3" width="17" customWidth="1"/>
  </cols>
  <sheetData>
    <row r="1" spans="1:3" ht="18.75" customHeight="1">
      <c r="A1" s="72" t="s">
        <v>172</v>
      </c>
      <c r="B1" s="72"/>
      <c r="C1" s="72"/>
    </row>
    <row r="2" spans="1:3" ht="15.5" customHeight="1">
      <c r="A2" s="61" t="s">
        <v>152</v>
      </c>
      <c r="B2" s="62">
        <f>SUMIFS(Detalle!$F$2:$F$723,Detalle!$A$2:$A$723,"11°")</f>
        <v>35</v>
      </c>
      <c r="C2" s="7"/>
    </row>
    <row r="3" spans="1:3" ht="5.5" customHeight="1">
      <c r="A3" s="70"/>
      <c r="B3" s="71"/>
      <c r="C3" s="70"/>
    </row>
    <row r="4" spans="1:3" ht="13.5" customHeight="1">
      <c r="A4" s="14" t="s">
        <v>30</v>
      </c>
      <c r="B4" s="64" t="s">
        <v>2</v>
      </c>
      <c r="C4" s="14" t="s">
        <v>153</v>
      </c>
    </row>
    <row r="5" spans="1:3" ht="13.5" customHeight="1">
      <c r="A5" s="65" t="s">
        <v>33</v>
      </c>
      <c r="B5" s="66">
        <f>SUMIFS(Detalle!$F$2:$F$723,Detalle!$A$2:$A$723,"11°",Detalle!$E$2:$E$723,A5)</f>
        <v>5</v>
      </c>
      <c r="C5" s="10">
        <f t="shared" ref="C5:C21" si="0">IF($B$2=0,0,B5/$B$2)</f>
        <v>0.14285714285714285</v>
      </c>
    </row>
    <row r="6" spans="1:3" ht="13.5" customHeight="1">
      <c r="A6" s="65" t="s">
        <v>61</v>
      </c>
      <c r="B6" s="66">
        <f>SUMIFS(Detalle!$F$2:$F$723,Detalle!$A$2:$A$723,"11°",Detalle!$E$2:$E$723,A6)</f>
        <v>3</v>
      </c>
      <c r="C6" s="10">
        <f t="shared" si="0"/>
        <v>8.5714285714285715E-2</v>
      </c>
    </row>
    <row r="7" spans="1:3" ht="13.5" customHeight="1">
      <c r="A7" s="65" t="s">
        <v>55</v>
      </c>
      <c r="B7" s="66">
        <f>SUMIFS(Detalle!$F$2:$F$723,Detalle!$A$2:$A$723,"11°",Detalle!$E$2:$E$723,A7)</f>
        <v>3</v>
      </c>
      <c r="C7" s="10">
        <f t="shared" si="0"/>
        <v>8.5714285714285715E-2</v>
      </c>
    </row>
    <row r="8" spans="1:3" ht="13.5" customHeight="1">
      <c r="A8" s="65" t="s">
        <v>34</v>
      </c>
      <c r="B8" s="66">
        <f>SUMIFS(Detalle!$F$2:$F$723,Detalle!$A$2:$A$723,"11°",Detalle!$E$2:$E$723,A8)</f>
        <v>3</v>
      </c>
      <c r="C8" s="10">
        <f t="shared" si="0"/>
        <v>8.5714285714285715E-2</v>
      </c>
    </row>
    <row r="9" spans="1:3" ht="13.5" customHeight="1">
      <c r="A9" s="65" t="s">
        <v>56</v>
      </c>
      <c r="B9" s="66">
        <f>SUMIFS(Detalle!$F$2:$F$723,Detalle!$A$2:$A$723,"11°",Detalle!$E$2:$E$723,A9)</f>
        <v>3</v>
      </c>
      <c r="C9" s="10">
        <f t="shared" si="0"/>
        <v>8.5714285714285715E-2</v>
      </c>
    </row>
    <row r="10" spans="1:3" ht="13.5" customHeight="1">
      <c r="A10" s="65" t="s">
        <v>59</v>
      </c>
      <c r="B10" s="66">
        <f>SUMIFS(Detalle!$F$2:$F$723,Detalle!$A$2:$A$723,"11°",Detalle!$E$2:$E$723,A10)</f>
        <v>2</v>
      </c>
      <c r="C10" s="10">
        <f t="shared" si="0"/>
        <v>5.7142857142857141E-2</v>
      </c>
    </row>
    <row r="11" spans="1:3" ht="13.5" customHeight="1">
      <c r="A11" s="65" t="s">
        <v>37</v>
      </c>
      <c r="B11" s="66">
        <f>SUMIFS(Detalle!$F$2:$F$723,Detalle!$A$2:$A$723,"11°",Detalle!$E$2:$E$723,A11)</f>
        <v>2</v>
      </c>
      <c r="C11" s="10">
        <f t="shared" si="0"/>
        <v>5.7142857142857141E-2</v>
      </c>
    </row>
    <row r="12" spans="1:3" ht="13.5" customHeight="1">
      <c r="A12" s="65" t="s">
        <v>38</v>
      </c>
      <c r="B12" s="66">
        <f>SUMIFS(Detalle!$F$2:$F$723,Detalle!$A$2:$A$723,"11°",Detalle!$E$2:$E$723,A12)</f>
        <v>2</v>
      </c>
      <c r="C12" s="10">
        <f t="shared" si="0"/>
        <v>5.7142857142857141E-2</v>
      </c>
    </row>
    <row r="13" spans="1:3" ht="13.5" customHeight="1">
      <c r="A13" s="65" t="s">
        <v>60</v>
      </c>
      <c r="B13" s="66">
        <f>SUMIFS(Detalle!$F$2:$F$723,Detalle!$A$2:$A$723,"11°",Detalle!$E$2:$E$723,A13)</f>
        <v>2</v>
      </c>
      <c r="C13" s="10">
        <f t="shared" si="0"/>
        <v>5.7142857142857141E-2</v>
      </c>
    </row>
    <row r="14" spans="1:3" ht="13.5" customHeight="1">
      <c r="A14" s="65" t="s">
        <v>69</v>
      </c>
      <c r="B14" s="66">
        <f>SUMIFS(Detalle!$F$2:$F$723,Detalle!$A$2:$A$723,"11°",Detalle!$E$2:$E$723,A14)</f>
        <v>2</v>
      </c>
      <c r="C14" s="10">
        <f t="shared" si="0"/>
        <v>5.7142857142857141E-2</v>
      </c>
    </row>
    <row r="15" spans="1:3" ht="13.5" customHeight="1">
      <c r="A15" s="65" t="s">
        <v>39</v>
      </c>
      <c r="B15" s="66">
        <f>SUMIFS(Detalle!$F$2:$F$723,Detalle!$A$2:$A$723,"11°",Detalle!$E$2:$E$723,A15)</f>
        <v>2</v>
      </c>
      <c r="C15" s="10">
        <f t="shared" si="0"/>
        <v>5.7142857142857141E-2</v>
      </c>
    </row>
    <row r="16" spans="1:3" ht="13.5" customHeight="1">
      <c r="A16" s="65" t="s">
        <v>65</v>
      </c>
      <c r="B16" s="66">
        <f>SUMIFS(Detalle!$F$2:$F$723,Detalle!$A$2:$A$723,"11°",Detalle!$E$2:$E$723,A16)</f>
        <v>1</v>
      </c>
      <c r="C16" s="10">
        <f t="shared" si="0"/>
        <v>2.8571428571428571E-2</v>
      </c>
    </row>
    <row r="17" spans="1:3" ht="13.5" customHeight="1">
      <c r="A17" s="65" t="s">
        <v>42</v>
      </c>
      <c r="B17" s="66">
        <f>SUMIFS(Detalle!$F$2:$F$723,Detalle!$A$2:$A$723,"11°",Detalle!$E$2:$E$723,A17)</f>
        <v>1</v>
      </c>
      <c r="C17" s="10">
        <f t="shared" si="0"/>
        <v>2.8571428571428571E-2</v>
      </c>
    </row>
    <row r="18" spans="1:3" ht="13.5" customHeight="1">
      <c r="A18" s="65" t="s">
        <v>45</v>
      </c>
      <c r="B18" s="66">
        <f>SUMIFS(Detalle!$F$2:$F$723,Detalle!$A$2:$A$723,"11°",Detalle!$E$2:$E$723,A18)</f>
        <v>1</v>
      </c>
      <c r="C18" s="10">
        <f t="shared" si="0"/>
        <v>2.8571428571428571E-2</v>
      </c>
    </row>
    <row r="19" spans="1:3" ht="13.5" customHeight="1">
      <c r="A19" s="65" t="s">
        <v>41</v>
      </c>
      <c r="B19" s="66">
        <f>SUMIFS(Detalle!$F$2:$F$723,Detalle!$A$2:$A$723,"11°",Detalle!$E$2:$E$723,A19)</f>
        <v>1</v>
      </c>
      <c r="C19" s="10">
        <f t="shared" si="0"/>
        <v>2.8571428571428571E-2</v>
      </c>
    </row>
    <row r="20" spans="1:3" ht="13.5" customHeight="1">
      <c r="A20" s="65" t="s">
        <v>79</v>
      </c>
      <c r="B20" s="66">
        <f>SUMIFS(Detalle!$F$2:$F$723,Detalle!$A$2:$A$723,"11°",Detalle!$E$2:$E$723,A20)</f>
        <v>1</v>
      </c>
      <c r="C20" s="10">
        <f t="shared" si="0"/>
        <v>2.8571428571428571E-2</v>
      </c>
    </row>
    <row r="21" spans="1:3" ht="13.5" customHeight="1">
      <c r="A21" s="65" t="s">
        <v>47</v>
      </c>
      <c r="B21" s="66">
        <f>SUMIFS(Detalle!$F$2:$F$723,Detalle!$A$2:$A$723,"11°",Detalle!$E$2:$E$723,A21)</f>
        <v>1</v>
      </c>
      <c r="C21" s="10">
        <f t="shared" si="0"/>
        <v>2.8571428571428571E-2</v>
      </c>
    </row>
    <row r="22" spans="1:3" ht="13.5" customHeight="1">
      <c r="A22" s="67" t="s">
        <v>28</v>
      </c>
      <c r="B22" s="68">
        <f>SUM(B5:B21)</f>
        <v>35</v>
      </c>
      <c r="C22" s="69">
        <f>SUM(C5:C21)</f>
        <v>1.0000000000000002</v>
      </c>
    </row>
  </sheetData>
  <mergeCells count="1">
    <mergeCell ref="A1:C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7"/>
  <sheetViews>
    <sheetView workbookViewId="0">
      <selection activeCell="F10" sqref="F10"/>
    </sheetView>
  </sheetViews>
  <sheetFormatPr baseColWidth="10" defaultColWidth="8.6640625" defaultRowHeight="14"/>
  <cols>
    <col min="1" max="1" width="38" customWidth="1"/>
    <col min="2" max="2" width="18" customWidth="1"/>
    <col min="3" max="3" width="17" customWidth="1"/>
  </cols>
  <sheetData>
    <row r="1" spans="1:3" ht="18.75" customHeight="1">
      <c r="A1" s="72" t="s">
        <v>173</v>
      </c>
      <c r="B1" s="72"/>
      <c r="C1" s="72"/>
    </row>
    <row r="2" spans="1:3" ht="15.5" customHeight="1">
      <c r="A2" s="61" t="s">
        <v>152</v>
      </c>
      <c r="B2" s="62">
        <f>SUMIFS(Detalle!$F$2:$F$723,Detalle!$A$2:$A$723,"IV SEMESTRE")</f>
        <v>22</v>
      </c>
      <c r="C2" s="7"/>
    </row>
    <row r="3" spans="1:3" ht="5.5" customHeight="1">
      <c r="A3" s="70"/>
      <c r="B3" s="71"/>
      <c r="C3" s="70"/>
    </row>
    <row r="4" spans="1:3" ht="13.5" customHeight="1">
      <c r="A4" s="14" t="s">
        <v>30</v>
      </c>
      <c r="B4" s="64" t="s">
        <v>2</v>
      </c>
      <c r="C4" s="14" t="s">
        <v>153</v>
      </c>
    </row>
    <row r="5" spans="1:3" ht="13.5" customHeight="1">
      <c r="A5" s="65" t="s">
        <v>62</v>
      </c>
      <c r="B5" s="66">
        <f>SUMIFS(Detalle!$F$2:$F$723,Detalle!$A$2:$A$723,"IV SEMESTRE",Detalle!$E$2:$E$723,A5)</f>
        <v>3</v>
      </c>
      <c r="C5" s="10">
        <f t="shared" ref="C5:C16" si="0">IF($B$2=0,0,B5/$B$2)</f>
        <v>0.13636363636363635</v>
      </c>
    </row>
    <row r="6" spans="1:3" ht="13.5" customHeight="1">
      <c r="A6" s="65" t="s">
        <v>64</v>
      </c>
      <c r="B6" s="66">
        <f>SUMIFS(Detalle!$F$2:$F$723,Detalle!$A$2:$A$723,"IV SEMESTRE",Detalle!$E$2:$E$723,A6)</f>
        <v>2</v>
      </c>
      <c r="C6" s="10">
        <f t="shared" si="0"/>
        <v>9.0909090909090912E-2</v>
      </c>
    </row>
    <row r="7" spans="1:3" ht="13.5" customHeight="1">
      <c r="A7" s="65" t="s">
        <v>66</v>
      </c>
      <c r="B7" s="66">
        <f>SUMIFS(Detalle!$F$2:$F$723,Detalle!$A$2:$A$723,"IV SEMESTRE",Detalle!$E$2:$E$723,A7)</f>
        <v>2</v>
      </c>
      <c r="C7" s="10">
        <f t="shared" si="0"/>
        <v>9.0909090909090912E-2</v>
      </c>
    </row>
    <row r="8" spans="1:3" ht="13.5" customHeight="1">
      <c r="A8" s="65" t="s">
        <v>68</v>
      </c>
      <c r="B8" s="66">
        <f>SUMIFS(Detalle!$F$2:$F$723,Detalle!$A$2:$A$723,"IV SEMESTRE",Detalle!$E$2:$E$723,A8)</f>
        <v>2</v>
      </c>
      <c r="C8" s="10">
        <f t="shared" si="0"/>
        <v>9.0909090909090912E-2</v>
      </c>
    </row>
    <row r="9" spans="1:3" ht="13.5" customHeight="1">
      <c r="A9" s="65" t="s">
        <v>70</v>
      </c>
      <c r="B9" s="66">
        <f>SUMIFS(Detalle!$F$2:$F$723,Detalle!$A$2:$A$723,"IV SEMESTRE",Detalle!$E$2:$E$723,A9)</f>
        <v>2</v>
      </c>
      <c r="C9" s="10">
        <f t="shared" si="0"/>
        <v>9.0909090909090912E-2</v>
      </c>
    </row>
    <row r="10" spans="1:3" ht="13.5" customHeight="1">
      <c r="A10" s="65" t="s">
        <v>73</v>
      </c>
      <c r="B10" s="66">
        <f>SUMIFS(Detalle!$F$2:$F$723,Detalle!$A$2:$A$723,"IV SEMESTRE",Detalle!$E$2:$E$723,A10)</f>
        <v>2</v>
      </c>
      <c r="C10" s="10">
        <f t="shared" si="0"/>
        <v>9.0909090909090912E-2</v>
      </c>
    </row>
    <row r="11" spans="1:3" ht="13.5" customHeight="1">
      <c r="A11" s="65" t="s">
        <v>74</v>
      </c>
      <c r="B11" s="66">
        <f>SUMIFS(Detalle!$F$2:$F$723,Detalle!$A$2:$A$723,"IV SEMESTRE",Detalle!$E$2:$E$723,A11)</f>
        <v>2</v>
      </c>
      <c r="C11" s="10">
        <f t="shared" si="0"/>
        <v>9.0909090909090912E-2</v>
      </c>
    </row>
    <row r="12" spans="1:3" ht="13.5" customHeight="1">
      <c r="A12" s="65" t="s">
        <v>75</v>
      </c>
      <c r="B12" s="66">
        <f>SUMIFS(Detalle!$F$2:$F$723,Detalle!$A$2:$A$723,"IV SEMESTRE",Detalle!$E$2:$E$723,A12)</f>
        <v>2</v>
      </c>
      <c r="C12" s="10">
        <f t="shared" si="0"/>
        <v>9.0909090909090912E-2</v>
      </c>
    </row>
    <row r="13" spans="1:3" ht="13.5" customHeight="1">
      <c r="A13" s="65" t="s">
        <v>77</v>
      </c>
      <c r="B13" s="66">
        <f>SUMIFS(Detalle!$F$2:$F$723,Detalle!$A$2:$A$723,"IV SEMESTRE",Detalle!$E$2:$E$723,A13)</f>
        <v>2</v>
      </c>
      <c r="C13" s="10">
        <f t="shared" si="0"/>
        <v>9.0909090909090912E-2</v>
      </c>
    </row>
    <row r="14" spans="1:3" ht="13.5" customHeight="1">
      <c r="A14" s="65" t="s">
        <v>65</v>
      </c>
      <c r="B14" s="66">
        <f>SUMIFS(Detalle!$F$2:$F$723,Detalle!$A$2:$A$723,"IV SEMESTRE",Detalle!$E$2:$E$723,A14)</f>
        <v>1</v>
      </c>
      <c r="C14" s="10">
        <f t="shared" si="0"/>
        <v>4.5454545454545456E-2</v>
      </c>
    </row>
    <row r="15" spans="1:3" ht="13.5" customHeight="1">
      <c r="A15" s="65" t="s">
        <v>41</v>
      </c>
      <c r="B15" s="66">
        <f>SUMIFS(Detalle!$F$2:$F$723,Detalle!$A$2:$A$723,"IV SEMESTRE",Detalle!$E$2:$E$723,A15)</f>
        <v>1</v>
      </c>
      <c r="C15" s="10">
        <f t="shared" si="0"/>
        <v>4.5454545454545456E-2</v>
      </c>
    </row>
    <row r="16" spans="1:3" ht="13.5" customHeight="1">
      <c r="A16" s="65" t="s">
        <v>72</v>
      </c>
      <c r="B16" s="66">
        <f>SUMIFS(Detalle!$F$2:$F$723,Detalle!$A$2:$A$723,"IV SEMESTRE",Detalle!$E$2:$E$723,A16)</f>
        <v>1</v>
      </c>
      <c r="C16" s="10">
        <f t="shared" si="0"/>
        <v>4.5454545454545456E-2</v>
      </c>
    </row>
    <row r="17" spans="1:3" ht="13.5" customHeight="1">
      <c r="A17" s="67" t="s">
        <v>28</v>
      </c>
      <c r="B17" s="68">
        <f>SUM(B5:B16)</f>
        <v>22</v>
      </c>
      <c r="C17" s="69">
        <f>SUM(C5:C16)</f>
        <v>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Resumen cursos</vt:lpstr>
      <vt:lpstr>Resumen materias</vt:lpstr>
      <vt:lpstr>Matriz cursos</vt:lpstr>
      <vt:lpstr>Detalle</vt:lpstr>
      <vt:lpstr>Observaciones</vt:lpstr>
      <vt:lpstr>Curso TA</vt:lpstr>
      <vt:lpstr>Curso 1A</vt:lpstr>
      <vt:lpstr>Curso 1B</vt:lpstr>
      <vt:lpstr>Curso 2A</vt:lpstr>
      <vt:lpstr>Curso 2B</vt:lpstr>
      <vt:lpstr>Curso 3A</vt:lpstr>
      <vt:lpstr>Curso 3B</vt:lpstr>
      <vt:lpstr>Curso 3C</vt:lpstr>
      <vt:lpstr>Curso 4A</vt:lpstr>
      <vt:lpstr>Curso 4B</vt:lpstr>
      <vt:lpstr>Curso 5A</vt:lpstr>
      <vt:lpstr>Curso 5B</vt:lpstr>
      <vt:lpstr>Curso 6A</vt:lpstr>
      <vt:lpstr>Curso 6B</vt:lpstr>
      <vt:lpstr>Curso 7A</vt:lpstr>
      <vt:lpstr>Curso 7B</vt:lpstr>
      <vt:lpstr>Curso 8°</vt:lpstr>
      <vt:lpstr>Curso 9°</vt:lpstr>
      <vt:lpstr>Curso 10°</vt:lpstr>
      <vt:lpstr>Curso 11°</vt:lpstr>
      <vt:lpstr>Curso IV SEMESTRE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MIREYA CASTILLO</cp:lastModifiedBy>
  <dcterms:modified xsi:type="dcterms:W3CDTF">2026-09-14T18:20:47Z</dcterms:modified>
</cp:coreProperties>
</file>