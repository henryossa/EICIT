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8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Parametros" sheetId="2" state="visible" r:id="rId4"/>
    <sheet name="Calendario_2027" sheetId="3" state="visible" r:id="rId5"/>
    <sheet name="Calendario_2027_40s" sheetId="4" state="visible" r:id="rId6"/>
    <sheet name="Vista_mensual_2027" sheetId="5" state="visible" r:id="rId7"/>
    <sheet name="Malla_2027" sheetId="6" state="visible" r:id="rId8"/>
    <sheet name="Validacion" sheetId="7" state="visible" r:id="rId9"/>
    <sheet name="Catalogo_planes" sheetId="8" state="visible" r:id="rId10"/>
    <sheet name="Comparativo" sheetId="9" state="visible" r:id="rId11"/>
    <sheet name="Calidad_Saber11" sheetId="10" state="visible" r:id="rId12"/>
    <sheet name="Innovacion" sheetId="11" state="visible" r:id="rId13"/>
    <sheet name="Acuerdos" sheetId="12" state="visible" r:id="rId14"/>
    <sheet name="Transversales" sheetId="13" state="visible" r:id="rId15"/>
    <sheet name="Decisiones_CMA" sheetId="14" state="visible" r:id="rId16"/>
  </sheets>
  <definedNames>
    <definedName function="false" hidden="true" localSheetId="7" name="_xlnm._FilterDatabase" vbProcedure="false">Catalogo_planes!$A$4:$R$152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El Período 1 (2 de febrero–9 de abril) incluye la Semana Santa (22–26 de marzo de 2027). Si hay receso, las semanas efectivas son 9.</t>
        </r>
      </text>
    </comment>
  </commentList>
</comments>
</file>

<file path=xl/sharedStrings.xml><?xml version="1.0" encoding="utf-8"?>
<sst xmlns="http://schemas.openxmlformats.org/spreadsheetml/2006/main" count="2233" uniqueCount="754">
  <si>
    <t xml:space="preserve">COLEGIO MARÍA AUXILIADORA DE SOACHA</t>
  </si>
  <si>
    <t xml:space="preserve">Arquitectura del plan de estudios 2027 · Tarea 1.5.1 · Libro de trabajo</t>
  </si>
  <si>
    <t xml:space="preserve">Asistencia técnica EICIT · Versión 3 · malla definitiva del consenso del 30 de septiembre de 2026</t>
  </si>
  <si>
    <t xml:space="preserve">Encuadre</t>
  </si>
  <si>
    <t xml:space="preserve">EICIT propone, diseña y acompaña; el Colegio delibera, decide y adopta. Esta malla es una propuesta técnica: su versión definitiva corresponde al Consejo Académico, al Consejo Directivo y a la resolución rectoral, con plena autonomía curricular y preservando la identidad salesiana.</t>
  </si>
  <si>
    <t xml:space="preserve">Estado</t>
  </si>
  <si>
    <t xml:space="preserve">Versión definitiva: incorpora el consenso del 30 de septiembre de 2026 y el acta de consenso de la tarea 1.5.1. Es la fuente única para el PEI (§3.3) y para la elaboración de los planes de estudio, que se incorporan como anexos en desarrollo.</t>
  </si>
  <si>
    <t xml:space="preserve">Propósito</t>
  </si>
  <si>
    <t xml:space="preserve">Definir la arquitectura del plan de estudios 2027: áreas obligatorias (arts. 23 y 31 de la Ley 115), optativas, énfasis y especialidad técnica; intensidades semanales por asignatura y grado; verificación de mínimos legales y de la regla 80/20. Es el insumo 1 para generar los planes de estudio en el formato 1.5.2.</t>
  </si>
  <si>
    <t xml:space="preserve">Insumos</t>
  </si>
  <si>
    <t xml:space="preserve">Versión definitiva de la malla por horas del Colegio (MALLA_X_HORAS_Ver_2.xlsx, «V2»), hoja crono_academico, Horario base 2027, horario del II semestre de 2026, resultados Saber 11 2023–2025 (matriz 1.2.4), matriz de referentes 1.3.6, formato de plan de estudios 1.5.2 y propuesta v1 de esta tarea.</t>
  </si>
  <si>
    <t xml:space="preserve">Cómo usar</t>
  </si>
  <si>
    <t xml:space="preserve">Las celdas en azul son editables. Al modificar una intensidad en Malla_2027, se recalculan los totales, la verificación normativa (Validacion), el comparativo y el catálogo de planes con sus sesiones por período. Los parámetros de tiempo escolar están en Parametros y Calendario_2027.</t>
  </si>
  <si>
    <t xml:space="preserve">Hojas</t>
  </si>
  <si>
    <t xml:space="preserve">Parametros · Calendario_2027 · Calendario_2027_40s y Vista_mensual_2027 (alternativa) · Malla_2027 · Validacion · Calidad_Saber11 · Innovacion · Catalogo_planes · Comparativo · Acuerdos · Transversales · Decisiones_CMA.</t>
  </si>
  <si>
    <t xml:space="preserve">Cómputo del tiempo</t>
  </si>
  <si>
    <t xml:space="preserve">El Decreto 0277 de 2025 exige 40 semanas lectivas y fija 37 h semanales y 1.480 anuales para la media técnica. La hoja Parametros permite elegir el criterio de cómputo de la sesión de 55 min (estricto o Decreto 0277) y el carácter de la media; la verificación se recalcula.</t>
  </si>
  <si>
    <t xml:space="preserve">Acuerdos clave</t>
  </si>
  <si>
    <t xml:space="preserve">Física en Ciencias Naturales; historia integrada en Ciencias Sociales y en Ciencias Económicas y Políticas (Ley 1874 de 2017); competencias ciudadanas en Ética; sesión de 55 + 5 min = 1 hora efectiva; 38 semanas completas; Cátedra de Educación Emocional como proyecto transversal; Infancia Misionera como proyecto pastoral sin plan de estudios.</t>
  </si>
  <si>
    <t xml:space="preserve">Cifras clave (se actualizan con las fórmulas)</t>
  </si>
  <si>
    <t xml:space="preserve">Planes de estudio por elaborar</t>
  </si>
  <si>
    <t xml:space="preserve">Días lectivos efectivos proyectados (2027)</t>
  </si>
  <si>
    <t xml:space="preserve">Horas efectivas anuales 6°–9° · Escenario 1</t>
  </si>
  <si>
    <t xml:space="preserve">Horas efectivas anuales 6°–9° · Escenario 2 (40 semanas)</t>
  </si>
  <si>
    <t xml:space="preserve">Días mínimos para cumplir 1.200 h en 6°–9°</t>
  </si>
  <si>
    <t xml:space="preserve">Horas anuales 10°–11° · Escenario 1</t>
  </si>
  <si>
    <t xml:space="preserve">Brecha de la media técnica frente a 1.480 h</t>
  </si>
  <si>
    <t xml:space="preserve">Contingencia: segunda franja de 2 h · horas anuales media</t>
  </si>
  <si>
    <t xml:space="preserve">Base del cómputo anual</t>
  </si>
  <si>
    <t xml:space="preserve">Mínimo anual aplicable a 10°–11°</t>
  </si>
  <si>
    <t xml:space="preserve">Criterio de cómputo de la sesión</t>
  </si>
  <si>
    <t xml:space="preserve">Decisiones pendientes del Colegio</t>
  </si>
  <si>
    <t xml:space="preserve">Aporte de Matemáticas, Sociales y C. Naturales a la caída del global Saber 11</t>
  </si>
  <si>
    <t xml:space="preserve">Parámetros del tiempo escolar 2027</t>
  </si>
  <si>
    <t xml:space="preserve">EICIT_CMA_1.5.1 · Versión 3 · consenso del 30 de septiembre de 2026 (acta de consenso, tarea 1.5.1). EICIT propone; el Colegio María Auxiliadora de Soacha delibera, decide y adopta (Consejo Académico → Consejo Directivo → resolución rectoral).</t>
  </si>
  <si>
    <t xml:space="preserve">Parámetro</t>
  </si>
  <si>
    <t xml:space="preserve">Valor</t>
  </si>
  <si>
    <t xml:space="preserve">Fuente / nota</t>
  </si>
  <si>
    <t xml:space="preserve">Duración de la sesión regular (min)</t>
  </si>
  <si>
    <t xml:space="preserve">Horario base 2027 del Colegio</t>
  </si>
  <si>
    <t xml:space="preserve">Sesiones diarias en jornada regular</t>
  </si>
  <si>
    <t xml:space="preserve">Horario base 2027 (06:45–14:30; Horas 1 a 7)</t>
  </si>
  <si>
    <t xml:space="preserve">Días de clase por semana</t>
  </si>
  <si>
    <t xml:space="preserve">Horario base 2027</t>
  </si>
  <si>
    <t xml:space="preserve">Sesiones semanales en jornada regular</t>
  </si>
  <si>
    <t xml:space="preserve">Cálculo</t>
  </si>
  <si>
    <t xml:space="preserve">Duración de la sesión en jornada extendida (min)</t>
  </si>
  <si>
    <t xml:space="preserve">Horario base 2027: 120 min/semana en 10°–11°</t>
  </si>
  <si>
    <t xml:space="preserve">Sesiones semanales en jornada extendida (10°–11°)</t>
  </si>
  <si>
    <t xml:space="preserve">Escenario 1 · calendario adoptado por el Colegio (días equivalentes)</t>
  </si>
  <si>
    <t xml:space="preserve">Según la base de cómputo (C32): semanas lectivas × 5 o días efectivos</t>
  </si>
  <si>
    <t xml:space="preserve">Escenario 2 · calendario alternativo de 40 semanas (días equivalentes)</t>
  </si>
  <si>
    <t xml:space="preserve">Hoja Calendario_2027_40s</t>
  </si>
  <si>
    <t xml:space="preserve">Semanas planeables · Período 1</t>
  </si>
  <si>
    <t xml:space="preserve">Proyección de cronograma 2027 del Colegio (ver nota de Semana Santa)</t>
  </si>
  <si>
    <t xml:space="preserve">Semanas planeables · Período 2</t>
  </si>
  <si>
    <t xml:space="preserve">Proyección del Colegio</t>
  </si>
  <si>
    <t xml:space="preserve">Semanas planeables · Período 3</t>
  </si>
  <si>
    <t xml:space="preserve">Semanas planeables · Período 4</t>
  </si>
  <si>
    <t xml:space="preserve">Total semanas planeables</t>
  </si>
  <si>
    <t xml:space="preserve">Las 2 semanas de refuerzo no se planean con contenido nuevo</t>
  </si>
  <si>
    <t xml:space="preserve">Mínimos de intensidad en horas efectivas de 60 minutos: Resolución MEN 1730 de 2004 (no oficiales) y Decreto 0277 de 2025 (estatales; referencia de la SEM)</t>
  </si>
  <si>
    <t xml:space="preserve">Nivel</t>
  </si>
  <si>
    <t xml:space="preserve">Horas semanales</t>
  </si>
  <si>
    <t xml:space="preserve">Horas anuales</t>
  </si>
  <si>
    <t xml:space="preserve">Preescolar</t>
  </si>
  <si>
    <t xml:space="preserve">Básica primaria</t>
  </si>
  <si>
    <t xml:space="preserve">Básica secundaria y media académica</t>
  </si>
  <si>
    <t xml:space="preserve">Proporción mínima de intensidad en áreas obligatorias</t>
  </si>
  <si>
    <t xml:space="preserve">Ley 115, arts. 23 y 31; Decreto 1075 de 2015, art. 2.4.3.1.2, par. 1, modificado por el Decreto 0277 de 2025</t>
  </si>
  <si>
    <t xml:space="preserve">Proporción máxima de énfasis institucional dentro de cada asignatura</t>
  </si>
  <si>
    <t xml:space="preserve">Regla institucional propuesta (tarea 1.5.1) para el campo 80/20 del formato 1.5.2</t>
  </si>
  <si>
    <t xml:space="preserve">Cómputo de la sesión y carácter de la media</t>
  </si>
  <si>
    <t xml:space="preserve">Criterio de cómputo de la sesión regular</t>
  </si>
  <si>
    <t xml:space="preserve">Decreto 0277 de 2025 (55 min + 5 de descanso = 1 h efectiva)</t>
  </si>
  <si>
    <t xml:space="preserve">Seleccione. Decreto 0277, art. 2.4.3.1.2, par. 3: 5 min de cada periodo de 60 min son descanso pedagógico. Alternativa: minutos reales (lectura estricta). Ver D-14.</t>
  </si>
  <si>
    <t xml:space="preserve">Minutos efectivos por sesión regular</t>
  </si>
  <si>
    <t xml:space="preserve">Cálculo según el criterio</t>
  </si>
  <si>
    <t xml:space="preserve">Carácter de la media en 2027</t>
  </si>
  <si>
    <t xml:space="preserve">Media técnica</t>
  </si>
  <si>
    <t xml:space="preserve">Seleccione: Media técnica / Media académica</t>
  </si>
  <si>
    <t xml:space="preserve">Mínimo media técnica (h semanales / h anuales)</t>
  </si>
  <si>
    <t xml:space="preserve">Semanas lectivas del calendario</t>
  </si>
  <si>
    <t xml:space="preserve">Acordado: semanas lectivas completas, sin descontar festivos (acta de consenso). Alternativa: días efectivos</t>
  </si>
  <si>
    <t xml:space="preserve">Escenario 1 · semanas lectivas del calendario adoptado</t>
  </si>
  <si>
    <t xml:space="preserve">Acordado en el consenso del 30 de septiembre de 2026</t>
  </si>
  <si>
    <t xml:space="preserve">Escenario 2 · semanas lectivas del calendario alternativo</t>
  </si>
  <si>
    <t xml:space="preserve">Calendario académico 2027 adoptado por el Colegio · 38 semanas lectivas completas</t>
  </si>
  <si>
    <t xml:space="preserve">EICIT_CMA_1.5.1 · Versión 3 · consenso del 30 de septiembre de 2026 (acta de consenso, tarea 1.5.1). EICIT propone; el Colegio María Auxiliadora de Soacha delibera, decide y adopta (Consejo Académico → Consejo Directivo → resolución rectoral). Fechas trasladadas a 2027 (el insumo registra 2026 por error de digitación). El cómputo acordado usa semanas completas; los días efectivos se muestran como referencia.</t>
  </si>
  <si>
    <t xml:space="preserve">Período</t>
  </si>
  <si>
    <t xml:space="preserve">Semanas (Colegio)</t>
  </si>
  <si>
    <t xml:space="preserve">Inicio</t>
  </si>
  <si>
    <t xml:space="preserve">Fin</t>
  </si>
  <si>
    <t xml:space="preserve">Receso: inicio</t>
  </si>
  <si>
    <t xml:space="preserve">Receso: fin</t>
  </si>
  <si>
    <t xml:space="preserve">Días hábiles efectivos</t>
  </si>
  <si>
    <t xml:space="preserve">Observación</t>
  </si>
  <si>
    <t xml:space="preserve">Festivos 2027 (Colombia)</t>
  </si>
  <si>
    <t xml:space="preserve">Período 1</t>
  </si>
  <si>
    <t xml:space="preserve">10</t>
  </si>
  <si>
    <t xml:space="preserve">Receso de Semana Santa supuesto (22–26 de marzo). Confirmar.</t>
  </si>
  <si>
    <t xml:space="preserve">Período 2</t>
  </si>
  <si>
    <t xml:space="preserve">9</t>
  </si>
  <si>
    <t xml:space="preserve">Incluye festivos 10 y 31 de mayo y 7 de junio.</t>
  </si>
  <si>
    <t xml:space="preserve">Período 3</t>
  </si>
  <si>
    <t xml:space="preserve">Receso de mitad de año 22 de junio–12 de julio; festivos 20 de julio y 16 de agosto.</t>
  </si>
  <si>
    <t xml:space="preserve">Período 4</t>
  </si>
  <si>
    <t xml:space="preserve">Receso 11–15 de octubre; festivos 18 de octubre y 1 de noviembre.</t>
  </si>
  <si>
    <t xml:space="preserve">Refuerzos y recuperaciones</t>
  </si>
  <si>
    <t xml:space="preserve">2</t>
  </si>
  <si>
    <t xml:space="preserve">Cuenta como trabajo académico solo si asisten todos los estudiantes.</t>
  </si>
  <si>
    <t xml:space="preserve">Total</t>
  </si>
  <si>
    <t xml:space="preserve">Semanas equivalentes (días ÷ 5)</t>
  </si>
  <si>
    <t xml:space="preserve">Brecha frente a 40 semanas (200 días)</t>
  </si>
  <si>
    <t xml:space="preserve">Nota: Formación Salesiana (15 min diarios) no se computa como intensidad de área.</t>
  </si>
  <si>
    <t xml:space="preserve">Calendario 2027 de 40 semanas · alternativa presentada (Escenario 2)</t>
  </si>
  <si>
    <t xml:space="preserve">Alternativa presentada el 30 de septiembre de 2026; el Colegio adoptó 38 semanas lectivas completas (Escenario 1). Se conserva como referencia de contingencia. Cuatro períodos de 10 semanas lectivas; inicio el 25 de enero; receso de mitad de año de 2 semanas; semana de receso de octubre (Decreto 1373 de 2007); refuerzo integrado al Período 4 como semanas de profundización y nivelación con todos los estudiantes. Jornada extendida de 10°–11° en miércoles y jueves (sin festivos en semanas lectivas).</t>
  </si>
  <si>
    <t xml:space="preserve">Semanas lectivas</t>
  </si>
  <si>
    <t xml:space="preserve">Días efectivos</t>
  </si>
  <si>
    <t xml:space="preserve">Miércoles lectivos</t>
  </si>
  <si>
    <t xml:space="preserve">Jueves lectivos</t>
  </si>
  <si>
    <t xml:space="preserve">Receso de Semana Santa (22–26 de marzo).</t>
  </si>
  <si>
    <t xml:space="preserve">Festivos 10 y 31 de mayo y 7 de junio.</t>
  </si>
  <si>
    <t xml:space="preserve">Inicia el martes 6 de julio (5 de julio festivo). Saber 11 calendario A: agosto, fecha por confirmar ICFES.</t>
  </si>
  <si>
    <t xml:space="preserve">Receso de octubre 11–15. Semanas 16–26 de noviembre: profundización y nivelación con todos los estudiantes.</t>
  </si>
  <si>
    <t xml:space="preserve">Sesiones regulares/sem</t>
  </si>
  <si>
    <t xml:space="preserve">Horas extendidas/sem</t>
  </si>
  <si>
    <t xml:space="preserve">Lectura de la sesión</t>
  </si>
  <si>
    <t xml:space="preserve">Horas/año · por semanas</t>
  </si>
  <si>
    <t xml:space="preserve">Horas/año · por días</t>
  </si>
  <si>
    <t xml:space="preserve">Mínimo anual</t>
  </si>
  <si>
    <t xml:space="preserve">¿Cumple por semanas?</t>
  </si>
  <si>
    <t xml:space="preserve">¿Cumple por días?</t>
  </si>
  <si>
    <t xml:space="preserve">Transición a 9°</t>
  </si>
  <si>
    <t xml:space="preserve">Decreto 0277</t>
  </si>
  <si>
    <t xml:space="preserve">Estricta</t>
  </si>
  <si>
    <t xml:space="preserve">10°–11° media técnica · extendida 2 h (miércoles)</t>
  </si>
  <si>
    <t xml:space="preserve">10°–11° media técnica · extendida 4 h (miércoles y jueves)</t>
  </si>
  <si>
    <t xml:space="preserve">10°–11° media técnica · extendida 5 h (miércoles y jueves)</t>
  </si>
  <si>
    <t xml:space="preserve">«Por semanas»: intensidad semanal × semanas lectivas del calendario (práctica usual de verificación). «Por días»: días efectivos descontados festivos (lectura prudencial). Transición a 9°: mínimo de secundaria (1.200 h), el más exigente del tramo.</t>
  </si>
  <si>
    <t xml:space="preserve">Hito o tiempo institucional</t>
  </si>
  <si>
    <t xml:space="preserve">Fechas</t>
  </si>
  <si>
    <t xml:space="preserve">Tipo</t>
  </si>
  <si>
    <t xml:space="preserve">Desarrollo institucional de inicio de año</t>
  </si>
  <si>
    <t xml:space="preserve">12–22 de enero</t>
  </si>
  <si>
    <t xml:space="preserve">Desarrollo institucional</t>
  </si>
  <si>
    <t xml:space="preserve">Inicio de clases</t>
  </si>
  <si>
    <t xml:space="preserve">25 de enero</t>
  </si>
  <si>
    <t xml:space="preserve">Hito</t>
  </si>
  <si>
    <t xml:space="preserve">Receso de Semana Santa</t>
  </si>
  <si>
    <t xml:space="preserve">22–26 de marzo</t>
  </si>
  <si>
    <t xml:space="preserve">Receso estudiantil</t>
  </si>
  <si>
    <t xml:space="preserve">Cierre Período 1 · informes</t>
  </si>
  <si>
    <t xml:space="preserve">9 de abril</t>
  </si>
  <si>
    <t xml:space="preserve">Cierre Período 2 · informes</t>
  </si>
  <si>
    <t xml:space="preserve">18 de junio</t>
  </si>
  <si>
    <t xml:space="preserve">Desarrollo institucional de mitad de año</t>
  </si>
  <si>
    <t xml:space="preserve">21–25 de junio</t>
  </si>
  <si>
    <t xml:space="preserve">Receso de mitad de año (estudiantes)</t>
  </si>
  <si>
    <t xml:space="preserve">21 de junio – 2 de julio</t>
  </si>
  <si>
    <t xml:space="preserve">Reinicio de clases</t>
  </si>
  <si>
    <t xml:space="preserve">6 de julio</t>
  </si>
  <si>
    <t xml:space="preserve">Saber 11 (calendario A)</t>
  </si>
  <si>
    <t xml:space="preserve">Agosto · fecha por confirmar ICFES</t>
  </si>
  <si>
    <t xml:space="preserve">Cierre Período 3 · informes</t>
  </si>
  <si>
    <t xml:space="preserve">10 de septiembre</t>
  </si>
  <si>
    <t xml:space="preserve">Receso de octubre / desarrollo institucional</t>
  </si>
  <si>
    <t xml:space="preserve">11–15 de octubre</t>
  </si>
  <si>
    <t xml:space="preserve">Profundización y nivelación (todos los estudiantes)</t>
  </si>
  <si>
    <t xml:space="preserve">16–26 de noviembre</t>
  </si>
  <si>
    <t xml:space="preserve">Lectivo</t>
  </si>
  <si>
    <t xml:space="preserve">Comisiones de evaluación y promoción, clausura y planeación 2028</t>
  </si>
  <si>
    <t xml:space="preserve">29 de noviembre – 10 de diciembre</t>
  </si>
  <si>
    <t xml:space="preserve">Desarrollo institucional: 6 semanas (12–22 ene; 21–25 jun; 11–15 oct; 29 nov–10 dic). Las vacaciones docentes y la distribución exacta las fija la Rectoría según los contratos laborales.</t>
  </si>
  <si>
    <t xml:space="preserve">Calendario 2027 de 40 semanas · vista mensual (alternativa, Escenario 2)</t>
  </si>
  <si>
    <t xml:space="preserve">Convenciones:</t>
  </si>
  <si>
    <t xml:space="preserve">Festivo</t>
  </si>
  <si>
    <t xml:space="preserve">Enero</t>
  </si>
  <si>
    <t xml:space="preserve">Febrero</t>
  </si>
  <si>
    <t xml:space="preserve">Marzo</t>
  </si>
  <si>
    <t xml:space="preserve">Abril</t>
  </si>
  <si>
    <t xml:space="preserve">L</t>
  </si>
  <si>
    <t xml:space="preserve">M</t>
  </si>
  <si>
    <t xml:space="preserve">J</t>
  </si>
  <si>
    <t xml:space="preserve">V</t>
  </si>
  <si>
    <t xml:space="preserve">S</t>
  </si>
  <si>
    <t xml:space="preserve">D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</si>
  <si>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</si>
  <si>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</si>
  <si>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</si>
  <si>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</si>
  <si>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</si>
  <si>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</si>
  <si>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</si>
  <si>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</si>
  <si>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Malla por horas 2027 · distribución semanal por asignatura y grado (definitiva, consenso)</t>
  </si>
  <si>
    <t xml:space="preserve">Convenciones: celdas de intensidad en azul = datos editables por el Colegio. Tipo «Obligatoria» = áreas de los arts. 23 y 31 de la Ley 115. Básica y media en esta tabla; Transición en la tabla inferior.</t>
  </si>
  <si>
    <t xml:space="preserve">Código</t>
  </si>
  <si>
    <t xml:space="preserve">Área (Ley 115)</t>
  </si>
  <si>
    <t xml:space="preserve">Asignatura</t>
  </si>
  <si>
    <t xml:space="preserve">1°</t>
  </si>
  <si>
    <t xml:space="preserve">2°</t>
  </si>
  <si>
    <t xml:space="preserve">3°</t>
  </si>
  <si>
    <t xml:space="preserve">4°</t>
  </si>
  <si>
    <t xml:space="preserve">5°</t>
  </si>
  <si>
    <t xml:space="preserve">6°</t>
  </si>
  <si>
    <t xml:space="preserve">7°</t>
  </si>
  <si>
    <t xml:space="preserve">8°</t>
  </si>
  <si>
    <t xml:space="preserve">9°</t>
  </si>
  <si>
    <t xml:space="preserve">10°</t>
  </si>
  <si>
    <t xml:space="preserve">11°</t>
  </si>
  <si>
    <t xml:space="preserve">Duración efectiva (min)</t>
  </si>
  <si>
    <t xml:space="preserve">CNA</t>
  </si>
  <si>
    <t xml:space="preserve">Ciencias Naturales y Educación Ambiental</t>
  </si>
  <si>
    <t xml:space="preserve">Obligatoria (art. 23)</t>
  </si>
  <si>
    <t xml:space="preserve">Sin cambio.</t>
  </si>
  <si>
    <t xml:space="preserve">QUI</t>
  </si>
  <si>
    <t xml:space="preserve">Química</t>
  </si>
  <si>
    <t xml:space="preserve">Integra el componente biológico y CTS que evalúa Saber 11.</t>
  </si>
  <si>
    <t xml:space="preserve">FIS</t>
  </si>
  <si>
    <t xml:space="preserve">Física</t>
  </si>
  <si>
    <t xml:space="preserve">Ubicada en Ciencias Naturales y Educación Ambiental (consenso).</t>
  </si>
  <si>
    <t xml:space="preserve">SOC</t>
  </si>
  <si>
    <t xml:space="preserve">Ciencias Sociales, Historia, Geografía, Constitución Política y Democracia</t>
  </si>
  <si>
    <t xml:space="preserve">Ciencias Sociales</t>
  </si>
  <si>
    <t xml:space="preserve">Historia de Colombia integrada y reforzada como disciplina (Ley 1874 de 2017).</t>
  </si>
  <si>
    <t xml:space="preserve">CEP</t>
  </si>
  <si>
    <t xml:space="preserve">Ciencias Económicas y Políticas</t>
  </si>
  <si>
    <t xml:space="preserve">Obligatoria media (art. 31)</t>
  </si>
  <si>
    <t xml:space="preserve">Da continuidad a Ciencias Sociales en la media, con historia de Colombia integrada.</t>
  </si>
  <si>
    <t xml:space="preserve">FIL</t>
  </si>
  <si>
    <t xml:space="preserve">Filosofía</t>
  </si>
  <si>
    <t xml:space="preserve">Aporta a Lectura Crítica.</t>
  </si>
  <si>
    <t xml:space="preserve">ART</t>
  </si>
  <si>
    <t xml:space="preserve">Educación Artística y Cultural</t>
  </si>
  <si>
    <t xml:space="preserve">Artes plásticas</t>
  </si>
  <si>
    <t xml:space="preserve">1 h en 1°–8°; sin asignación en 9° (el área continúa con Música y Danzas).</t>
  </si>
  <si>
    <t xml:space="preserve">MUS</t>
  </si>
  <si>
    <t xml:space="preserve">Música</t>
  </si>
  <si>
    <t xml:space="preserve">DAN</t>
  </si>
  <si>
    <t xml:space="preserve">Danzas</t>
  </si>
  <si>
    <t xml:space="preserve">ETI</t>
  </si>
  <si>
    <t xml:space="preserve">Educación Ética y en Valores Humanos</t>
  </si>
  <si>
    <t xml:space="preserve">Ética y Valores Humanos</t>
  </si>
  <si>
    <t xml:space="preserve">Incluye las competencias ciudadanas.</t>
  </si>
  <si>
    <t xml:space="preserve">EFI</t>
  </si>
  <si>
    <t xml:space="preserve">Educación Física, Recreación y Deportes</t>
  </si>
  <si>
    <t xml:space="preserve">2 h en 1°–9°; 1 h en la media.</t>
  </si>
  <si>
    <t xml:space="preserve">ERE</t>
  </si>
  <si>
    <t xml:space="preserve">Educación Religiosa</t>
  </si>
  <si>
    <t xml:space="preserve">Educación Religiosa Escolar</t>
  </si>
  <si>
    <t xml:space="preserve">LCA</t>
  </si>
  <si>
    <t xml:space="preserve">Humanidades: Lengua Castellana e Idiomas Extranjeros</t>
  </si>
  <si>
    <t xml:space="preserve">Lengua Castellana</t>
  </si>
  <si>
    <t xml:space="preserve">ING</t>
  </si>
  <si>
    <t xml:space="preserve">Inglés</t>
  </si>
  <si>
    <t xml:space="preserve">MAT</t>
  </si>
  <si>
    <t xml:space="preserve">Matemáticas</t>
  </si>
  <si>
    <t xml:space="preserve">5 h en 1°–7° (refuerzo del área de mayor aporte a la caída de Saber 11).</t>
  </si>
  <si>
    <t xml:space="preserve">ALG</t>
  </si>
  <si>
    <t xml:space="preserve">Álgebra</t>
  </si>
  <si>
    <t xml:space="preserve">5 h en 8°–9°.</t>
  </si>
  <si>
    <t xml:space="preserve">TRI</t>
  </si>
  <si>
    <t xml:space="preserve">Trigonometría</t>
  </si>
  <si>
    <t xml:space="preserve">Incluye el pensamiento aleatorio (estadística).</t>
  </si>
  <si>
    <t xml:space="preserve">CAL</t>
  </si>
  <si>
    <t xml:space="preserve">TEI</t>
  </si>
  <si>
    <t xml:space="preserve">Tecnología e Informática</t>
  </si>
  <si>
    <t xml:space="preserve">3 h en todos los grados; integra el pensamiento computacional y la línea STEM. Planes a cargo de EICIT.</t>
  </si>
  <si>
    <t xml:space="preserve">SPV</t>
  </si>
  <si>
    <t xml:space="preserve">Optativa institucional</t>
  </si>
  <si>
    <t xml:space="preserve">Sistema Preventivo</t>
  </si>
  <si>
    <t xml:space="preserve">Optativa institucional; anclaje de la Cátedra de Educación Emocional.</t>
  </si>
  <si>
    <t xml:space="preserve">IMI</t>
  </si>
  <si>
    <t xml:space="preserve">Proyecto pedagógico pastoral</t>
  </si>
  <si>
    <t xml:space="preserve">Infancia Misionera</t>
  </si>
  <si>
    <t xml:space="preserve">Proyecto pedagógico pastoral; no requiere plan de estudios.</t>
  </si>
  <si>
    <t xml:space="preserve">MTR</t>
  </si>
  <si>
    <t xml:space="preserve">Especialidad media técnica</t>
  </si>
  <si>
    <t xml:space="preserve">Media técnica: Programación para Analítica de Datos (jornada regular)</t>
  </si>
  <si>
    <t xml:space="preserve">Especialidad media técnica (art. 32)</t>
  </si>
  <si>
    <t xml:space="preserve">Componente SENA (programa 228117): 2 h en jornada regular.</t>
  </si>
  <si>
    <t xml:space="preserve">MTE</t>
  </si>
  <si>
    <t xml:space="preserve">Media técnica: Programación para Analítica de Datos (jornada extendida)</t>
  </si>
  <si>
    <t xml:space="preserve">2 h en jornada extendida (120 min semanales).</t>
  </si>
  <si>
    <t xml:space="preserve">Total de sesiones semanales</t>
  </si>
  <si>
    <t xml:space="preserve">Sesiones disponibles en la jornada</t>
  </si>
  <si>
    <t xml:space="preserve">Diferencia</t>
  </si>
  <si>
    <t xml:space="preserve">Control</t>
  </si>
  <si>
    <t xml:space="preserve">Sesiones en áreas obligatorias</t>
  </si>
  <si>
    <t xml:space="preserve">Proporción en áreas obligatorias</t>
  </si>
  <si>
    <t xml:space="preserve">Minutos semanales de clase</t>
  </si>
  <si>
    <t xml:space="preserve">Resumen por área o componente (sesiones semanales)</t>
  </si>
  <si>
    <t xml:space="preserve">Área o componente</t>
  </si>
  <si>
    <t xml:space="preserve">Transición · organización por dimensiones del desarrollo y experiencias</t>
  </si>
  <si>
    <t xml:space="preserve">Dimensión del desarrollo</t>
  </si>
  <si>
    <t xml:space="preserve">Experiencia / espacio</t>
  </si>
  <si>
    <t xml:space="preserve">Sesiones T</t>
  </si>
  <si>
    <t xml:space="preserve">Duración (min)</t>
  </si>
  <si>
    <t xml:space="preserve">T-SAN</t>
  </si>
  <si>
    <t xml:space="preserve">Dimensión socioafectiva</t>
  </si>
  <si>
    <t xml:space="preserve">Exploración del medio natural</t>
  </si>
  <si>
    <t xml:space="preserve">Dimensión (preescolar)</t>
  </si>
  <si>
    <t xml:space="preserve">T-COM</t>
  </si>
  <si>
    <t xml:space="preserve">Dimensión comunicativa</t>
  </si>
  <si>
    <t xml:space="preserve">Lenguaje: oralidad, lectura y escritura emergentes</t>
  </si>
  <si>
    <t xml:space="preserve">T-ING</t>
  </si>
  <si>
    <t xml:space="preserve">T-SAS</t>
  </si>
  <si>
    <t xml:space="preserve">Exploración del medio social y convivencia</t>
  </si>
  <si>
    <t xml:space="preserve">3 h (consenso).</t>
  </si>
  <si>
    <t xml:space="preserve">T-COR</t>
  </si>
  <si>
    <t xml:space="preserve">Dimensión corporal</t>
  </si>
  <si>
    <t xml:space="preserve">Motricidad, juego y educación física</t>
  </si>
  <si>
    <t xml:space="preserve">2 h (consenso).</t>
  </si>
  <si>
    <t xml:space="preserve">T-EST</t>
  </si>
  <si>
    <t xml:space="preserve">Dimensión estética</t>
  </si>
  <si>
    <t xml:space="preserve">Expresión plástica</t>
  </si>
  <si>
    <t xml:space="preserve">T-MUS</t>
  </si>
  <si>
    <t xml:space="preserve">T-DAN</t>
  </si>
  <si>
    <t xml:space="preserve">T-ETI</t>
  </si>
  <si>
    <t xml:space="preserve">Dimensión ética</t>
  </si>
  <si>
    <t xml:space="preserve">Ética y valores</t>
  </si>
  <si>
    <t xml:space="preserve">T-ESP</t>
  </si>
  <si>
    <t xml:space="preserve">Dimensión espiritual</t>
  </si>
  <si>
    <t xml:space="preserve">T-COG</t>
  </si>
  <si>
    <t xml:space="preserve">Dimensión cognitiva</t>
  </si>
  <si>
    <t xml:space="preserve">Pensamiento matemático y exploración</t>
  </si>
  <si>
    <t xml:space="preserve">T-TEC</t>
  </si>
  <si>
    <t xml:space="preserve">3 h (consenso); integra el pensamiento computacional.</t>
  </si>
  <si>
    <t xml:space="preserve">T-IMI</t>
  </si>
  <si>
    <t xml:space="preserve">Proyecto pastoral; no requiere plan de estudios.</t>
  </si>
  <si>
    <t xml:space="preserve">Verificación normativa por grado · intensidad semanal, anual y regla 80/20</t>
  </si>
  <si>
    <t xml:space="preserve">Indicador</t>
  </si>
  <si>
    <t xml:space="preserve">T</t>
  </si>
  <si>
    <t xml:space="preserve">Básica secundaria</t>
  </si>
  <si>
    <t xml:space="preserve">Sesiones semanales</t>
  </si>
  <si>
    <t xml:space="preserve">Minutos semanales</t>
  </si>
  <si>
    <t xml:space="preserve">Horas efectivas semanales</t>
  </si>
  <si>
    <t xml:space="preserve">Mínimo semanal (h)</t>
  </si>
  <si>
    <t xml:space="preserve">¿Cumple mínimo semanal?</t>
  </si>
  <si>
    <t xml:space="preserve">Horas efectivas anuales · Escenario 1 (calendario adoptado, 38 semanas)</t>
  </si>
  <si>
    <t xml:space="preserve">Horas efectivas anuales · Escenario 2 (alternativa de 40 semanas)</t>
  </si>
  <si>
    <t xml:space="preserve">Mínimo anual (h)</t>
  </si>
  <si>
    <t xml:space="preserve">¿Cumple · Escenario 1?</t>
  </si>
  <si>
    <t xml:space="preserve">¿Cumple · Escenario 2?</t>
  </si>
  <si>
    <t xml:space="preserve">Días lectivos mínimos para el mínimo anual</t>
  </si>
  <si>
    <t xml:space="preserve">Horas efectivas semanales en áreas obligatorias</t>
  </si>
  <si>
    <t xml:space="preserve">Mínimo 80 % (h semanales)</t>
  </si>
  <si>
    <t xml:space="preserve">¿Cumple regla 80/20?</t>
  </si>
  <si>
    <t xml:space="preserve">Proporción de sesiones en áreas obligatorias</t>
  </si>
  <si>
    <t xml:space="preserve">Lectura: el Escenario 1 usa los días lectivos efectivos del calendario proyectado por el Colegio (hoja Calendario_2027); el Escenario 2, un año lectivo de 40 semanas. En 10°–11° se suman las 2 sesiones de 60 min de la jornada extendida. La regla 80/20 se verifica sobre el mínimo semanal legal: al menos el 80 % de ese mínimo, en horas de 60 minutos, corresponde a áreas obligatorias (Ley 115, arts. 23 y 31). Transición se organiza por dimensiones del desarrollo; la regla no aplica.</t>
  </si>
  <si>
    <t xml:space="preserve">Catálogo de planes de estudio por elaborar · intensidad por período y regla 80/20 intra-asignatura</t>
  </si>
  <si>
    <t xml:space="preserve">Infancia Misionera (proyecto pastoral) no requiere plan. «No aplica» en la regla 80/20: la optativa y la media técnica son en sí mismas espacios de énfasis institucional; la media técnica sigue el diseño curricular articulado con el SENA. Horas efectivas = sesiones × duración efectiva ÷ 60 (ver criterio en Parametros).</t>
  </si>
  <si>
    <t xml:space="preserve">N.°</t>
  </si>
  <si>
    <t xml:space="preserve">Código del plan</t>
  </si>
  <si>
    <t xml:space="preserve">Grado</t>
  </si>
  <si>
    <t xml:space="preserve">Área / dimensión</t>
  </si>
  <si>
    <t xml:space="preserve">Asignatura / experiencia</t>
  </si>
  <si>
    <t xml:space="preserve">Sesiones P1</t>
  </si>
  <si>
    <t xml:space="preserve">Sesiones P2</t>
  </si>
  <si>
    <t xml:space="preserve">Sesiones P3</t>
  </si>
  <si>
    <t xml:space="preserve">Sesiones P4</t>
  </si>
  <si>
    <t xml:space="preserve">Sesiones al año</t>
  </si>
  <si>
    <t xml:space="preserve">Horas efectivas al año</t>
  </si>
  <si>
    <t xml:space="preserve">Máx. sesiones de énfasis (20 %)</t>
  </si>
  <si>
    <t xml:space="preserve">Mín. sesiones núcleo común (80 %)</t>
  </si>
  <si>
    <t xml:space="preserve">Responsable</t>
  </si>
  <si>
    <t xml:space="preserve">Por elaborar</t>
  </si>
  <si>
    <t xml:space="preserve">Docentes del Colegio</t>
  </si>
  <si>
    <t xml:space="preserve">EICIT</t>
  </si>
  <si>
    <t xml:space="preserve">CNA-1</t>
  </si>
  <si>
    <t xml:space="preserve">SOC-1</t>
  </si>
  <si>
    <t xml:space="preserve">ART-1</t>
  </si>
  <si>
    <t xml:space="preserve">MUS-1</t>
  </si>
  <si>
    <t xml:space="preserve">DAN-1</t>
  </si>
  <si>
    <t xml:space="preserve">ETI-1</t>
  </si>
  <si>
    <t xml:space="preserve">EFI-1</t>
  </si>
  <si>
    <t xml:space="preserve">ERE-1</t>
  </si>
  <si>
    <t xml:space="preserve">LCA-1</t>
  </si>
  <si>
    <t xml:space="preserve">ING-1</t>
  </si>
  <si>
    <t xml:space="preserve">MAT-1</t>
  </si>
  <si>
    <t xml:space="preserve">TEI-1</t>
  </si>
  <si>
    <t xml:space="preserve">CNA-2</t>
  </si>
  <si>
    <t xml:space="preserve">SOC-2</t>
  </si>
  <si>
    <t xml:space="preserve">ART-2</t>
  </si>
  <si>
    <t xml:space="preserve">MUS-2</t>
  </si>
  <si>
    <t xml:space="preserve">DAN-2</t>
  </si>
  <si>
    <t xml:space="preserve">ETI-2</t>
  </si>
  <si>
    <t xml:space="preserve">EFI-2</t>
  </si>
  <si>
    <t xml:space="preserve">ERE-2</t>
  </si>
  <si>
    <t xml:space="preserve">LCA-2</t>
  </si>
  <si>
    <t xml:space="preserve">ING-2</t>
  </si>
  <si>
    <t xml:space="preserve">MAT-2</t>
  </si>
  <si>
    <t xml:space="preserve">TEI-2</t>
  </si>
  <si>
    <t xml:space="preserve">CNA-3</t>
  </si>
  <si>
    <t xml:space="preserve">SOC-3</t>
  </si>
  <si>
    <t xml:space="preserve">ART-3</t>
  </si>
  <si>
    <t xml:space="preserve">MUS-3</t>
  </si>
  <si>
    <t xml:space="preserve">DAN-3</t>
  </si>
  <si>
    <t xml:space="preserve">ETI-3</t>
  </si>
  <si>
    <t xml:space="preserve">EFI-3</t>
  </si>
  <si>
    <t xml:space="preserve">ERE-3</t>
  </si>
  <si>
    <t xml:space="preserve">LCA-3</t>
  </si>
  <si>
    <t xml:space="preserve">ING-3</t>
  </si>
  <si>
    <t xml:space="preserve">MAT-3</t>
  </si>
  <si>
    <t xml:space="preserve">TEI-3</t>
  </si>
  <si>
    <t xml:space="preserve">CNA-4</t>
  </si>
  <si>
    <t xml:space="preserve">SOC-4</t>
  </si>
  <si>
    <t xml:space="preserve">ART-4</t>
  </si>
  <si>
    <t xml:space="preserve">MUS-4</t>
  </si>
  <si>
    <t xml:space="preserve">DAN-4</t>
  </si>
  <si>
    <t xml:space="preserve">ETI-4</t>
  </si>
  <si>
    <t xml:space="preserve">EFI-4</t>
  </si>
  <si>
    <t xml:space="preserve">ERE-4</t>
  </si>
  <si>
    <t xml:space="preserve">LCA-4</t>
  </si>
  <si>
    <t xml:space="preserve">ING-4</t>
  </si>
  <si>
    <t xml:space="preserve">MAT-4</t>
  </si>
  <si>
    <t xml:space="preserve">TEI-4</t>
  </si>
  <si>
    <t xml:space="preserve">CNA-5</t>
  </si>
  <si>
    <t xml:space="preserve">SOC-5</t>
  </si>
  <si>
    <t xml:space="preserve">ART-5</t>
  </si>
  <si>
    <t xml:space="preserve">MUS-5</t>
  </si>
  <si>
    <t xml:space="preserve">DAN-5</t>
  </si>
  <si>
    <t xml:space="preserve">ETI-5</t>
  </si>
  <si>
    <t xml:space="preserve">EFI-5</t>
  </si>
  <si>
    <t xml:space="preserve">ERE-5</t>
  </si>
  <si>
    <t xml:space="preserve">LCA-5</t>
  </si>
  <si>
    <t xml:space="preserve">ING-5</t>
  </si>
  <si>
    <t xml:space="preserve">MAT-5</t>
  </si>
  <si>
    <t xml:space="preserve">TEI-5</t>
  </si>
  <si>
    <t xml:space="preserve">CNA-6</t>
  </si>
  <si>
    <t xml:space="preserve">SOC-6</t>
  </si>
  <si>
    <t xml:space="preserve">ART-6</t>
  </si>
  <si>
    <t xml:space="preserve">MUS-6</t>
  </si>
  <si>
    <t xml:space="preserve">DAN-6</t>
  </si>
  <si>
    <t xml:space="preserve">ETI-6</t>
  </si>
  <si>
    <t xml:space="preserve">EFI-6</t>
  </si>
  <si>
    <t xml:space="preserve">ERE-6</t>
  </si>
  <si>
    <t xml:space="preserve">LCA-6</t>
  </si>
  <si>
    <t xml:space="preserve">ING-6</t>
  </si>
  <si>
    <t xml:space="preserve">MAT-6</t>
  </si>
  <si>
    <t xml:space="preserve">TEI-6</t>
  </si>
  <si>
    <t xml:space="preserve">CNA-7</t>
  </si>
  <si>
    <t xml:space="preserve">SOC-7</t>
  </si>
  <si>
    <t xml:space="preserve">ART-7</t>
  </si>
  <si>
    <t xml:space="preserve">MUS-7</t>
  </si>
  <si>
    <t xml:space="preserve">DAN-7</t>
  </si>
  <si>
    <t xml:space="preserve">ETI-7</t>
  </si>
  <si>
    <t xml:space="preserve">EFI-7</t>
  </si>
  <si>
    <t xml:space="preserve">ERE-7</t>
  </si>
  <si>
    <t xml:space="preserve">LCA-7</t>
  </si>
  <si>
    <t xml:space="preserve">ING-7</t>
  </si>
  <si>
    <t xml:space="preserve">MAT-7</t>
  </si>
  <si>
    <t xml:space="preserve">TEI-7</t>
  </si>
  <si>
    <t xml:space="preserve">CNA-8</t>
  </si>
  <si>
    <t xml:space="preserve">SOC-8</t>
  </si>
  <si>
    <t xml:space="preserve">ART-8</t>
  </si>
  <si>
    <t xml:space="preserve">MUS-8</t>
  </si>
  <si>
    <t xml:space="preserve">DAN-8</t>
  </si>
  <si>
    <t xml:space="preserve">ETI-8</t>
  </si>
  <si>
    <t xml:space="preserve">EFI-8</t>
  </si>
  <si>
    <t xml:space="preserve">ERE-8</t>
  </si>
  <si>
    <t xml:space="preserve">LCA-8</t>
  </si>
  <si>
    <t xml:space="preserve">ING-8</t>
  </si>
  <si>
    <t xml:space="preserve">ALG-8</t>
  </si>
  <si>
    <t xml:space="preserve">TEI-8</t>
  </si>
  <si>
    <t xml:space="preserve">CNA-9</t>
  </si>
  <si>
    <t xml:space="preserve">SOC-9</t>
  </si>
  <si>
    <t xml:space="preserve">MUS-9</t>
  </si>
  <si>
    <t xml:space="preserve">DAN-9</t>
  </si>
  <si>
    <t xml:space="preserve">ETI-9</t>
  </si>
  <si>
    <t xml:space="preserve">EFI-9</t>
  </si>
  <si>
    <t xml:space="preserve">ERE-9</t>
  </si>
  <si>
    <t xml:space="preserve">LCA-9</t>
  </si>
  <si>
    <t xml:space="preserve">ING-9</t>
  </si>
  <si>
    <t xml:space="preserve">ALG-9</t>
  </si>
  <si>
    <t xml:space="preserve">TEI-9</t>
  </si>
  <si>
    <t xml:space="preserve">SPV-9</t>
  </si>
  <si>
    <t xml:space="preserve">No aplica</t>
  </si>
  <si>
    <t xml:space="preserve">QUI-10</t>
  </si>
  <si>
    <t xml:space="preserve">Media</t>
  </si>
  <si>
    <t xml:space="preserve">FIS-10</t>
  </si>
  <si>
    <t xml:space="preserve">CEP-10</t>
  </si>
  <si>
    <t xml:space="preserve">FIL-10</t>
  </si>
  <si>
    <t xml:space="preserve">MUS-10</t>
  </si>
  <si>
    <t xml:space="preserve">DAN-10</t>
  </si>
  <si>
    <t xml:space="preserve">ETI-10</t>
  </si>
  <si>
    <t xml:space="preserve">EFI-10</t>
  </si>
  <si>
    <t xml:space="preserve">ERE-10</t>
  </si>
  <si>
    <t xml:space="preserve">LCA-10</t>
  </si>
  <si>
    <t xml:space="preserve">ING-10</t>
  </si>
  <si>
    <t xml:space="preserve">TRI-10</t>
  </si>
  <si>
    <t xml:space="preserve">TEI-10</t>
  </si>
  <si>
    <t xml:space="preserve">MTA-10</t>
  </si>
  <si>
    <t xml:space="preserve">Media técnica: Programación para Analítica de Datos</t>
  </si>
  <si>
    <t xml:space="preserve">Diseño articulado SENA</t>
  </si>
  <si>
    <t xml:space="preserve">SENA · CIDE</t>
  </si>
  <si>
    <t xml:space="preserve">QUI-11</t>
  </si>
  <si>
    <t xml:space="preserve">FIS-11</t>
  </si>
  <si>
    <t xml:space="preserve">CEP-11</t>
  </si>
  <si>
    <t xml:space="preserve">FIL-11</t>
  </si>
  <si>
    <t xml:space="preserve">MUS-11</t>
  </si>
  <si>
    <t xml:space="preserve">DAN-11</t>
  </si>
  <si>
    <t xml:space="preserve">ETI-11</t>
  </si>
  <si>
    <t xml:space="preserve">EFI-11</t>
  </si>
  <si>
    <t xml:space="preserve">ERE-11</t>
  </si>
  <si>
    <t xml:space="preserve">LCA-11</t>
  </si>
  <si>
    <t xml:space="preserve">ING-11</t>
  </si>
  <si>
    <t xml:space="preserve">CAL-11</t>
  </si>
  <si>
    <t xml:space="preserve">TEI-11</t>
  </si>
  <si>
    <t xml:space="preserve">MTA-11</t>
  </si>
  <si>
    <t xml:space="preserve">Total de planes por elaborar</t>
  </si>
  <si>
    <t xml:space="preserve">De ellos, a cargo de EICIT (Tecnología e Informática)</t>
  </si>
  <si>
    <t xml:space="preserve">Componente SENA (diseño articulado, no se elabora como plan institucional)</t>
  </si>
  <si>
    <t xml:space="preserve">Comparativo por asignatura · propuesta EICIT v2.2 frente al consenso definitivo</t>
  </si>
  <si>
    <t xml:space="preserve">Fuente del consenso: MALLA_X_HORAS_Ver_2.xlsx (consenso del 30-sep), con Física ubicada en Ciencias Naturales. La propuesta v2.2 incluía además Pensamiento lógico y computacional (T–4°) y Cátedra de Educación Emocional (T–3°), no adoptados: el primero se integra a Tecnología e Informática y la segunda es proyecto transversal. Transición: 35 sesiones en ambos casos.</t>
  </si>
  <si>
    <t xml:space="preserve">Fuente</t>
  </si>
  <si>
    <t xml:space="preserve">Propuesta EICIT v2.2</t>
  </si>
  <si>
    <t xml:space="preserve">Consenso (definitiva)</t>
  </si>
  <si>
    <t xml:space="preserve">Total propuesta EICIT v2.2 (incluía Pensamiento lógico y Cátedra)</t>
  </si>
  <si>
    <t xml:space="preserve">Total consenso (definitiva)</t>
  </si>
  <si>
    <t xml:space="preserve">Saber 11 2023–2025 · lectura de la tendencia y respuesta de la malla</t>
  </si>
  <si>
    <t xml:space="preserve">Punto de partida: el Colegio está 42,6 puntos por encima de lo esperado para su contexto (valor agregado) y en el percentil 88 nacional (2025). La tendencia a la baja es una señal temprana para actuar desde esa fortaleza. N ≈ 25 estudiantes por cohorte: leer con prudencia. Fuente: ICFES (reexpuesto por ICFES Analytics), matriz 1.2.4.</t>
  </si>
  <si>
    <t xml:space="preserve">Prueba</t>
  </si>
  <si>
    <t xml:space="preserve">2023</t>
  </si>
  <si>
    <t xml:space="preserve">2024</t>
  </si>
  <si>
    <t xml:space="preserve">2025</t>
  </si>
  <si>
    <t xml:space="preserve">Δ 2023–2025</t>
  </si>
  <si>
    <t xml:space="preserve">Peso en el global</t>
  </si>
  <si>
    <t xml:space="preserve">Aporte a la caída del global (pts)</t>
  </si>
  <si>
    <t xml:space="preserve">Proporción de la caída</t>
  </si>
  <si>
    <t xml:space="preserve">Sesiones semanales 6°–9° (suma de grados)</t>
  </si>
  <si>
    <t xml:space="preserve">Sesiones semanales 10°–11° (suma de grados)</t>
  </si>
  <si>
    <t xml:space="preserve">Lectura Crítica</t>
  </si>
  <si>
    <t xml:space="preserve">Ciencias Naturales</t>
  </si>
  <si>
    <t xml:space="preserve">Sociales y Ciudadanas</t>
  </si>
  <si>
    <t xml:space="preserve">Total / global</t>
  </si>
  <si>
    <t xml:space="preserve">Global reportado</t>
  </si>
  <si>
    <t xml:space="preserve">Global recalculado con pesos ICFES</t>
  </si>
  <si>
    <t xml:space="preserve">Lectura: Matemáticas, Sociales y Ciudadanas y Ciencias Naturales explican cerca del 84 % de la caída del puntaje global. El consenso refuerza Matemáticas (5 h) y Sociales (5 h en 6°–9°); en la media, la respuesta es de diseño de los planes (medidas C-01 a C-03). Las sesiones 6°–9° y 10°–11° se toman de la malla definitiva (Física cuenta en Ciencias Naturales porque Saber 11 la evalúa allí; Filosofía, en Lectura Crítica).</t>
  </si>
  <si>
    <t xml:space="preserve">Foco</t>
  </si>
  <si>
    <t xml:space="preserve">Medida en la malla y en el diseño de los planes</t>
  </si>
  <si>
    <t xml:space="preserve">C-01</t>
  </si>
  <si>
    <t xml:space="preserve">Matemáticas (−5,3; 31,3 % de la caída)</t>
  </si>
  <si>
    <t xml:space="preserve">Matemáticas y Álgebra suben a 5 h en 1°–9°. En la media: pensamiento aleatorio en Trigonometría y Cálculo; estadística, modelación e interpretación de datos en Tecnología e Informática y en la media técnica.</t>
  </si>
  <si>
    <t xml:space="preserve">C-02</t>
  </si>
  <si>
    <t xml:space="preserve">Sociales y Ciudadanas (−5,0; 29,5 % de la caída)</t>
  </si>
  <si>
    <t xml:space="preserve">Ciencias Sociales con 5 h en 6°–9° e historia de Colombia integrada; en la media, historia y constitución en Ciencias Económicas y Políticas; competencias ciudadanas en Ética y Valores Humanos.</t>
  </si>
  <si>
    <t xml:space="preserve">C-03</t>
  </si>
  <si>
    <t xml:space="preserve">Ciencias Naturales (−4,0; 23,6 % de la caída)</t>
  </si>
  <si>
    <t xml:space="preserve">Bloque de Química y Física (6 h) en Ciencias Naturales en 10°–11°; componente biológico y CTS en Química y en el PRAE; proyectos STEM con Tecnología e Informática.</t>
  </si>
  <si>
    <t xml:space="preserve">C-04</t>
  </si>
  <si>
    <t xml:space="preserve">Lectura Crítica (−1,9)</t>
  </si>
  <si>
    <t xml:space="preserve">Lengua Castellana 5 h en 1°–9° y Filosofía 2 h en la media; lectura de textos discontinuos y argumentativos como desempeño transversal.</t>
  </si>
  <si>
    <t xml:space="preserve">C-05</t>
  </si>
  <si>
    <t xml:space="preserve">Inglés (−2,2; fortaleza)</t>
  </si>
  <si>
    <t xml:space="preserve">Se conservan 4–5 h.</t>
  </si>
  <si>
    <t xml:space="preserve">C-06</t>
  </si>
  <si>
    <t xml:space="preserve">Regla 80/20 en las áreas de mayor peso</t>
  </si>
  <si>
    <t xml:space="preserve">Núcleo común (≥ 80 %) formulado sobre las competencias que evalúa Saber 11, con evidencias tipo prueba en cada período; énfasis de innovación (≤ 20 %) integrado a esas competencias. Se verifica con la lista de verificación de calidad.</t>
  </si>
  <si>
    <t xml:space="preserve">C-07</t>
  </si>
  <si>
    <t xml:space="preserve">Seguimiento</t>
  </si>
  <si>
    <t xml:space="preserve">Metas 2027 del transverso de calidad (matriz 1.2.4), con lectura prudente (N ≈ 25 estudiantes por cohorte).</t>
  </si>
  <si>
    <t xml:space="preserve">Innovación a lo largo de todos los grados</t>
  </si>
  <si>
    <t xml:space="preserve">Indicador (sesiones semanales)</t>
  </si>
  <si>
    <t xml:space="preserve">Media técnica (analítica de datos)</t>
  </si>
  <si>
    <t xml:space="preserve">Espacios propios de innovación</t>
  </si>
  <si>
    <t xml:space="preserve">Proporción del plan semanal</t>
  </si>
  <si>
    <t xml:space="preserve">Tope transversal en las demás asignaturas (20 %)</t>
  </si>
  <si>
    <t xml:space="preserve">Tramo</t>
  </si>
  <si>
    <t xml:space="preserve">Cómo vive la innovación</t>
  </si>
  <si>
    <t xml:space="preserve">Transición–3°</t>
  </si>
  <si>
    <t xml:space="preserve">Tecnología e Informática (3 h): exploración, pensamiento computacional desconectado, robótica educativa inicial y resolución de problemas por el juego.</t>
  </si>
  <si>
    <t xml:space="preserve">4°–7°</t>
  </si>
  <si>
    <t xml:space="preserve">Tecnología e Informática (3 h): programación por bloques, robótica, datos básicos y ciudadanía digital; proyectos STEM por período con Matemáticas y Ciencias.</t>
  </si>
  <si>
    <t xml:space="preserve">8°–9°</t>
  </si>
  <si>
    <t xml:space="preserve">Tecnología e Informática (3 h): programación textual, datos y prototipos; antesala explícita de la media técnica.</t>
  </si>
  <si>
    <t xml:space="preserve">10°–11°</t>
  </si>
  <si>
    <t xml:space="preserve">Tecnología e Informática (3 h) + media técnica en Programación para Analítica de Datos (4 h): la media técnica cubre programación para analítica; Tecnología aporta IA, ética de los datos y proyectos STEM con Física, Química y Matemáticas.</t>
  </si>
  <si>
    <t xml:space="preserve">Todas las asignaturas</t>
  </si>
  <si>
    <t xml:space="preserve">Línea transversal de Tecnología e Innovación (Nuevos Patios): hasta 20 % de las sesiones de cada asignatura, integrado a la competencia del período.</t>
  </si>
  <si>
    <t xml:space="preserve">Acuerdos del consenso del 30 de septiembre de 2026 (acta de consenso, tarea 1.5.1)</t>
  </si>
  <si>
    <t xml:space="preserve">Tema</t>
  </si>
  <si>
    <t xml:space="preserve">Acuerdo</t>
  </si>
  <si>
    <t xml:space="preserve">Implicación para el PEI y los planes</t>
  </si>
  <si>
    <t xml:space="preserve">Decisión asociada</t>
  </si>
  <si>
    <t xml:space="preserve">A-01</t>
  </si>
  <si>
    <t xml:space="preserve">Malla por horas</t>
  </si>
  <si>
    <t xml:space="preserve">Se adopta la malla por horas del consenso del 30 de septiembre de 2026 (hoja Malla_2027). Cada asignatura se registra por separado, con su propio docente. Jornada: 35 sesiones de Transición a 9°; 37 en 10°–11°.</t>
  </si>
  <si>
    <t xml:space="preserve">Insumo 1 de los planes de estudio y base del capítulo §3.3 del PEI.</t>
  </si>
  <si>
    <t xml:space="preserve">—</t>
  </si>
  <si>
    <t xml:space="preserve">A-02</t>
  </si>
  <si>
    <t xml:space="preserve">Se ubica en Ciencias Naturales y Educación Ambiental, con Química, en 10°–11°.</t>
  </si>
  <si>
    <t xml:space="preserve">Área de Ciencias Naturales de 6 h en la media; se articula con Química.</t>
  </si>
  <si>
    <t xml:space="preserve">D-13</t>
  </si>
  <si>
    <t xml:space="preserve">A-03</t>
  </si>
  <si>
    <t xml:space="preserve">Historia</t>
  </si>
  <si>
    <t xml:space="preserve">Por la Ley 1874 de 2017, la historia de Colombia se desarrolla como disciplina integrada y reforzada dentro de las ciencias sociales en todos los ciclos, niveles y grados: Ciencias Sociales (1°–9°) y Ciencias Económicas y Políticas (10°–11°).</t>
  </si>
  <si>
    <t xml:space="preserve">Componente explícito en los planes de Ciencias Sociales y de Ciencias Económicas y Políticas.</t>
  </si>
  <si>
    <t xml:space="preserve">A-04</t>
  </si>
  <si>
    <t xml:space="preserve">Competencias ciudadanas</t>
  </si>
  <si>
    <t xml:space="preserve">Se desarrollan en Ética y Valores Humanos (1 h en 1°–9°; 2 h en 10°–11°).</t>
  </si>
  <si>
    <t xml:space="preserve">Componente explícito en los planes de Ética.</t>
  </si>
  <si>
    <t xml:space="preserve">A-05</t>
  </si>
  <si>
    <t xml:space="preserve">Hora efectiva</t>
  </si>
  <si>
    <t xml:space="preserve">Cada sesión = 55 min de clase + 5 min de descanso pedagógico = 1 hora efectiva de 60 min, para todas las asignaturas (Decreto 1075, art. 2.4.3.1.2, par. 3, modificado por el Decreto 0277 de 2025).</t>
  </si>
  <si>
    <t xml:space="preserve">Consignar en el capítulo de jornada escolar del PEI; la Rectoría lo sustenta ante la SEM.</t>
  </si>
  <si>
    <t xml:space="preserve">D-14</t>
  </si>
  <si>
    <t xml:space="preserve">A-06</t>
  </si>
  <si>
    <t xml:space="preserve">38 semanas lectivas completas, sin descontar festivos.</t>
  </si>
  <si>
    <t xml:space="preserve">Transición–9°: 35 × 38 = 1.330 h. Media: 37 × 38 = 1.406 h.</t>
  </si>
  <si>
    <t xml:space="preserve">D-02</t>
  </si>
  <si>
    <t xml:space="preserve">A-07</t>
  </si>
  <si>
    <t xml:space="preserve">4 h semanales de Programación para Analítica de Datos (SENA) en 10°–11°. Frente a 1.480 h del Decreto 0277, la diferencia es de 74 h; la Rectoría la gestiona ante la SEM.</t>
  </si>
  <si>
    <t xml:space="preserve">Contingencia: segunda franja de jornada extendida de 2 h → 39 × 38 = 1.482 h.</t>
  </si>
  <si>
    <t xml:space="preserve">D-15</t>
  </si>
  <si>
    <t xml:space="preserve">A-08</t>
  </si>
  <si>
    <t xml:space="preserve">Cátedra de Educación Emocional</t>
  </si>
  <si>
    <t xml:space="preserve">Proyecto pedagógico transversal (Ley 2503 de 2025), con anclaje en Ética, la dirección de grupo y Sistema Preventivo.</t>
  </si>
  <si>
    <t xml:space="preserve">Consignar en el PEI como proyecto transversal.</t>
  </si>
  <si>
    <t xml:space="preserve">D-06</t>
  </si>
  <si>
    <t xml:space="preserve">A-09</t>
  </si>
  <si>
    <t xml:space="preserve">Proyecto pedagógico pastoral de 1 h en Transición–5°.</t>
  </si>
  <si>
    <t xml:space="preserve">No requiere plan de estudios.</t>
  </si>
  <si>
    <t xml:space="preserve">D-10</t>
  </si>
  <si>
    <t xml:space="preserve">A-10</t>
  </si>
  <si>
    <t xml:space="preserve">Planes de estudio</t>
  </si>
  <si>
    <t xml:space="preserve">Anexos en desarrollo del PEI. Los docentes elaboran sus planes; EICIT elabora los 12 de Tecnología e Informática (pilotos 6° y 10°), la lista de verificación de calidad y la revisión de un plan por área.</t>
  </si>
  <si>
    <t xml:space="preserve">Catálogo de planes (hoja Catalogo_planes).</t>
  </si>
  <si>
    <t xml:space="preserve">Anclaje de proyectos pedagógicos, cátedras y referentes en la malla</t>
  </si>
  <si>
    <t xml:space="preserve">EICIT_CMA_1.5.1 · Versión 3 · consenso del 30 de septiembre de 2026 (acta de consenso, tarea 1.5.1). EICIT propone; el Colegio María Auxiliadora de Soacha delibera, decide y adopta (Consejo Académico → Consejo Directivo → resolución rectoral). Códigos REF según la matriz 1.3.6.</t>
  </si>
  <si>
    <t xml:space="preserve">Contenido / mandato</t>
  </si>
  <si>
    <t xml:space="preserve">Fuente normativa y referente</t>
  </si>
  <si>
    <t xml:space="preserve">Área o asignatura de anclaje</t>
  </si>
  <si>
    <t xml:space="preserve">Modalidad</t>
  </si>
  <si>
    <t xml:space="preserve">Historia de Colombia</t>
  </si>
  <si>
    <t xml:space="preserve">Ley 1874 de 2017; REF-20, REF-21, REF-27</t>
  </si>
  <si>
    <t xml:space="preserve">Ciencias Sociales (1°–9°); Ciencias Económicas y Políticas (10°–11°)</t>
  </si>
  <si>
    <t xml:space="preserve">Disciplina integrada y reforzada</t>
  </si>
  <si>
    <t xml:space="preserve">Competencias ciudadanas y Cátedra de la Paz</t>
  </si>
  <si>
    <t xml:space="preserve">Ley 1732 de 2014; Decreto 1038 de 2015</t>
  </si>
  <si>
    <t xml:space="preserve">Ética y Valores Humanos; Ciencias Sociales</t>
  </si>
  <si>
    <t xml:space="preserve">Componente en planes</t>
  </si>
  <si>
    <t xml:space="preserve">Ley 2503 de 2025; REF-08</t>
  </si>
  <si>
    <t xml:space="preserve">Ética y Valores Humanos; dirección de grupo; Sistema Preventivo (9°)</t>
  </si>
  <si>
    <t xml:space="preserve">Proyecto pedagógico transversal</t>
  </si>
  <si>
    <t xml:space="preserve">Identidad salesiana; PEI</t>
  </si>
  <si>
    <t xml:space="preserve">Transición–5° (1 h)</t>
  </si>
  <si>
    <t xml:space="preserve">Competencias socioemocionales y salud mental</t>
  </si>
  <si>
    <t xml:space="preserve">Leyes 2491 de 2025, 2383 de 2024, 2460 de 2025; REF-02, REF-07, REF-09, REF-26</t>
  </si>
  <si>
    <t xml:space="preserve">Eje transversal del modelo; Cátedra de Educación Emocional</t>
  </si>
  <si>
    <t xml:space="preserve">Transversal</t>
  </si>
  <si>
    <t xml:space="preserve">Ciudadanía digital y uso seguro de TIC/IA</t>
  </si>
  <si>
    <t xml:space="preserve">Ley 2489 de 2025; Directiva 01 de 2026; Ley 2564 de 2026; REF-10, REF-13, REF-17</t>
  </si>
  <si>
    <t xml:space="preserve">Tecnología e Informática; Ética</t>
  </si>
  <si>
    <t xml:space="preserve">PRAE y gestión del riesgo</t>
  </si>
  <si>
    <t xml:space="preserve">Ley 115, art. 14; Leyes 2427 de 2024 y 2563 de 2025; Resolución 006519 de 2025; REF-04, REF-12, REF-14</t>
  </si>
  <si>
    <t xml:space="preserve">Ciencias Naturales; Química; Física</t>
  </si>
  <si>
    <t xml:space="preserve">Proyecto transversal</t>
  </si>
  <si>
    <t xml:space="preserve">Salud, vida y sexualidad</t>
  </si>
  <si>
    <t xml:space="preserve">Ley 115, art. 14; Ley 2511 de 2025; REF-11</t>
  </si>
  <si>
    <t xml:space="preserve">Ciencias Naturales; Educación Física; Ética</t>
  </si>
  <si>
    <t xml:space="preserve">Democracia y constitución</t>
  </si>
  <si>
    <t xml:space="preserve">Ley 115, art. 14</t>
  </si>
  <si>
    <t xml:space="preserve">Ciencias Sociales; Ciencias Económicas y Políticas; Ética</t>
  </si>
  <si>
    <t xml:space="preserve">Tiempo libre y estilos de vida saludable</t>
  </si>
  <si>
    <t xml:space="preserve">Ley 115, art. 14; Ley 1355 de 2009</t>
  </si>
  <si>
    <t xml:space="preserve">Educación Física; Educación Artística</t>
  </si>
  <si>
    <t xml:space="preserve">Educación artística</t>
  </si>
  <si>
    <t xml:space="preserve">Ley 2555 de 2025 (opcional); REF-19</t>
  </si>
  <si>
    <t xml:space="preserve">Artes plásticas; Música; Danzas</t>
  </si>
  <si>
    <t xml:space="preserve">Opcional</t>
  </si>
  <si>
    <t xml:space="preserve">Educación económica y financiera; emprendimiento</t>
  </si>
  <si>
    <t xml:space="preserve">Ley 1014 de 2006; Ley 1450 de 2011, art. 145</t>
  </si>
  <si>
    <t xml:space="preserve">Matemáticas; Ciencias Económicas y Políticas; media técnica</t>
  </si>
  <si>
    <t xml:space="preserve">Educación inicial</t>
  </si>
  <si>
    <t xml:space="preserve">Decreto 2247 de 1997 (compilado); Circular 14 de 2024; REF-15, REF-22</t>
  </si>
  <si>
    <t xml:space="preserve">Dimensiones del desarrollo en Transición</t>
  </si>
  <si>
    <t xml:space="preserve">Por dimensiones y experiencias</t>
  </si>
  <si>
    <t xml:space="preserve">Decisiones que corresponden al Colegio para adoptar la arquitectura</t>
  </si>
  <si>
    <t xml:space="preserve">Color de responsable: azul medio = decide el Colegio. Estado: verde = resuelta; amarillo = pendiente; rojo = crítica. La columna «Decisión adoptada» la diligencia el Colegio.</t>
  </si>
  <si>
    <t xml:space="preserve">Decisión requerida</t>
  </si>
  <si>
    <t xml:space="preserve">Opciones</t>
  </si>
  <si>
    <t xml:space="preserve">Recomendación técnica EICIT</t>
  </si>
  <si>
    <t xml:space="preserve">Efecto en la malla</t>
  </si>
  <si>
    <t xml:space="preserve">Instancia del Colegio</t>
  </si>
  <si>
    <t xml:space="preserve">Decisión adoptada</t>
  </si>
  <si>
    <t xml:space="preserve">D-01</t>
  </si>
  <si>
    <t xml:space="preserve">Distribución base.</t>
  </si>
  <si>
    <t xml:space="preserve">Coordinación Académica</t>
  </si>
  <si>
    <t xml:space="preserve">Resuelta: consenso del 30-sep</t>
  </si>
  <si>
    <t xml:space="preserve">Calendario 2027.</t>
  </si>
  <si>
    <t xml:space="preserve">Se conserva como alternativa el calendario de 40 semanas (hoja Calendario_2027_40s).</t>
  </si>
  <si>
    <t xml:space="preserve">35 × 38 = 1.330 h; 37 × 38 = 1.406 h.</t>
  </si>
  <si>
    <t xml:space="preserve">Rectoría · Consejo Directivo</t>
  </si>
  <si>
    <t xml:space="preserve">Resuelta: 38 semanas completas</t>
  </si>
  <si>
    <t xml:space="preserve">D-03</t>
  </si>
  <si>
    <t xml:space="preserve">Bloque de la Normal Superior.</t>
  </si>
  <si>
    <t xml:space="preserve">Consejo Académico</t>
  </si>
  <si>
    <t xml:space="preserve">Resuelta: retirado</t>
  </si>
  <si>
    <t xml:space="preserve">D-04</t>
  </si>
  <si>
    <t xml:space="preserve">Intensidad del componente técnico.</t>
  </si>
  <si>
    <t xml:space="preserve">Confirmar con el CIDE-SENA.</t>
  </si>
  <si>
    <t xml:space="preserve">4 h en 10°–11°.</t>
  </si>
  <si>
    <t xml:space="preserve">Resuelta: 4 h</t>
  </si>
  <si>
    <t xml:space="preserve">D-05</t>
  </si>
  <si>
    <t xml:space="preserve">Rebalanceo de la media.</t>
  </si>
  <si>
    <t xml:space="preserve">Se atiende mediante orientaciones de diseño de los planes.</t>
  </si>
  <si>
    <t xml:space="preserve">Sin cambio de horas en la media.</t>
  </si>
  <si>
    <t xml:space="preserve">Resuelta: no se adopta</t>
  </si>
  <si>
    <t xml:space="preserve">Holguras de jornada y Cátedra de Educación Emocional.</t>
  </si>
  <si>
    <t xml:space="preserve">Matemáticas y Tecnología e Informática suben de intensidad; la Cátedra es proyecto transversal.</t>
  </si>
  <si>
    <t xml:space="preserve">Resuelta: consenso</t>
  </si>
  <si>
    <t xml:space="preserve">D-07</t>
  </si>
  <si>
    <t xml:space="preserve">Pensamiento lógico y computacional.</t>
  </si>
  <si>
    <t xml:space="preserve">Se integra a Tecnología e Informática.</t>
  </si>
  <si>
    <t xml:space="preserve">No se crea la optativa.</t>
  </si>
  <si>
    <t xml:space="preserve">Resuelta: integrado a T&amp;I</t>
  </si>
  <si>
    <t xml:space="preserve">D-08</t>
  </si>
  <si>
    <t xml:space="preserve">Denominación de asignaturas.</t>
  </si>
  <si>
    <t xml:space="preserve">Resuelta: asignaturas separadas</t>
  </si>
  <si>
    <t xml:space="preserve">D-09</t>
  </si>
  <si>
    <t xml:space="preserve">Tratamiento de la Eucaristía dentro de Educación Religiosa (3 h).</t>
  </si>
  <si>
    <t xml:space="preserve">a) 3 h de clase de ERE; Eucaristía fuera del cómputo. b) 1 de las 3 h es celebración.</t>
  </si>
  <si>
    <t xml:space="preserve">a).</t>
  </si>
  <si>
    <t xml:space="preserve">Horas efectivas de ERE.</t>
  </si>
  <si>
    <t xml:space="preserve">Rectoría · Consejo Académico</t>
  </si>
  <si>
    <t xml:space="preserve">Pendiente</t>
  </si>
  <si>
    <t xml:space="preserve">Actividades de 2026 (Infancia Misionera y otras).</t>
  </si>
  <si>
    <t xml:space="preserve">Infancia Misionera: proyecto pastoral de 1 h en T–5°.</t>
  </si>
  <si>
    <t xml:space="preserve">Rectoría · Pastoral</t>
  </si>
  <si>
    <t xml:space="preserve">D-11</t>
  </si>
  <si>
    <t xml:space="preserve">Día y franja de la jornada extendida de 10°–11°.</t>
  </si>
  <si>
    <t xml:space="preserve">Día, franja y logística.</t>
  </si>
  <si>
    <t xml:space="preserve">Preferir miércoles o jueves (sin festivos en semanas lectivas de 2027).</t>
  </si>
  <si>
    <t xml:space="preserve">Operativa.</t>
  </si>
  <si>
    <t xml:space="preserve">Rectoría · Coordinación Académica</t>
  </si>
  <si>
    <t xml:space="preserve">D-12</t>
  </si>
  <si>
    <t xml:space="preserve">Restitución de Ciencias Sociales y Artes.</t>
  </si>
  <si>
    <t xml:space="preserve">Sociales 5 h en 6°–9°; Artes 1 h en 1°–8°.</t>
  </si>
  <si>
    <t xml:space="preserve">Ubicación de Física.</t>
  </si>
  <si>
    <t xml:space="preserve">Física en Ciencias Naturales.</t>
  </si>
  <si>
    <t xml:space="preserve">Resuelta: Ciencias Naturales</t>
  </si>
  <si>
    <t xml:space="preserve">Criterio de cómputo de la sesión.</t>
  </si>
  <si>
    <t xml:space="preserve">Consignar en el PEI.</t>
  </si>
  <si>
    <t xml:space="preserve">55 + 5 min = 1 hora efectiva.</t>
  </si>
  <si>
    <t xml:space="preserve">Rectoría</t>
  </si>
  <si>
    <t xml:space="preserve">Resuelta: Decreto 0277</t>
  </si>
  <si>
    <t xml:space="preserve">Brecha de 74 h de la media técnica frente a 1.480 h.</t>
  </si>
  <si>
    <t xml:space="preserve">a) Justificación ante la SEM (Rectoría). b) Contingencia: segunda franja de jornada extendida de 2 h (1.482 h).</t>
  </si>
  <si>
    <t xml:space="preserve">Tener preparada b) si la SEM no acepta a).</t>
  </si>
  <si>
    <t xml:space="preserve">Ninguno con a); +2 h semanales en 10°–11° con b).</t>
  </si>
  <si>
    <t xml:space="preserve">Rectoría (gestión ante la SEM)</t>
  </si>
  <si>
    <t xml:space="preserve">Pendiente · en gestión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</si>
</sst>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dd/mm/yyyy"/>
    <numFmt numFmtId="168" formatCode="0.0"/>
    <numFmt numFmtId="169" formatCode="General"/>
    <numFmt numFmtId="170" formatCode="0.0%"/>
    <numFmt numFmtId="171" formatCode="#,##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Arial"/>
      <family val="2"/>
    </font>
    <font>
      <i val="true"/>
      <sz val="9"/>
      <name val="Calibri"/>
      <family val="0"/>
      <charset val="1"/>
    </font>
    <font>
      <b val="true"/>
      <sz val="9"/>
      <color rgb="FF1F2937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595959"/>
      <name val="Calibri"/>
      <family val="0"/>
      <charset val="1"/>
    </font>
    <font>
      <b val="true"/>
      <sz val="8"/>
      <color rgb="FF1F2937"/>
      <name val="Calibri"/>
      <family val="0"/>
      <charset val="1"/>
    </font>
    <font>
      <sz val="8"/>
      <color rgb="FF1F2937"/>
      <name val="Calibri"/>
      <family val="0"/>
      <charset val="1"/>
    </font>
    <font>
      <sz val="8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sz val="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9E5"/>
        <bgColor rgb="FFFBF3DC"/>
      </patternFill>
    </fill>
    <fill>
      <patternFill patternType="solid">
        <fgColor rgb="FF2E75B6"/>
        <bgColor rgb="FF0066CC"/>
      </patternFill>
    </fill>
    <fill>
      <patternFill patternType="solid">
        <fgColor rgb="FFD5E8F0"/>
        <bgColor rgb="FFD9D9D9"/>
      </patternFill>
    </fill>
    <fill>
      <patternFill patternType="solid">
        <fgColor rgb="FFF2D98A"/>
        <bgColor rgb="FFFFC7CE"/>
      </patternFill>
    </fill>
    <fill>
      <patternFill patternType="solid">
        <fgColor rgb="FFD9D9D9"/>
        <bgColor rgb="FFD5E8F0"/>
      </patternFill>
    </fill>
    <fill>
      <patternFill patternType="solid">
        <fgColor rgb="FFFFFFFF"/>
        <bgColor rgb="FFFFF9E5"/>
      </patternFill>
    </fill>
    <fill>
      <patternFill patternType="solid">
        <fgColor rgb="FFFBF3DC"/>
        <bgColor rgb="FFFFF2CC"/>
      </patternFill>
    </fill>
    <fill>
      <patternFill patternType="solid">
        <fgColor rgb="FFC6EFCE"/>
        <bgColor rgb="FFD5E8F0"/>
      </patternFill>
    </fill>
    <fill>
      <patternFill patternType="solid">
        <fgColor rgb="FFFFF2CC"/>
        <bgColor rgb="FFFBF3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006100"/>
      </font>
    </dxf>
    <dxf>
      <font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9E5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DC"/>
      <rgbColor rgb="FFC6EFCE"/>
      <rgbColor rgb="FFFFF2CC"/>
      <rgbColor rgb="FF99CCFF"/>
      <rgbColor rgb="FFFF99CC"/>
      <rgbColor rgb="FFCC99FF"/>
      <rgbColor rgb="FFF2D98A"/>
      <rgbColor rgb="FF2E75B6"/>
      <rgbColor rgb="FF33CCCC"/>
      <rgbColor rgb="FF99CC00"/>
      <rgbColor rgb="FFFFCC00"/>
      <rgbColor rgb="FFBF90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48" hidden="false" customHeight="true" outlineLevel="0" collapsed="false">
      <c r="B6" s="4" t="s">
        <v>3</v>
      </c>
      <c r="C6" s="5" t="s">
        <v>4</v>
      </c>
    </row>
    <row r="7" customFormat="false" ht="48" hidden="false" customHeight="true" outlineLevel="0" collapsed="false">
      <c r="B7" s="4" t="s">
        <v>5</v>
      </c>
      <c r="C7" s="5" t="s">
        <v>6</v>
      </c>
    </row>
    <row r="8" customFormat="false" ht="48" hidden="false" customHeight="true" outlineLevel="0" collapsed="false">
      <c r="B8" s="4" t="s">
        <v>7</v>
      </c>
      <c r="C8" s="5" t="s">
        <v>8</v>
      </c>
    </row>
    <row r="9" customFormat="false" ht="48" hidden="false" customHeight="true" outlineLevel="0" collapsed="false">
      <c r="B9" s="4" t="s">
        <v>9</v>
      </c>
      <c r="C9" s="5" t="s">
        <v>10</v>
      </c>
    </row>
    <row r="10" customFormat="false" ht="48" hidden="false" customHeight="true" outlineLevel="0" collapsed="false">
      <c r="B10" s="4" t="s">
        <v>11</v>
      </c>
      <c r="C10" s="5" t="s">
        <v>12</v>
      </c>
    </row>
    <row r="11" customFormat="false" ht="48" hidden="false" customHeight="true" outlineLevel="0" collapsed="false">
      <c r="B11" s="4" t="s">
        <v>13</v>
      </c>
      <c r="C11" s="5" t="s">
        <v>14</v>
      </c>
    </row>
    <row r="12" customFormat="false" ht="48" hidden="false" customHeight="true" outlineLevel="0" collapsed="false">
      <c r="B12" s="4" t="s">
        <v>15</v>
      </c>
      <c r="C12" s="5" t="s">
        <v>16</v>
      </c>
    </row>
    <row r="13" customFormat="false" ht="48" hidden="false" customHeight="true" outlineLevel="0" collapsed="false">
      <c r="B13" s="4" t="s">
        <v>17</v>
      </c>
      <c r="C13" s="5" t="s">
        <v>18</v>
      </c>
    </row>
    <row r="15" customFormat="false" ht="15" hidden="false" customHeight="false" outlineLevel="0" collapsed="false">
      <c r="B15" s="6" t="s">
        <v>19</v>
      </c>
    </row>
    <row r="16" customFormat="false" ht="15" hidden="false" customHeight="false" outlineLevel="0" collapsed="false">
      <c r="B16" s="7" t="s">
        <v>20</v>
      </c>
      <c r="C16" s="8" t="n">
        <f aca="false">Catalogo_planes!H154</f>
        <v>146</v>
      </c>
    </row>
    <row r="17" customFormat="false" ht="15" hidden="false" customHeight="false" outlineLevel="0" collapsed="false">
      <c r="B17" s="7" t="s">
        <v>21</v>
      </c>
      <c r="C17" s="8" t="n">
        <f aca="false">Calendario_2027!G11</f>
        <v>180</v>
      </c>
    </row>
    <row r="18" customFormat="false" ht="15" hidden="false" customHeight="false" outlineLevel="0" collapsed="false">
      <c r="B18" s="7" t="s">
        <v>22</v>
      </c>
      <c r="C18" s="8" t="n">
        <f aca="false">Validacion!H11</f>
        <v>1330</v>
      </c>
    </row>
    <row r="19" customFormat="false" ht="15" hidden="false" customHeight="false" outlineLevel="0" collapsed="false">
      <c r="B19" s="7" t="s">
        <v>23</v>
      </c>
      <c r="C19" s="8" t="n">
        <f aca="false">Validacion!H12</f>
        <v>1400</v>
      </c>
    </row>
    <row r="20" customFormat="false" ht="15" hidden="false" customHeight="false" outlineLevel="0" collapsed="false">
      <c r="B20" s="7" t="s">
        <v>24</v>
      </c>
      <c r="C20" s="8" t="n">
        <f aca="false">Validacion!H16</f>
        <v>172</v>
      </c>
    </row>
    <row r="21" customFormat="false" ht="15" hidden="false" customHeight="false" outlineLevel="0" collapsed="false">
      <c r="B21" s="7" t="s">
        <v>25</v>
      </c>
      <c r="C21" s="8" t="n">
        <f aca="false">Validacion!L11</f>
        <v>1406</v>
      </c>
    </row>
    <row r="22" customFormat="false" ht="15" hidden="false" customHeight="false" outlineLevel="0" collapsed="false">
      <c r="B22" s="7" t="s">
        <v>26</v>
      </c>
      <c r="C22" s="8" t="n">
        <f aca="false">Validacion!L13-Validacion!L11</f>
        <v>74</v>
      </c>
    </row>
    <row r="23" customFormat="false" ht="15" hidden="false" customHeight="false" outlineLevel="0" collapsed="false">
      <c r="B23" s="7" t="s">
        <v>27</v>
      </c>
      <c r="C23" s="8" t="n">
        <f aca="false">(Validacion!L8+2)*Parametros!C11/5</f>
        <v>1482</v>
      </c>
    </row>
    <row r="24" customFormat="false" ht="15" hidden="false" customHeight="false" outlineLevel="0" collapsed="false">
      <c r="B24" s="7" t="s">
        <v>28</v>
      </c>
      <c r="C24" s="8" t="str">
        <f aca="false">Parametros!C32</f>
        <v>Semanas lectivas del calendario</v>
      </c>
    </row>
    <row r="25" customFormat="false" ht="15" hidden="false" customHeight="false" outlineLevel="0" collapsed="false">
      <c r="B25" s="7" t="s">
        <v>29</v>
      </c>
      <c r="C25" s="8" t="n">
        <f aca="false">Validacion!L13</f>
        <v>1480</v>
      </c>
    </row>
    <row r="26" customFormat="false" ht="15" hidden="false" customHeight="false" outlineLevel="0" collapsed="false">
      <c r="B26" s="7" t="s">
        <v>30</v>
      </c>
      <c r="C26" s="8" t="str">
        <f aca="false">Parametros!C28</f>
        <v>Decreto 0277 de 2025 (55 min + 5 de descanso = 1 h efectiva)</v>
      </c>
    </row>
    <row r="27" customFormat="false" ht="15" hidden="false" customHeight="false" outlineLevel="0" collapsed="false">
      <c r="B27" s="7" t="s">
        <v>31</v>
      </c>
      <c r="C27" s="8" t="n">
        <f aca="false">COUNTIF(Decisiones_CMA!G5:G19,"Pendiente*")</f>
        <v>3</v>
      </c>
    </row>
    <row r="28" customFormat="false" ht="15" hidden="false" customHeight="false" outlineLevel="0" collapsed="false">
      <c r="B28" s="7" t="s">
        <v>32</v>
      </c>
      <c r="C28" s="9" t="n">
        <f aca="false">Calidad_Saber11!H7+Calidad_Saber11!H8+Calidad_Saber11!H9</f>
        <v>0.844488188976378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0" t="s">
        <v>33</v>
      </c>
    </row>
    <row r="2" customFormat="false" ht="15" hidden="false" customHeight="false" outlineLevel="0" collapsed="false">
      <c r="A2" s="11" t="s">
        <v>34</v>
      </c>
    </row>
    <row r="3" customFormat="false" ht="15" hidden="false" customHeight="false" outlineLevel="0" collapsed="false">
      <c r="B3" s="12" t="s">
        <v>35</v>
      </c>
      <c r="C3" s="12" t="s">
        <v>36</v>
      </c>
      <c r="D3" s="12" t="s">
        <v>37</v>
      </c>
    </row>
    <row r="4" customFormat="false" ht="15" hidden="false" customHeight="false" outlineLevel="0" collapsed="false">
      <c r="B4" s="7" t="s">
        <v>38</v>
      </c>
      <c r="C4" s="13" t="n">
        <v>55</v>
      </c>
      <c r="D4" s="7" t="s">
        <v>39</v>
      </c>
    </row>
    <row r="5" customFormat="false" ht="15" hidden="false" customHeight="false" outlineLevel="0" collapsed="false">
      <c r="B5" s="7" t="s">
        <v>40</v>
      </c>
      <c r="C5" s="13" t="n">
        <v>7</v>
      </c>
      <c r="D5" s="7" t="s">
        <v>41</v>
      </c>
    </row>
    <row r="6" customFormat="false" ht="15" hidden="false" customHeight="false" outlineLevel="0" collapsed="false">
      <c r="B6" s="7" t="s">
        <v>42</v>
      </c>
      <c r="C6" s="13" t="n">
        <v>5</v>
      </c>
      <c r="D6" s="7" t="s">
        <v>43</v>
      </c>
    </row>
    <row r="7" customFormat="false" ht="15" hidden="false" customHeight="false" outlineLevel="0" collapsed="false">
      <c r="B7" s="7" t="s">
        <v>44</v>
      </c>
      <c r="C7" s="7" t="n">
        <f aca="false">C5*C6</f>
        <v>35</v>
      </c>
      <c r="D7" s="7" t="s">
        <v>45</v>
      </c>
    </row>
    <row r="8" customFormat="false" ht="15" hidden="false" customHeight="false" outlineLevel="0" collapsed="false">
      <c r="B8" s="7" t="s">
        <v>46</v>
      </c>
      <c r="C8" s="13" t="n">
        <v>60</v>
      </c>
      <c r="D8" s="7" t="s">
        <v>47</v>
      </c>
    </row>
    <row r="9" customFormat="false" ht="15" hidden="false" customHeight="false" outlineLevel="0" collapsed="false">
      <c r="B9" s="7" t="s">
        <v>48</v>
      </c>
      <c r="C9" s="13" t="n">
        <v>2</v>
      </c>
      <c r="D9" s="7" t="s">
        <v>43</v>
      </c>
    </row>
    <row r="11" customFormat="false" ht="15" hidden="false" customHeight="false" outlineLevel="0" collapsed="false">
      <c r="B11" s="7" t="s">
        <v>49</v>
      </c>
      <c r="C11" s="7" t="n">
        <f aca="false">IF(LEFT(C32,7)="Semanas",C33*5,Calendario_2027!G11)</f>
        <v>190</v>
      </c>
      <c r="D11" s="7" t="s">
        <v>50</v>
      </c>
    </row>
    <row r="12" customFormat="false" ht="15" hidden="false" customHeight="false" outlineLevel="0" collapsed="false">
      <c r="B12" s="7" t="s">
        <v>51</v>
      </c>
      <c r="C12" s="7" t="n">
        <f aca="false">IF(LEFT(C32,7)="Semanas",C34*5,Calendario_2027_40s!G10)</f>
        <v>200</v>
      </c>
      <c r="D12" s="7" t="s">
        <v>52</v>
      </c>
    </row>
    <row r="14" customFormat="false" ht="15" hidden="false" customHeight="false" outlineLevel="0" collapsed="false">
      <c r="B14" s="7" t="s">
        <v>53</v>
      </c>
      <c r="C14" s="13" t="n">
        <v>10</v>
      </c>
      <c r="D14" s="7" t="s">
        <v>54</v>
      </c>
    </row>
    <row r="15" customFormat="false" ht="15" hidden="false" customHeight="false" outlineLevel="0" collapsed="false">
      <c r="B15" s="7" t="s">
        <v>55</v>
      </c>
      <c r="C15" s="13" t="n">
        <v>9</v>
      </c>
      <c r="D15" s="7" t="s">
        <v>56</v>
      </c>
    </row>
    <row r="16" customFormat="false" ht="15" hidden="false" customHeight="false" outlineLevel="0" collapsed="false">
      <c r="B16" s="7" t="s">
        <v>57</v>
      </c>
      <c r="C16" s="13" t="n">
        <v>9</v>
      </c>
      <c r="D16" s="7" t="s">
        <v>56</v>
      </c>
    </row>
    <row r="17" customFormat="false" ht="15" hidden="false" customHeight="false" outlineLevel="0" collapsed="false">
      <c r="B17" s="7" t="s">
        <v>58</v>
      </c>
      <c r="C17" s="13" t="n">
        <v>9</v>
      </c>
      <c r="D17" s="7" t="s">
        <v>56</v>
      </c>
    </row>
    <row r="18" customFormat="false" ht="15" hidden="false" customHeight="false" outlineLevel="0" collapsed="false">
      <c r="B18" s="7" t="s">
        <v>59</v>
      </c>
      <c r="C18" s="7" t="n">
        <f aca="false">SUM(C14:C17)</f>
        <v>37</v>
      </c>
      <c r="D18" s="7" t="s">
        <v>60</v>
      </c>
    </row>
    <row r="20" customFormat="false" ht="15" hidden="false" customHeight="false" outlineLevel="0" collapsed="false">
      <c r="B20" s="4" t="s">
        <v>61</v>
      </c>
    </row>
    <row r="21" customFormat="false" ht="15" hidden="false" customHeight="false" outlineLevel="0" collapsed="false">
      <c r="B21" s="14" t="s">
        <v>62</v>
      </c>
      <c r="C21" s="14" t="s">
        <v>63</v>
      </c>
      <c r="D21" s="14" t="s">
        <v>64</v>
      </c>
    </row>
    <row r="22" customFormat="false" ht="15" hidden="false" customHeight="false" outlineLevel="0" collapsed="false">
      <c r="B22" s="7" t="s">
        <v>65</v>
      </c>
      <c r="C22" s="15" t="n">
        <v>20</v>
      </c>
      <c r="D22" s="15" t="n">
        <v>800</v>
      </c>
    </row>
    <row r="23" customFormat="false" ht="15" hidden="false" customHeight="false" outlineLevel="0" collapsed="false">
      <c r="B23" s="7" t="s">
        <v>66</v>
      </c>
      <c r="C23" s="15" t="n">
        <v>25</v>
      </c>
      <c r="D23" s="15" t="n">
        <v>1000</v>
      </c>
    </row>
    <row r="24" customFormat="false" ht="15" hidden="false" customHeight="false" outlineLevel="0" collapsed="false">
      <c r="B24" s="7" t="s">
        <v>67</v>
      </c>
      <c r="C24" s="15" t="n">
        <v>30</v>
      </c>
      <c r="D24" s="15" t="n">
        <v>1200</v>
      </c>
    </row>
    <row r="25" customFormat="false" ht="15" hidden="false" customHeight="false" outlineLevel="0" collapsed="false">
      <c r="B25" s="7" t="s">
        <v>68</v>
      </c>
      <c r="C25" s="16" t="n">
        <v>0.8</v>
      </c>
      <c r="D25" s="7" t="s">
        <v>69</v>
      </c>
    </row>
    <row r="26" customFormat="false" ht="15" hidden="false" customHeight="false" outlineLevel="0" collapsed="false">
      <c r="B26" s="7" t="s">
        <v>70</v>
      </c>
      <c r="C26" s="16" t="n">
        <v>0.2</v>
      </c>
      <c r="D26" s="7" t="s">
        <v>71</v>
      </c>
    </row>
    <row r="27" customFormat="false" ht="15" hidden="false" customHeight="false" outlineLevel="0" collapsed="false">
      <c r="B27" s="4" t="s">
        <v>72</v>
      </c>
    </row>
    <row r="28" customFormat="false" ht="30" hidden="false" customHeight="true" outlineLevel="0" collapsed="false">
      <c r="B28" s="7" t="s">
        <v>73</v>
      </c>
      <c r="C28" s="17" t="s">
        <v>74</v>
      </c>
      <c r="D28" s="7" t="s">
        <v>75</v>
      </c>
    </row>
    <row r="29" customFormat="false" ht="15" hidden="false" customHeight="false" outlineLevel="0" collapsed="false">
      <c r="B29" s="7" t="s">
        <v>76</v>
      </c>
      <c r="C29" s="7" t="n">
        <f aca="false">IF(LEFT(C28,7)="Decreto",60,C4)</f>
        <v>60</v>
      </c>
      <c r="D29" s="7" t="s">
        <v>77</v>
      </c>
    </row>
    <row r="30" customFormat="false" ht="15" hidden="false" customHeight="false" outlineLevel="0" collapsed="false">
      <c r="B30" s="7" t="s">
        <v>78</v>
      </c>
      <c r="C30" s="13" t="s">
        <v>79</v>
      </c>
      <c r="D30" s="7" t="s">
        <v>80</v>
      </c>
    </row>
    <row r="31" customFormat="false" ht="15" hidden="false" customHeight="false" outlineLevel="0" collapsed="false">
      <c r="B31" s="7" t="s">
        <v>81</v>
      </c>
      <c r="C31" s="13" t="n">
        <v>37</v>
      </c>
      <c r="D31" s="13" t="n">
        <v>1480</v>
      </c>
    </row>
    <row r="32" customFormat="false" ht="30" hidden="false" customHeight="true" outlineLevel="0" collapsed="false">
      <c r="B32" s="7" t="s">
        <v>28</v>
      </c>
      <c r="C32" s="17" t="s">
        <v>82</v>
      </c>
      <c r="D32" s="7" t="s">
        <v>83</v>
      </c>
    </row>
    <row r="33" customFormat="false" ht="15" hidden="false" customHeight="false" outlineLevel="0" collapsed="false">
      <c r="B33" s="7" t="s">
        <v>84</v>
      </c>
      <c r="C33" s="13" t="n">
        <v>38</v>
      </c>
      <c r="D33" s="7" t="s">
        <v>85</v>
      </c>
    </row>
    <row r="34" customFormat="false" ht="15" hidden="false" customHeight="false" outlineLevel="0" collapsed="false">
      <c r="B34" s="7" t="s">
        <v>86</v>
      </c>
      <c r="C34" s="7" t="n">
        <f aca="false">Calendario_2027_40s!F10</f>
        <v>40</v>
      </c>
      <c r="D34" s="7" t="s">
        <v>52</v>
      </c>
    </row>
  </sheetData>
  <dataValidations count="3">
    <dataValidation allowBlank="false" errorStyle="stop" operator="between" showDropDown="false" showErrorMessage="false" showInputMessage="false" sqref="C28" type="list">
      <formula1>"Decreto 0277 de 2025 (55 min + 5 de descanso = 1 h efectiva),Estricta (55 minutos reales)"</formula1>
      <formula2>0</formula2>
    </dataValidation>
    <dataValidation allowBlank="false" errorStyle="stop" operator="between" showDropDown="false" showErrorMessage="false" showInputMessage="false" sqref="C30" type="list">
      <formula1>"Media técnica,Media académica"</formula1>
      <formula2>0</formula2>
    </dataValidation>
    <dataValidation allowBlank="false" errorStyle="stop" operator="between" showDropDown="false" showErrorMessage="false" showInputMessage="false" sqref="C32" type="list">
      <formula1>"Días efectivos (lectura prudencial),Semanas lectivas del calendario"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2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62"/>
    <col collapsed="false" customWidth="true" hidden="false" outlineLevel="0" max="9" min="9" style="0" width="2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0" t="s">
        <v>87</v>
      </c>
    </row>
    <row r="2" customFormat="false" ht="15" hidden="false" customHeight="false" outlineLevel="0" collapsed="false">
      <c r="A2" s="11" t="s">
        <v>88</v>
      </c>
    </row>
    <row r="5" customFormat="false" ht="23.85" hidden="false" customHeight="false" outlineLevel="0" collapsed="false">
      <c r="A5" s="12" t="s">
        <v>89</v>
      </c>
      <c r="B5" s="12" t="s">
        <v>90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J5" s="14" t="s">
        <v>97</v>
      </c>
    </row>
    <row r="6" customFormat="false" ht="15" hidden="false" customHeight="false" outlineLevel="0" collapsed="false">
      <c r="A6" s="7" t="s">
        <v>98</v>
      </c>
      <c r="B6" s="7" t="s">
        <v>99</v>
      </c>
      <c r="C6" s="18" t="n">
        <v>46420</v>
      </c>
      <c r="D6" s="18" t="n">
        <v>46486</v>
      </c>
      <c r="E6" s="18" t="n">
        <v>46468</v>
      </c>
      <c r="F6" s="18" t="n">
        <v>46472</v>
      </c>
      <c r="G6" s="7" t="n">
        <f aca="false">NETWORKDAYS(C6,D6,$J$6:$J$23)-IF(E6="",0,NETWORKDAYS(E6,F6,$J$6:$J$23))</f>
        <v>44</v>
      </c>
      <c r="H6" s="7" t="s">
        <v>100</v>
      </c>
      <c r="J6" s="19" t="n">
        <v>46388</v>
      </c>
    </row>
    <row r="7" customFormat="false" ht="15" hidden="false" customHeight="false" outlineLevel="0" collapsed="false">
      <c r="A7" s="7" t="s">
        <v>101</v>
      </c>
      <c r="B7" s="7" t="s">
        <v>102</v>
      </c>
      <c r="C7" s="18" t="n">
        <v>46490</v>
      </c>
      <c r="D7" s="18" t="n">
        <v>46549</v>
      </c>
      <c r="E7" s="7"/>
      <c r="F7" s="7"/>
      <c r="G7" s="7" t="n">
        <f aca="false">NETWORKDAYS(C7,D7,$J$6:$J$23)-IF(E7="",0,NETWORKDAYS(E7,F7,$J$6:$J$23))</f>
        <v>41</v>
      </c>
      <c r="H7" s="7" t="s">
        <v>103</v>
      </c>
      <c r="J7" s="19" t="n">
        <v>46398</v>
      </c>
    </row>
    <row r="8" customFormat="false" ht="15" hidden="false" customHeight="false" outlineLevel="0" collapsed="false">
      <c r="A8" s="7" t="s">
        <v>104</v>
      </c>
      <c r="B8" s="7" t="s">
        <v>102</v>
      </c>
      <c r="C8" s="18" t="n">
        <v>46552</v>
      </c>
      <c r="D8" s="18" t="n">
        <v>46633</v>
      </c>
      <c r="E8" s="18" t="n">
        <v>46560</v>
      </c>
      <c r="F8" s="18" t="n">
        <v>46580</v>
      </c>
      <c r="G8" s="7" t="n">
        <f aca="false">NETWORKDAYS(C8,D8,$J$6:$J$23)-IF(E8="",0,NETWORKDAYS(E8,F8,$J$6:$J$23))</f>
        <v>43</v>
      </c>
      <c r="H8" s="7" t="s">
        <v>105</v>
      </c>
      <c r="J8" s="19" t="n">
        <v>46468</v>
      </c>
    </row>
    <row r="9" customFormat="false" ht="15" hidden="false" customHeight="false" outlineLevel="0" collapsed="false">
      <c r="A9" s="7" t="s">
        <v>106</v>
      </c>
      <c r="B9" s="7" t="s">
        <v>102</v>
      </c>
      <c r="C9" s="18" t="n">
        <v>46636</v>
      </c>
      <c r="D9" s="18" t="n">
        <v>46703</v>
      </c>
      <c r="E9" s="18" t="n">
        <v>46671</v>
      </c>
      <c r="F9" s="18" t="n">
        <v>46675</v>
      </c>
      <c r="G9" s="7" t="n">
        <f aca="false">NETWORKDAYS(C9,D9,$J$6:$J$23)-IF(E9="",0,NETWORKDAYS(E9,F9,$J$6:$J$23))</f>
        <v>43</v>
      </c>
      <c r="H9" s="7" t="s">
        <v>107</v>
      </c>
      <c r="J9" s="19" t="n">
        <v>46471</v>
      </c>
    </row>
    <row r="10" customFormat="false" ht="15" hidden="false" customHeight="false" outlineLevel="0" collapsed="false">
      <c r="A10" s="7" t="s">
        <v>108</v>
      </c>
      <c r="B10" s="7" t="s">
        <v>109</v>
      </c>
      <c r="C10" s="18" t="n">
        <v>46707</v>
      </c>
      <c r="D10" s="18" t="n">
        <v>46717</v>
      </c>
      <c r="E10" s="7"/>
      <c r="F10" s="7"/>
      <c r="G10" s="7" t="n">
        <f aca="false">NETWORKDAYS(C10,D10,$J$6:$J$23)-IF(E10="",0,NETWORKDAYS(E10,F10,$J$6:$J$23))</f>
        <v>9</v>
      </c>
      <c r="H10" s="7" t="s">
        <v>110</v>
      </c>
      <c r="J10" s="19" t="n">
        <v>46472</v>
      </c>
    </row>
    <row r="11" customFormat="false" ht="15" hidden="false" customHeight="false" outlineLevel="0" collapsed="false">
      <c r="A11" s="20" t="s">
        <v>111</v>
      </c>
      <c r="B11" s="21"/>
      <c r="C11" s="21"/>
      <c r="D11" s="21"/>
      <c r="E11" s="21"/>
      <c r="F11" s="21"/>
      <c r="G11" s="21" t="n">
        <f aca="false">SUM(G6:G10)</f>
        <v>180</v>
      </c>
      <c r="H11" s="21"/>
      <c r="J11" s="19" t="n">
        <v>46508</v>
      </c>
    </row>
    <row r="12" customFormat="false" ht="15" hidden="false" customHeight="false" outlineLevel="0" collapsed="false">
      <c r="A12" s="20" t="s">
        <v>112</v>
      </c>
      <c r="B12" s="21"/>
      <c r="C12" s="21"/>
      <c r="D12" s="21"/>
      <c r="E12" s="21"/>
      <c r="F12" s="21"/>
      <c r="G12" s="22" t="n">
        <f aca="false">G11/5</f>
        <v>36</v>
      </c>
      <c r="H12" s="21"/>
      <c r="J12" s="19" t="n">
        <v>46517</v>
      </c>
    </row>
    <row r="13" customFormat="false" ht="15" hidden="false" customHeight="false" outlineLevel="0" collapsed="false">
      <c r="A13" s="20" t="s">
        <v>113</v>
      </c>
      <c r="B13" s="21"/>
      <c r="C13" s="21"/>
      <c r="D13" s="21"/>
      <c r="E13" s="21"/>
      <c r="F13" s="21"/>
      <c r="G13" s="21" t="n">
        <f aca="false">200-G11</f>
        <v>20</v>
      </c>
      <c r="H13" s="21"/>
      <c r="J13" s="19" t="n">
        <v>46538</v>
      </c>
    </row>
    <row r="14" customFormat="false" ht="15" hidden="false" customHeight="false" outlineLevel="0" collapsed="false">
      <c r="J14" s="19" t="n">
        <v>46545</v>
      </c>
    </row>
    <row r="15" customFormat="false" ht="15" hidden="false" customHeight="false" outlineLevel="0" collapsed="false">
      <c r="A15" s="23" t="s">
        <v>114</v>
      </c>
      <c r="J15" s="19" t="n">
        <v>46573</v>
      </c>
    </row>
    <row r="16" customFormat="false" ht="15" hidden="false" customHeight="false" outlineLevel="0" collapsed="false">
      <c r="J16" s="19" t="n">
        <v>46588</v>
      </c>
    </row>
    <row r="17" customFormat="false" ht="15" hidden="false" customHeight="false" outlineLevel="0" collapsed="false">
      <c r="J17" s="19" t="n">
        <v>46606</v>
      </c>
    </row>
    <row r="18" customFormat="false" ht="15" hidden="false" customHeight="false" outlineLevel="0" collapsed="false">
      <c r="J18" s="19" t="n">
        <v>46615</v>
      </c>
    </row>
    <row r="19" customFormat="false" ht="15" hidden="false" customHeight="false" outlineLevel="0" collapsed="false">
      <c r="J19" s="19" t="n">
        <v>46678</v>
      </c>
    </row>
    <row r="20" customFormat="false" ht="15" hidden="false" customHeight="false" outlineLevel="0" collapsed="false">
      <c r="J20" s="19" t="n">
        <v>46692</v>
      </c>
    </row>
    <row r="21" customFormat="false" ht="15" hidden="false" customHeight="false" outlineLevel="0" collapsed="false">
      <c r="J21" s="19" t="n">
        <v>46706</v>
      </c>
    </row>
    <row r="22" customFormat="false" ht="15" hidden="false" customHeight="false" outlineLevel="0" collapsed="false">
      <c r="J22" s="19" t="n">
        <v>46729</v>
      </c>
    </row>
    <row r="23" customFormat="false" ht="15" hidden="false" customHeight="false" outlineLevel="0" collapsed="false">
      <c r="J23" s="19" t="n">
        <v>46746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9" min="6" style="0" width="12"/>
    <col collapsed="false" customWidth="true" hidden="false" outlineLevel="0" max="10" min="10" style="0" width="48"/>
  </cols>
  <sheetData>
    <row r="1" customFormat="false" ht="17.35" hidden="false" customHeight="false" outlineLevel="0" collapsed="false">
      <c r="A1" s="10" t="s">
        <v>115</v>
      </c>
    </row>
    <row r="2" customFormat="false" ht="15" hidden="false" customHeight="false" outlineLevel="0" collapsed="false">
      <c r="A2" s="11" t="s">
        <v>34</v>
      </c>
    </row>
    <row r="3" customFormat="false" ht="43.5" hidden="false" customHeight="true" outlineLevel="0" collapsed="false">
      <c r="A3" s="24" t="s">
        <v>116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5" customFormat="false" ht="23.85" hidden="false" customHeight="false" outlineLevel="0" collapsed="false">
      <c r="A5" s="12" t="s">
        <v>89</v>
      </c>
      <c r="B5" s="12" t="s">
        <v>91</v>
      </c>
      <c r="C5" s="12" t="s">
        <v>92</v>
      </c>
      <c r="D5" s="12" t="s">
        <v>93</v>
      </c>
      <c r="E5" s="12" t="s">
        <v>94</v>
      </c>
      <c r="F5" s="12" t="s">
        <v>117</v>
      </c>
      <c r="G5" s="12" t="s">
        <v>118</v>
      </c>
      <c r="H5" s="12" t="s">
        <v>119</v>
      </c>
      <c r="I5" s="12" t="s">
        <v>120</v>
      </c>
      <c r="J5" s="12" t="s">
        <v>96</v>
      </c>
    </row>
    <row r="6" customFormat="false" ht="15" hidden="false" customHeight="false" outlineLevel="0" collapsed="false">
      <c r="A6" s="7" t="s">
        <v>98</v>
      </c>
      <c r="B6" s="18" t="n">
        <v>46412</v>
      </c>
      <c r="C6" s="18" t="n">
        <v>46486</v>
      </c>
      <c r="D6" s="18" t="n">
        <v>46468</v>
      </c>
      <c r="E6" s="18" t="n">
        <v>46472</v>
      </c>
      <c r="F6" s="25" t="n">
        <v>10</v>
      </c>
      <c r="G6" s="26" t="n">
        <f aca="false">NETWORKDAYS(B6,C6,Calendario_2027!$J$6:$J$23)-IF(D6="",0,NETWORKDAYS(D6,E6,Calendario_2027!$J$6:$J$23))</f>
        <v>50</v>
      </c>
      <c r="H6" s="26" t="n">
        <f aca="false">NETWORKDAYS.INTL(B6,C6,"1101111",Calendario_2027!$J$6:$J$23)-IF(D6="",0,NETWORKDAYS.INTL(D6,E6,"1101111",Calendario_2027!$J$6:$J$23))</f>
        <v>10</v>
      </c>
      <c r="I6" s="26" t="n">
        <f aca="false">NETWORKDAYS.INTL(B6,C6,"1110111",Calendario_2027!$J$6:$J$23)-IF(D6="",0,NETWORKDAYS.INTL(D6,E6,"1110111",Calendario_2027!$J$6:$J$23))</f>
        <v>10</v>
      </c>
      <c r="J6" s="27" t="s">
        <v>121</v>
      </c>
    </row>
    <row r="7" customFormat="false" ht="15" hidden="false" customHeight="false" outlineLevel="0" collapsed="false">
      <c r="A7" s="7" t="s">
        <v>101</v>
      </c>
      <c r="B7" s="18" t="n">
        <v>46489</v>
      </c>
      <c r="C7" s="18" t="n">
        <v>46556</v>
      </c>
      <c r="D7" s="7"/>
      <c r="E7" s="7"/>
      <c r="F7" s="25" t="n">
        <v>10</v>
      </c>
      <c r="G7" s="26" t="n">
        <f aca="false">NETWORKDAYS(B7,C7,Calendario_2027!$J$6:$J$23)-IF(D7="",0,NETWORKDAYS(D7,E7,Calendario_2027!$J$6:$J$23))</f>
        <v>47</v>
      </c>
      <c r="H7" s="26" t="n">
        <f aca="false">NETWORKDAYS.INTL(B7,C7,"1101111",Calendario_2027!$J$6:$J$23)-IF(D7="",0,NETWORKDAYS.INTL(D7,E7,"1101111",Calendario_2027!$J$6:$J$23))</f>
        <v>10</v>
      </c>
      <c r="I7" s="26" t="n">
        <f aca="false">NETWORKDAYS.INTL(B7,C7,"1110111",Calendario_2027!$J$6:$J$23)-IF(D7="",0,NETWORKDAYS.INTL(D7,E7,"1110111",Calendario_2027!$J$6:$J$23))</f>
        <v>10</v>
      </c>
      <c r="J7" s="27" t="s">
        <v>122</v>
      </c>
    </row>
    <row r="8" customFormat="false" ht="28.35" hidden="false" customHeight="false" outlineLevel="0" collapsed="false">
      <c r="A8" s="7" t="s">
        <v>104</v>
      </c>
      <c r="B8" s="18" t="n">
        <v>46574</v>
      </c>
      <c r="C8" s="18" t="n">
        <v>46640</v>
      </c>
      <c r="D8" s="7"/>
      <c r="E8" s="7"/>
      <c r="F8" s="25" t="n">
        <v>10</v>
      </c>
      <c r="G8" s="26" t="n">
        <f aca="false">NETWORKDAYS(B8,C8,Calendario_2027!$J$6:$J$23)-IF(D8="",0,NETWORKDAYS(D8,E8,Calendario_2027!$J$6:$J$23))</f>
        <v>47</v>
      </c>
      <c r="H8" s="26" t="n">
        <f aca="false">NETWORKDAYS.INTL(B8,C8,"1101111",Calendario_2027!$J$6:$J$23)-IF(D8="",0,NETWORKDAYS.INTL(D8,E8,"1101111",Calendario_2027!$J$6:$J$23))</f>
        <v>10</v>
      </c>
      <c r="I8" s="26" t="n">
        <f aca="false">NETWORKDAYS.INTL(B8,C8,"1110111",Calendario_2027!$J$6:$J$23)-IF(D8="",0,NETWORKDAYS.INTL(D8,E8,"1110111",Calendario_2027!$J$6:$J$23))</f>
        <v>10</v>
      </c>
      <c r="J8" s="27" t="s">
        <v>123</v>
      </c>
    </row>
    <row r="9" customFormat="false" ht="41.75" hidden="false" customHeight="false" outlineLevel="0" collapsed="false">
      <c r="A9" s="7" t="s">
        <v>106</v>
      </c>
      <c r="B9" s="18" t="n">
        <v>46643</v>
      </c>
      <c r="C9" s="18" t="n">
        <v>46717</v>
      </c>
      <c r="D9" s="18" t="n">
        <v>46671</v>
      </c>
      <c r="E9" s="18" t="n">
        <v>46675</v>
      </c>
      <c r="F9" s="25" t="n">
        <v>10</v>
      </c>
      <c r="G9" s="26" t="n">
        <f aca="false">NETWORKDAYS(B9,C9,Calendario_2027!$J$6:$J$23)-IF(D9="",0,NETWORKDAYS(D9,E9,Calendario_2027!$J$6:$J$23))</f>
        <v>47</v>
      </c>
      <c r="H9" s="26" t="n">
        <f aca="false">NETWORKDAYS.INTL(B9,C9,"1101111",Calendario_2027!$J$6:$J$23)-IF(D9="",0,NETWORKDAYS.INTL(D9,E9,"1101111",Calendario_2027!$J$6:$J$23))</f>
        <v>10</v>
      </c>
      <c r="I9" s="26" t="n">
        <f aca="false">NETWORKDAYS.INTL(B9,C9,"1110111",Calendario_2027!$J$6:$J$23)-IF(D9="",0,NETWORKDAYS.INTL(D9,E9,"1110111",Calendario_2027!$J$6:$J$23))</f>
        <v>10</v>
      </c>
      <c r="J9" s="27" t="s">
        <v>124</v>
      </c>
    </row>
    <row r="10" customFormat="false" ht="15" hidden="false" customHeight="false" outlineLevel="0" collapsed="false">
      <c r="A10" s="20" t="s">
        <v>111</v>
      </c>
      <c r="B10" s="20"/>
      <c r="C10" s="20"/>
      <c r="D10" s="20"/>
      <c r="E10" s="20"/>
      <c r="F10" s="20" t="n">
        <f aca="false">SUM(F6:F9)</f>
        <v>40</v>
      </c>
      <c r="G10" s="20" t="n">
        <f aca="false">SUM(G6:G9)</f>
        <v>191</v>
      </c>
      <c r="H10" s="20" t="n">
        <f aca="false">SUM(H6:H9)</f>
        <v>40</v>
      </c>
      <c r="I10" s="20" t="n">
        <f aca="false">SUM(I6:I9)</f>
        <v>40</v>
      </c>
      <c r="J10" s="20"/>
    </row>
    <row r="12" customFormat="false" ht="23.85" hidden="false" customHeight="false" outlineLevel="0" collapsed="false">
      <c r="A12" s="14" t="s">
        <v>62</v>
      </c>
      <c r="B12" s="14" t="s">
        <v>125</v>
      </c>
      <c r="C12" s="14" t="s">
        <v>126</v>
      </c>
      <c r="D12" s="14" t="s">
        <v>127</v>
      </c>
      <c r="E12" s="14" t="s">
        <v>128</v>
      </c>
      <c r="F12" s="14" t="s">
        <v>129</v>
      </c>
      <c r="G12" s="14" t="s">
        <v>130</v>
      </c>
      <c r="H12" s="14" t="s">
        <v>131</v>
      </c>
      <c r="I12" s="14" t="s">
        <v>132</v>
      </c>
    </row>
    <row r="13" customFormat="false" ht="15" hidden="false" customHeight="false" outlineLevel="0" collapsed="false">
      <c r="A13" s="27" t="s">
        <v>133</v>
      </c>
      <c r="B13" s="26" t="n">
        <v>35</v>
      </c>
      <c r="C13" s="26" t="n">
        <v>0</v>
      </c>
      <c r="D13" s="26" t="s">
        <v>134</v>
      </c>
      <c r="E13" s="28" t="n">
        <f aca="false">(B13*60/60+C13)*$F$10</f>
        <v>1400</v>
      </c>
      <c r="F13" s="28" t="n">
        <f aca="false">$G$10*B13/5*60/60+0</f>
        <v>1337</v>
      </c>
      <c r="G13" s="26" t="n">
        <v>1200</v>
      </c>
      <c r="H13" s="29" t="str">
        <f aca="false">IF(E13&gt;=G13,"Cumple","No cumple")</f>
        <v>Cumple</v>
      </c>
      <c r="I13" s="29" t="str">
        <f aca="false">IF(F13&gt;=G13,"Cumple","No cumple")</f>
        <v>Cumple</v>
      </c>
    </row>
    <row r="14" customFormat="false" ht="15" hidden="false" customHeight="false" outlineLevel="0" collapsed="false">
      <c r="A14" s="27" t="s">
        <v>133</v>
      </c>
      <c r="B14" s="26" t="n">
        <v>35</v>
      </c>
      <c r="C14" s="26" t="n">
        <v>0</v>
      </c>
      <c r="D14" s="26" t="s">
        <v>135</v>
      </c>
      <c r="E14" s="28" t="n">
        <f aca="false">(B14*55/60+C14)*$F$10</f>
        <v>1283.33333333333</v>
      </c>
      <c r="F14" s="28" t="n">
        <f aca="false">$G$10*B14/5*55/60+0</f>
        <v>1225.58333333333</v>
      </c>
      <c r="G14" s="26" t="n">
        <v>1200</v>
      </c>
      <c r="H14" s="29" t="str">
        <f aca="false">IF(E14&gt;=G14,"Cumple","No cumple")</f>
        <v>Cumple</v>
      </c>
      <c r="I14" s="29" t="str">
        <f aca="false">IF(F14&gt;=G14,"Cumple","No cumple")</f>
        <v>Cumple</v>
      </c>
    </row>
    <row r="15" customFormat="false" ht="15" hidden="false" customHeight="false" outlineLevel="0" collapsed="false">
      <c r="A15" s="27" t="s">
        <v>136</v>
      </c>
      <c r="B15" s="26" t="n">
        <v>35</v>
      </c>
      <c r="C15" s="26" t="n">
        <v>2</v>
      </c>
      <c r="D15" s="26" t="s">
        <v>134</v>
      </c>
      <c r="E15" s="28" t="n">
        <f aca="false">(B15*60/60+C15)*$F$10</f>
        <v>1480</v>
      </c>
      <c r="F15" s="28" t="n">
        <f aca="false">$G$10*B15/5*60/60+2*($H$10)</f>
        <v>1417</v>
      </c>
      <c r="G15" s="26" t="n">
        <v>1480</v>
      </c>
      <c r="H15" s="29" t="str">
        <f aca="false">IF(E15&gt;=G15,"Cumple","No cumple")</f>
        <v>Cumple</v>
      </c>
      <c r="I15" s="29" t="str">
        <f aca="false">IF(F15&gt;=G15,"Cumple","No cumple")</f>
        <v>No cumple</v>
      </c>
    </row>
    <row r="16" customFormat="false" ht="15" hidden="false" customHeight="false" outlineLevel="0" collapsed="false">
      <c r="A16" s="27" t="s">
        <v>136</v>
      </c>
      <c r="B16" s="26" t="n">
        <v>35</v>
      </c>
      <c r="C16" s="26" t="n">
        <v>2</v>
      </c>
      <c r="D16" s="26" t="s">
        <v>135</v>
      </c>
      <c r="E16" s="28" t="n">
        <f aca="false">(B16*55/60+C16)*$F$10</f>
        <v>1363.33333333333</v>
      </c>
      <c r="F16" s="28" t="n">
        <f aca="false">$G$10*B16/5*55/60+2*($H$10)</f>
        <v>1305.58333333333</v>
      </c>
      <c r="G16" s="26" t="n">
        <v>1480</v>
      </c>
      <c r="H16" s="29" t="str">
        <f aca="false">IF(E16&gt;=G16,"Cumple","No cumple")</f>
        <v>No cumple</v>
      </c>
      <c r="I16" s="29" t="str">
        <f aca="false">IF(F16&gt;=G16,"Cumple","No cumple")</f>
        <v>No cumple</v>
      </c>
    </row>
    <row r="17" customFormat="false" ht="28.35" hidden="false" customHeight="false" outlineLevel="0" collapsed="false">
      <c r="A17" s="27" t="s">
        <v>137</v>
      </c>
      <c r="B17" s="26" t="n">
        <v>35</v>
      </c>
      <c r="C17" s="26" t="n">
        <v>4</v>
      </c>
      <c r="D17" s="26" t="s">
        <v>134</v>
      </c>
      <c r="E17" s="28" t="n">
        <f aca="false">(B17*60/60+C17)*$F$10</f>
        <v>1560</v>
      </c>
      <c r="F17" s="28" t="n">
        <f aca="false">$G$10*B17/5*60/60+4/2*($H$10+$I$10)</f>
        <v>1497</v>
      </c>
      <c r="G17" s="26" t="n">
        <v>1480</v>
      </c>
      <c r="H17" s="29" t="str">
        <f aca="false">IF(E17&gt;=G17,"Cumple","No cumple")</f>
        <v>Cumple</v>
      </c>
      <c r="I17" s="29" t="str">
        <f aca="false">IF(F17&gt;=G17,"Cumple","No cumple")</f>
        <v>Cumple</v>
      </c>
    </row>
    <row r="18" customFormat="false" ht="28.35" hidden="false" customHeight="false" outlineLevel="0" collapsed="false">
      <c r="A18" s="27" t="s">
        <v>138</v>
      </c>
      <c r="B18" s="26" t="n">
        <v>35</v>
      </c>
      <c r="C18" s="26" t="n">
        <v>5</v>
      </c>
      <c r="D18" s="26" t="s">
        <v>135</v>
      </c>
      <c r="E18" s="28" t="n">
        <f aca="false">(B18*55/60+C18)*$F$10</f>
        <v>1483.33333333333</v>
      </c>
      <c r="F18" s="28" t="n">
        <f aca="false">$G$10*B18/5*55/60+5/2*($H$10+$I$10)</f>
        <v>1425.58333333333</v>
      </c>
      <c r="G18" s="26" t="n">
        <v>1480</v>
      </c>
      <c r="H18" s="29" t="str">
        <f aca="false">IF(E18&gt;=G18,"Cumple","No cumple")</f>
        <v>Cumple</v>
      </c>
      <c r="I18" s="29" t="str">
        <f aca="false">IF(F18&gt;=G18,"Cumple","No cumple")</f>
        <v>No cumple</v>
      </c>
    </row>
    <row r="19" customFormat="false" ht="15" hidden="false" customHeight="true" outlineLevel="0" collapsed="false">
      <c r="A19" s="24" t="s">
        <v>139</v>
      </c>
      <c r="B19" s="24"/>
      <c r="C19" s="24"/>
      <c r="D19" s="24"/>
      <c r="E19" s="24"/>
      <c r="F19" s="24"/>
      <c r="G19" s="24"/>
      <c r="H19" s="24"/>
      <c r="I19" s="24"/>
      <c r="J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2" customFormat="false" ht="15" hidden="false" customHeight="false" outlineLevel="0" collapsed="false">
      <c r="A22" s="14" t="s">
        <v>140</v>
      </c>
      <c r="B22" s="14" t="s">
        <v>141</v>
      </c>
      <c r="C22" s="14" t="s">
        <v>142</v>
      </c>
    </row>
    <row r="23" customFormat="false" ht="28.35" hidden="false" customHeight="false" outlineLevel="0" collapsed="false">
      <c r="A23" s="27" t="s">
        <v>143</v>
      </c>
      <c r="B23" s="27" t="s">
        <v>144</v>
      </c>
      <c r="C23" s="27" t="s">
        <v>145</v>
      </c>
    </row>
    <row r="24" customFormat="false" ht="15" hidden="false" customHeight="false" outlineLevel="0" collapsed="false">
      <c r="A24" s="27" t="s">
        <v>146</v>
      </c>
      <c r="B24" s="27" t="s">
        <v>147</v>
      </c>
      <c r="C24" s="27" t="s">
        <v>148</v>
      </c>
    </row>
    <row r="25" customFormat="false" ht="28.35" hidden="false" customHeight="false" outlineLevel="0" collapsed="false">
      <c r="A25" s="27" t="s">
        <v>149</v>
      </c>
      <c r="B25" s="27" t="s">
        <v>150</v>
      </c>
      <c r="C25" s="27" t="s">
        <v>151</v>
      </c>
    </row>
    <row r="26" customFormat="false" ht="15" hidden="false" customHeight="false" outlineLevel="0" collapsed="false">
      <c r="A26" s="27" t="s">
        <v>152</v>
      </c>
      <c r="B26" s="27" t="s">
        <v>153</v>
      </c>
      <c r="C26" s="27" t="s">
        <v>148</v>
      </c>
    </row>
    <row r="27" customFormat="false" ht="15" hidden="false" customHeight="false" outlineLevel="0" collapsed="false">
      <c r="A27" s="27" t="s">
        <v>154</v>
      </c>
      <c r="B27" s="27" t="s">
        <v>155</v>
      </c>
      <c r="C27" s="27" t="s">
        <v>148</v>
      </c>
    </row>
    <row r="28" customFormat="false" ht="28.35" hidden="false" customHeight="false" outlineLevel="0" collapsed="false">
      <c r="A28" s="27" t="s">
        <v>156</v>
      </c>
      <c r="B28" s="27" t="s">
        <v>157</v>
      </c>
      <c r="C28" s="27" t="s">
        <v>145</v>
      </c>
    </row>
    <row r="29" customFormat="false" ht="28.35" hidden="false" customHeight="false" outlineLevel="0" collapsed="false">
      <c r="A29" s="27" t="s">
        <v>158</v>
      </c>
      <c r="B29" s="27" t="s">
        <v>159</v>
      </c>
      <c r="C29" s="27" t="s">
        <v>151</v>
      </c>
    </row>
    <row r="30" customFormat="false" ht="15" hidden="false" customHeight="false" outlineLevel="0" collapsed="false">
      <c r="A30" s="27" t="s">
        <v>160</v>
      </c>
      <c r="B30" s="27" t="s">
        <v>161</v>
      </c>
      <c r="C30" s="27" t="s">
        <v>148</v>
      </c>
    </row>
    <row r="31" customFormat="false" ht="41.75" hidden="false" customHeight="false" outlineLevel="0" collapsed="false">
      <c r="A31" s="27" t="s">
        <v>162</v>
      </c>
      <c r="B31" s="27" t="s">
        <v>163</v>
      </c>
      <c r="C31" s="27" t="s">
        <v>148</v>
      </c>
    </row>
    <row r="32" customFormat="false" ht="28.35" hidden="false" customHeight="false" outlineLevel="0" collapsed="false">
      <c r="A32" s="27" t="s">
        <v>164</v>
      </c>
      <c r="B32" s="27" t="s">
        <v>165</v>
      </c>
      <c r="C32" s="27" t="s">
        <v>148</v>
      </c>
    </row>
    <row r="33" customFormat="false" ht="28.35" hidden="false" customHeight="false" outlineLevel="0" collapsed="false">
      <c r="A33" s="27" t="s">
        <v>166</v>
      </c>
      <c r="B33" s="27" t="s">
        <v>167</v>
      </c>
      <c r="C33" s="27" t="s">
        <v>151</v>
      </c>
    </row>
    <row r="34" customFormat="false" ht="28.35" hidden="false" customHeight="false" outlineLevel="0" collapsed="false">
      <c r="A34" s="27" t="s">
        <v>168</v>
      </c>
      <c r="B34" s="27" t="s">
        <v>169</v>
      </c>
      <c r="C34" s="27" t="s">
        <v>170</v>
      </c>
    </row>
    <row r="35" customFormat="false" ht="41.75" hidden="false" customHeight="false" outlineLevel="0" collapsed="false">
      <c r="A35" s="27" t="s">
        <v>171</v>
      </c>
      <c r="B35" s="27" t="s">
        <v>172</v>
      </c>
      <c r="C35" s="27" t="s">
        <v>145</v>
      </c>
    </row>
    <row r="37" customFormat="false" ht="15" hidden="false" customHeight="false" outlineLevel="0" collapsed="false">
      <c r="A37" s="30" t="s">
        <v>173</v>
      </c>
      <c r="B37" s="30"/>
      <c r="C37" s="30"/>
      <c r="D37" s="30"/>
      <c r="E37" s="30"/>
      <c r="F37" s="30"/>
      <c r="G37" s="30"/>
      <c r="H37" s="30"/>
      <c r="I37" s="30"/>
      <c r="J37" s="30"/>
    </row>
  </sheetData>
  <mergeCells count="3">
    <mergeCell ref="A3:K3"/>
    <mergeCell ref="A19:J20"/>
    <mergeCell ref="A37:J37"/>
  </mergeCells>
  <conditionalFormatting sqref="H13:I18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A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2" min="1" style="0" width="4.6"/>
  </cols>
  <sheetData>
    <row r="1" customFormat="false" ht="17.35" hidden="false" customHeight="false" outlineLevel="0" collapsed="false">
      <c r="A1" s="10" t="s">
        <v>174</v>
      </c>
    </row>
    <row r="2" customFormat="false" ht="15" hidden="false" customHeight="false" outlineLevel="0" collapsed="false">
      <c r="A2" s="11" t="s">
        <v>34</v>
      </c>
    </row>
    <row r="4" customFormat="false" ht="15" hidden="false" customHeight="true" outlineLevel="0" collapsed="false">
      <c r="A4" s="6" t="s">
        <v>175</v>
      </c>
      <c r="J4" s="31" t="s">
        <v>170</v>
      </c>
      <c r="K4" s="31"/>
      <c r="L4" s="31"/>
      <c r="M4" s="31"/>
      <c r="O4" s="32" t="s">
        <v>176</v>
      </c>
      <c r="P4" s="32"/>
      <c r="Q4" s="32"/>
      <c r="R4" s="32"/>
      <c r="T4" s="33" t="s">
        <v>151</v>
      </c>
      <c r="U4" s="33"/>
      <c r="V4" s="33"/>
      <c r="W4" s="33"/>
      <c r="Y4" s="34" t="s">
        <v>145</v>
      </c>
      <c r="Z4" s="34"/>
      <c r="AA4" s="34"/>
      <c r="AB4" s="34"/>
    </row>
    <row r="5" customFormat="false" ht="15" hidden="false" customHeight="true" outlineLevel="0" collapsed="false">
      <c r="A5" s="35" t="s">
        <v>177</v>
      </c>
      <c r="B5" s="35"/>
      <c r="C5" s="35"/>
      <c r="D5" s="35"/>
      <c r="E5" s="35"/>
      <c r="F5" s="35"/>
      <c r="G5" s="35"/>
      <c r="I5" s="35" t="s">
        <v>178</v>
      </c>
      <c r="J5" s="35"/>
      <c r="K5" s="35"/>
      <c r="L5" s="35"/>
      <c r="M5" s="35"/>
      <c r="N5" s="35"/>
      <c r="O5" s="35"/>
      <c r="Q5" s="35" t="s">
        <v>179</v>
      </c>
      <c r="R5" s="35"/>
      <c r="S5" s="35"/>
      <c r="T5" s="35"/>
      <c r="U5" s="35"/>
      <c r="V5" s="35"/>
      <c r="W5" s="35"/>
      <c r="Y5" s="35" t="s">
        <v>180</v>
      </c>
      <c r="Z5" s="35"/>
      <c r="AA5" s="35"/>
      <c r="AB5" s="35"/>
      <c r="AC5" s="35"/>
      <c r="AD5" s="35"/>
      <c r="AE5" s="35"/>
    </row>
    <row r="6" customFormat="false" ht="15" hidden="false" customHeight="false" outlineLevel="0" collapsed="false">
      <c r="A6" s="36" t="s">
        <v>181</v>
      </c>
      <c r="B6" s="36" t="s">
        <v>182</v>
      </c>
      <c r="C6" s="36" t="s">
        <v>182</v>
      </c>
      <c r="D6" s="36" t="s">
        <v>183</v>
      </c>
      <c r="E6" s="36" t="s">
        <v>184</v>
      </c>
      <c r="F6" s="36" t="s">
        <v>185</v>
      </c>
      <c r="G6" s="36" t="s">
        <v>186</v>
      </c>
      <c r="I6" s="36" t="s">
        <v>181</v>
      </c>
      <c r="J6" s="36" t="s">
        <v>182</v>
      </c>
      <c r="K6" s="36" t="s">
        <v>182</v>
      </c>
      <c r="L6" s="36" t="s">
        <v>183</v>
      </c>
      <c r="M6" s="36" t="s">
        <v>184</v>
      </c>
      <c r="N6" s="36" t="s">
        <v>185</v>
      </c>
      <c r="O6" s="36" t="s">
        <v>186</v>
      </c>
      <c r="Q6" s="36" t="s">
        <v>181</v>
      </c>
      <c r="R6" s="36" t="s">
        <v>182</v>
      </c>
      <c r="S6" s="36" t="s">
        <v>182</v>
      </c>
      <c r="T6" s="36" t="s">
        <v>183</v>
      </c>
      <c r="U6" s="36" t="s">
        <v>184</v>
      </c>
      <c r="V6" s="36" t="s">
        <v>185</v>
      </c>
      <c r="W6" s="36" t="s">
        <v>186</v>
      </c>
      <c r="Y6" s="36" t="s">
        <v>181</v>
      </c>
      <c r="Z6" s="36" t="s">
        <v>182</v>
      </c>
      <c r="AA6" s="36" t="s">
        <v>182</v>
      </c>
      <c r="AB6" s="36" t="s">
        <v>183</v>
      </c>
      <c r="AC6" s="36" t="s">
        <v>184</v>
      </c>
      <c r="AD6" s="36" t="s">
        <v>185</v>
      </c>
      <c r="AE6" s="36" t="s">
        <v>186</v>
      </c>
    </row>
    <row r="7" customFormat="false" ht="15" hidden="false" customHeight="false" outlineLevel="0" collapsed="false">
      <c r="E7" s="37" t="n">
        <v>1</v>
      </c>
      <c r="F7" s="38" t="n">
        <v>2</v>
      </c>
      <c r="G7" s="38" t="n">
        <v>3</v>
      </c>
      <c r="I7" s="39" t="n">
        <v>1</v>
      </c>
      <c r="J7" s="39" t="n">
        <v>2</v>
      </c>
      <c r="K7" s="39" t="n">
        <v>3</v>
      </c>
      <c r="L7" s="39" t="n">
        <v>4</v>
      </c>
      <c r="M7" s="39" t="n">
        <v>5</v>
      </c>
      <c r="N7" s="38" t="n">
        <v>6</v>
      </c>
      <c r="O7" s="38" t="n">
        <v>7</v>
      </c>
      <c r="Q7" s="39" t="n">
        <v>1</v>
      </c>
      <c r="R7" s="39" t="n">
        <v>2</v>
      </c>
      <c r="S7" s="39" t="n">
        <v>3</v>
      </c>
      <c r="T7" s="39" t="n">
        <v>4</v>
      </c>
      <c r="U7" s="39" t="n">
        <v>5</v>
      </c>
      <c r="V7" s="38" t="n">
        <v>6</v>
      </c>
      <c r="W7" s="38" t="n">
        <v>7</v>
      </c>
      <c r="AB7" s="39" t="n">
        <v>1</v>
      </c>
      <c r="AC7" s="39" t="n">
        <v>2</v>
      </c>
      <c r="AD7" s="38" t="n">
        <v>3</v>
      </c>
      <c r="AE7" s="38" t="n">
        <v>4</v>
      </c>
    </row>
    <row r="8" customFormat="false" ht="15" hidden="false" customHeight="false" outlineLevel="0" collapsed="false">
      <c r="A8" s="40" t="n">
        <v>4</v>
      </c>
      <c r="B8" s="40" t="n">
        <v>5</v>
      </c>
      <c r="C8" s="40" t="n">
        <v>6</v>
      </c>
      <c r="D8" s="40" t="n">
        <v>7</v>
      </c>
      <c r="E8" s="40" t="n">
        <v>8</v>
      </c>
      <c r="F8" s="38" t="n">
        <v>9</v>
      </c>
      <c r="G8" s="38" t="n">
        <v>10</v>
      </c>
      <c r="I8" s="39" t="n">
        <v>8</v>
      </c>
      <c r="J8" s="39" t="n">
        <v>9</v>
      </c>
      <c r="K8" s="39" t="n">
        <v>10</v>
      </c>
      <c r="L8" s="39" t="n">
        <v>11</v>
      </c>
      <c r="M8" s="39" t="n">
        <v>12</v>
      </c>
      <c r="N8" s="38" t="n">
        <v>13</v>
      </c>
      <c r="O8" s="38" t="n">
        <v>14</v>
      </c>
      <c r="Q8" s="39" t="n">
        <v>8</v>
      </c>
      <c r="R8" s="39" t="n">
        <v>9</v>
      </c>
      <c r="S8" s="39" t="n">
        <v>10</v>
      </c>
      <c r="T8" s="39" t="n">
        <v>11</v>
      </c>
      <c r="U8" s="39" t="n">
        <v>12</v>
      </c>
      <c r="V8" s="38" t="n">
        <v>13</v>
      </c>
      <c r="W8" s="38" t="n">
        <v>14</v>
      </c>
      <c r="Y8" s="39" t="n">
        <v>5</v>
      </c>
      <c r="Z8" s="39" t="n">
        <v>6</v>
      </c>
      <c r="AA8" s="39" t="n">
        <v>7</v>
      </c>
      <c r="AB8" s="39" t="n">
        <v>8</v>
      </c>
      <c r="AC8" s="39" t="n">
        <v>9</v>
      </c>
      <c r="AD8" s="38" t="n">
        <v>10</v>
      </c>
      <c r="AE8" s="38" t="n">
        <v>11</v>
      </c>
    </row>
    <row r="9" customFormat="false" ht="15" hidden="false" customHeight="false" outlineLevel="0" collapsed="false">
      <c r="A9" s="37" t="n">
        <v>11</v>
      </c>
      <c r="B9" s="41" t="n">
        <v>12</v>
      </c>
      <c r="C9" s="41" t="n">
        <v>13</v>
      </c>
      <c r="D9" s="41" t="n">
        <v>14</v>
      </c>
      <c r="E9" s="41" t="n">
        <v>15</v>
      </c>
      <c r="F9" s="38" t="n">
        <v>16</v>
      </c>
      <c r="G9" s="38" t="n">
        <v>17</v>
      </c>
      <c r="I9" s="39" t="n">
        <v>15</v>
      </c>
      <c r="J9" s="39" t="n">
        <v>16</v>
      </c>
      <c r="K9" s="39" t="n">
        <v>17</v>
      </c>
      <c r="L9" s="39" t="n">
        <v>18</v>
      </c>
      <c r="M9" s="39" t="n">
        <v>19</v>
      </c>
      <c r="N9" s="38" t="n">
        <v>20</v>
      </c>
      <c r="O9" s="38" t="n">
        <v>21</v>
      </c>
      <c r="Q9" s="39" t="n">
        <v>15</v>
      </c>
      <c r="R9" s="39" t="n">
        <v>16</v>
      </c>
      <c r="S9" s="39" t="n">
        <v>17</v>
      </c>
      <c r="T9" s="39" t="n">
        <v>18</v>
      </c>
      <c r="U9" s="39" t="n">
        <v>19</v>
      </c>
      <c r="V9" s="38" t="n">
        <v>20</v>
      </c>
      <c r="W9" s="38" t="n">
        <v>21</v>
      </c>
      <c r="Y9" s="39" t="n">
        <v>12</v>
      </c>
      <c r="Z9" s="39" t="n">
        <v>13</v>
      </c>
      <c r="AA9" s="39" t="n">
        <v>14</v>
      </c>
      <c r="AB9" s="39" t="n">
        <v>15</v>
      </c>
      <c r="AC9" s="39" t="n">
        <v>16</v>
      </c>
      <c r="AD9" s="38" t="n">
        <v>17</v>
      </c>
      <c r="AE9" s="38" t="n">
        <v>18</v>
      </c>
    </row>
    <row r="10" customFormat="false" ht="15" hidden="false" customHeight="false" outlineLevel="0" collapsed="false">
      <c r="A10" s="41" t="n">
        <v>18</v>
      </c>
      <c r="B10" s="41" t="n">
        <v>19</v>
      </c>
      <c r="C10" s="41" t="n">
        <v>20</v>
      </c>
      <c r="D10" s="41" t="n">
        <v>21</v>
      </c>
      <c r="E10" s="41" t="n">
        <v>22</v>
      </c>
      <c r="F10" s="38" t="n">
        <v>23</v>
      </c>
      <c r="G10" s="38" t="n">
        <v>24</v>
      </c>
      <c r="I10" s="39" t="n">
        <v>22</v>
      </c>
      <c r="J10" s="39" t="n">
        <v>23</v>
      </c>
      <c r="K10" s="39" t="n">
        <v>24</v>
      </c>
      <c r="L10" s="39" t="n">
        <v>25</v>
      </c>
      <c r="M10" s="39" t="n">
        <v>26</v>
      </c>
      <c r="N10" s="38" t="n">
        <v>27</v>
      </c>
      <c r="O10" s="38" t="n">
        <v>28</v>
      </c>
      <c r="Q10" s="37" t="n">
        <v>22</v>
      </c>
      <c r="R10" s="42" t="n">
        <v>23</v>
      </c>
      <c r="S10" s="42" t="n">
        <v>24</v>
      </c>
      <c r="T10" s="37" t="n">
        <v>25</v>
      </c>
      <c r="U10" s="37" t="n">
        <v>26</v>
      </c>
      <c r="V10" s="38" t="n">
        <v>27</v>
      </c>
      <c r="W10" s="38" t="n">
        <v>28</v>
      </c>
      <c r="Y10" s="39" t="n">
        <v>19</v>
      </c>
      <c r="Z10" s="39" t="n">
        <v>20</v>
      </c>
      <c r="AA10" s="39" t="n">
        <v>21</v>
      </c>
      <c r="AB10" s="39" t="n">
        <v>22</v>
      </c>
      <c r="AC10" s="39" t="n">
        <v>23</v>
      </c>
      <c r="AD10" s="38" t="n">
        <v>24</v>
      </c>
      <c r="AE10" s="38" t="n">
        <v>25</v>
      </c>
    </row>
    <row r="11" customFormat="false" ht="15" hidden="false" customHeight="false" outlineLevel="0" collapsed="false">
      <c r="A11" s="39" t="n">
        <v>25</v>
      </c>
      <c r="B11" s="39" t="n">
        <v>26</v>
      </c>
      <c r="C11" s="39" t="n">
        <v>27</v>
      </c>
      <c r="D11" s="39" t="n">
        <v>28</v>
      </c>
      <c r="E11" s="39" t="n">
        <v>29</v>
      </c>
      <c r="F11" s="38" t="n">
        <v>30</v>
      </c>
      <c r="G11" s="38" t="n">
        <v>31</v>
      </c>
      <c r="Q11" s="39" t="n">
        <v>29</v>
      </c>
      <c r="R11" s="39" t="n">
        <v>30</v>
      </c>
      <c r="S11" s="39" t="n">
        <v>31</v>
      </c>
      <c r="Y11" s="39" t="n">
        <v>26</v>
      </c>
      <c r="Z11" s="39" t="n">
        <v>27</v>
      </c>
      <c r="AA11" s="39" t="n">
        <v>28</v>
      </c>
      <c r="AB11" s="39" t="n">
        <v>29</v>
      </c>
      <c r="AC11" s="39" t="n">
        <v>30</v>
      </c>
    </row>
    <row r="14" customFormat="false" ht="15" hidden="false" customHeight="true" outlineLevel="0" collapsed="false">
      <c r="A14" s="35" t="s">
        <v>187</v>
      </c>
      <c r="B14" s="35"/>
      <c r="C14" s="35"/>
      <c r="D14" s="35"/>
      <c r="E14" s="35"/>
      <c r="F14" s="35"/>
      <c r="G14" s="35"/>
      <c r="I14" s="35" t="s">
        <v>188</v>
      </c>
      <c r="J14" s="35"/>
      <c r="K14" s="35"/>
      <c r="L14" s="35"/>
      <c r="M14" s="35"/>
      <c r="N14" s="35"/>
      <c r="O14" s="35"/>
      <c r="Q14" s="35" t="s">
        <v>189</v>
      </c>
      <c r="R14" s="35"/>
      <c r="S14" s="35"/>
      <c r="T14" s="35"/>
      <c r="U14" s="35"/>
      <c r="V14" s="35"/>
      <c r="W14" s="35"/>
      <c r="Y14" s="35" t="s">
        <v>190</v>
      </c>
      <c r="Z14" s="35"/>
      <c r="AA14" s="35"/>
      <c r="AB14" s="35"/>
      <c r="AC14" s="35"/>
      <c r="AD14" s="35"/>
      <c r="AE14" s="35"/>
    </row>
    <row r="15" customFormat="false" ht="15" hidden="false" customHeight="false" outlineLevel="0" collapsed="false">
      <c r="A15" s="36" t="s">
        <v>181</v>
      </c>
      <c r="B15" s="36" t="s">
        <v>182</v>
      </c>
      <c r="C15" s="36" t="s">
        <v>182</v>
      </c>
      <c r="D15" s="36" t="s">
        <v>183</v>
      </c>
      <c r="E15" s="36" t="s">
        <v>184</v>
      </c>
      <c r="F15" s="36" t="s">
        <v>185</v>
      </c>
      <c r="G15" s="36" t="s">
        <v>186</v>
      </c>
      <c r="I15" s="36" t="s">
        <v>181</v>
      </c>
      <c r="J15" s="36" t="s">
        <v>182</v>
      </c>
      <c r="K15" s="36" t="s">
        <v>182</v>
      </c>
      <c r="L15" s="36" t="s">
        <v>183</v>
      </c>
      <c r="M15" s="36" t="s">
        <v>184</v>
      </c>
      <c r="N15" s="36" t="s">
        <v>185</v>
      </c>
      <c r="O15" s="36" t="s">
        <v>186</v>
      </c>
      <c r="Q15" s="36" t="s">
        <v>181</v>
      </c>
      <c r="R15" s="36" t="s">
        <v>182</v>
      </c>
      <c r="S15" s="36" t="s">
        <v>182</v>
      </c>
      <c r="T15" s="36" t="s">
        <v>183</v>
      </c>
      <c r="U15" s="36" t="s">
        <v>184</v>
      </c>
      <c r="V15" s="36" t="s">
        <v>185</v>
      </c>
      <c r="W15" s="36" t="s">
        <v>186</v>
      </c>
      <c r="Y15" s="36" t="s">
        <v>181</v>
      </c>
      <c r="Z15" s="36" t="s">
        <v>182</v>
      </c>
      <c r="AA15" s="36" t="s">
        <v>182</v>
      </c>
      <c r="AB15" s="36" t="s">
        <v>183</v>
      </c>
      <c r="AC15" s="36" t="s">
        <v>184</v>
      </c>
      <c r="AD15" s="36" t="s">
        <v>185</v>
      </c>
      <c r="AE15" s="36" t="s">
        <v>186</v>
      </c>
    </row>
    <row r="16" customFormat="false" ht="15" hidden="false" customHeight="false" outlineLevel="0" collapsed="false">
      <c r="F16" s="38" t="n">
        <v>1</v>
      </c>
      <c r="G16" s="38" t="n">
        <v>2</v>
      </c>
      <c r="J16" s="39" t="n">
        <v>1</v>
      </c>
      <c r="K16" s="39" t="n">
        <v>2</v>
      </c>
      <c r="L16" s="39" t="n">
        <v>3</v>
      </c>
      <c r="M16" s="39" t="n">
        <v>4</v>
      </c>
      <c r="N16" s="38" t="n">
        <v>5</v>
      </c>
      <c r="O16" s="38" t="n">
        <v>6</v>
      </c>
      <c r="T16" s="42" t="n">
        <v>1</v>
      </c>
      <c r="U16" s="42" t="n">
        <v>2</v>
      </c>
      <c r="V16" s="38" t="n">
        <v>3</v>
      </c>
      <c r="W16" s="38" t="n">
        <v>4</v>
      </c>
      <c r="AE16" s="38" t="n">
        <v>1</v>
      </c>
    </row>
    <row r="17" customFormat="false" ht="15" hidden="false" customHeight="false" outlineLevel="0" collapsed="false">
      <c r="A17" s="39" t="n">
        <v>3</v>
      </c>
      <c r="B17" s="39" t="n">
        <v>4</v>
      </c>
      <c r="C17" s="39" t="n">
        <v>5</v>
      </c>
      <c r="D17" s="39" t="n">
        <v>6</v>
      </c>
      <c r="E17" s="39" t="n">
        <v>7</v>
      </c>
      <c r="F17" s="38" t="n">
        <v>8</v>
      </c>
      <c r="G17" s="38" t="n">
        <v>9</v>
      </c>
      <c r="I17" s="37" t="n">
        <v>7</v>
      </c>
      <c r="J17" s="39" t="n">
        <v>8</v>
      </c>
      <c r="K17" s="39" t="n">
        <v>9</v>
      </c>
      <c r="L17" s="39" t="n">
        <v>10</v>
      </c>
      <c r="M17" s="39" t="n">
        <v>11</v>
      </c>
      <c r="N17" s="38" t="n">
        <v>12</v>
      </c>
      <c r="O17" s="38" t="n">
        <v>13</v>
      </c>
      <c r="Q17" s="37" t="n">
        <v>5</v>
      </c>
      <c r="R17" s="39" t="n">
        <v>6</v>
      </c>
      <c r="S17" s="39" t="n">
        <v>7</v>
      </c>
      <c r="T17" s="39" t="n">
        <v>8</v>
      </c>
      <c r="U17" s="39" t="n">
        <v>9</v>
      </c>
      <c r="V17" s="38" t="n">
        <v>10</v>
      </c>
      <c r="W17" s="38" t="n">
        <v>11</v>
      </c>
      <c r="Y17" s="39" t="n">
        <v>2</v>
      </c>
      <c r="Z17" s="39" t="n">
        <v>3</v>
      </c>
      <c r="AA17" s="39" t="n">
        <v>4</v>
      </c>
      <c r="AB17" s="39" t="n">
        <v>5</v>
      </c>
      <c r="AC17" s="39" t="n">
        <v>6</v>
      </c>
      <c r="AD17" s="38" t="n">
        <v>7</v>
      </c>
      <c r="AE17" s="38" t="n">
        <v>8</v>
      </c>
    </row>
    <row r="18" customFormat="false" ht="15" hidden="false" customHeight="false" outlineLevel="0" collapsed="false">
      <c r="A18" s="37" t="n">
        <v>10</v>
      </c>
      <c r="B18" s="39" t="n">
        <v>11</v>
      </c>
      <c r="C18" s="39" t="n">
        <v>12</v>
      </c>
      <c r="D18" s="39" t="n">
        <v>13</v>
      </c>
      <c r="E18" s="39" t="n">
        <v>14</v>
      </c>
      <c r="F18" s="38" t="n">
        <v>15</v>
      </c>
      <c r="G18" s="38" t="n">
        <v>16</v>
      </c>
      <c r="I18" s="39" t="n">
        <v>14</v>
      </c>
      <c r="J18" s="39" t="n">
        <v>15</v>
      </c>
      <c r="K18" s="39" t="n">
        <v>16</v>
      </c>
      <c r="L18" s="39" t="n">
        <v>17</v>
      </c>
      <c r="M18" s="39" t="n">
        <v>18</v>
      </c>
      <c r="N18" s="38" t="n">
        <v>19</v>
      </c>
      <c r="O18" s="38" t="n">
        <v>20</v>
      </c>
      <c r="Q18" s="39" t="n">
        <v>12</v>
      </c>
      <c r="R18" s="39" t="n">
        <v>13</v>
      </c>
      <c r="S18" s="39" t="n">
        <v>14</v>
      </c>
      <c r="T18" s="39" t="n">
        <v>15</v>
      </c>
      <c r="U18" s="39" t="n">
        <v>16</v>
      </c>
      <c r="V18" s="38" t="n">
        <v>17</v>
      </c>
      <c r="W18" s="38" t="n">
        <v>18</v>
      </c>
      <c r="Y18" s="39" t="n">
        <v>9</v>
      </c>
      <c r="Z18" s="39" t="n">
        <v>10</v>
      </c>
      <c r="AA18" s="39" t="n">
        <v>11</v>
      </c>
      <c r="AB18" s="39" t="n">
        <v>12</v>
      </c>
      <c r="AC18" s="39" t="n">
        <v>13</v>
      </c>
      <c r="AD18" s="38" t="n">
        <v>14</v>
      </c>
      <c r="AE18" s="38" t="n">
        <v>15</v>
      </c>
    </row>
    <row r="19" customFormat="false" ht="15" hidden="false" customHeight="false" outlineLevel="0" collapsed="false">
      <c r="A19" s="39" t="n">
        <v>17</v>
      </c>
      <c r="B19" s="39" t="n">
        <v>18</v>
      </c>
      <c r="C19" s="39" t="n">
        <v>19</v>
      </c>
      <c r="D19" s="39" t="n">
        <v>20</v>
      </c>
      <c r="E19" s="39" t="n">
        <v>21</v>
      </c>
      <c r="F19" s="38" t="n">
        <v>22</v>
      </c>
      <c r="G19" s="38" t="n">
        <v>23</v>
      </c>
      <c r="I19" s="41" t="n">
        <v>21</v>
      </c>
      <c r="J19" s="41" t="n">
        <v>22</v>
      </c>
      <c r="K19" s="41" t="n">
        <v>23</v>
      </c>
      <c r="L19" s="41" t="n">
        <v>24</v>
      </c>
      <c r="M19" s="41" t="n">
        <v>25</v>
      </c>
      <c r="N19" s="38" t="n">
        <v>26</v>
      </c>
      <c r="O19" s="38" t="n">
        <v>27</v>
      </c>
      <c r="Q19" s="39" t="n">
        <v>19</v>
      </c>
      <c r="R19" s="37" t="n">
        <v>20</v>
      </c>
      <c r="S19" s="39" t="n">
        <v>21</v>
      </c>
      <c r="T19" s="39" t="n">
        <v>22</v>
      </c>
      <c r="U19" s="39" t="n">
        <v>23</v>
      </c>
      <c r="V19" s="38" t="n">
        <v>24</v>
      </c>
      <c r="W19" s="38" t="n">
        <v>25</v>
      </c>
      <c r="Y19" s="37" t="n">
        <v>16</v>
      </c>
      <c r="Z19" s="39" t="n">
        <v>17</v>
      </c>
      <c r="AA19" s="39" t="n">
        <v>18</v>
      </c>
      <c r="AB19" s="39" t="n">
        <v>19</v>
      </c>
      <c r="AC19" s="39" t="n">
        <v>20</v>
      </c>
      <c r="AD19" s="38" t="n">
        <v>21</v>
      </c>
      <c r="AE19" s="38" t="n">
        <v>22</v>
      </c>
    </row>
    <row r="20" customFormat="false" ht="15" hidden="false" customHeight="false" outlineLevel="0" collapsed="false">
      <c r="A20" s="39" t="n">
        <v>24</v>
      </c>
      <c r="B20" s="39" t="n">
        <v>25</v>
      </c>
      <c r="C20" s="39" t="n">
        <v>26</v>
      </c>
      <c r="D20" s="39" t="n">
        <v>27</v>
      </c>
      <c r="E20" s="39" t="n">
        <v>28</v>
      </c>
      <c r="F20" s="38" t="n">
        <v>29</v>
      </c>
      <c r="G20" s="38" t="n">
        <v>30</v>
      </c>
      <c r="I20" s="42" t="n">
        <v>28</v>
      </c>
      <c r="J20" s="42" t="n">
        <v>29</v>
      </c>
      <c r="K20" s="42" t="n">
        <v>30</v>
      </c>
      <c r="Q20" s="39" t="n">
        <v>26</v>
      </c>
      <c r="R20" s="39" t="n">
        <v>27</v>
      </c>
      <c r="S20" s="39" t="n">
        <v>28</v>
      </c>
      <c r="T20" s="39" t="n">
        <v>29</v>
      </c>
      <c r="U20" s="39" t="n">
        <v>30</v>
      </c>
      <c r="V20" s="38" t="n">
        <v>31</v>
      </c>
      <c r="Y20" s="39" t="n">
        <v>23</v>
      </c>
      <c r="Z20" s="39" t="n">
        <v>24</v>
      </c>
      <c r="AA20" s="39" t="n">
        <v>25</v>
      </c>
      <c r="AB20" s="39" t="n">
        <v>26</v>
      </c>
      <c r="AC20" s="39" t="n">
        <v>27</v>
      </c>
      <c r="AD20" s="38" t="n">
        <v>28</v>
      </c>
      <c r="AE20" s="38" t="n">
        <v>29</v>
      </c>
    </row>
    <row r="21" customFormat="false" ht="15" hidden="false" customHeight="false" outlineLevel="0" collapsed="false">
      <c r="A21" s="37" t="n">
        <v>31</v>
      </c>
      <c r="Y21" s="39" t="n">
        <v>30</v>
      </c>
      <c r="Z21" s="39" t="n">
        <v>31</v>
      </c>
    </row>
    <row r="23" customFormat="false" ht="15" hidden="false" customHeight="true" outlineLevel="0" collapsed="false">
      <c r="A23" s="35" t="s">
        <v>191</v>
      </c>
      <c r="B23" s="35"/>
      <c r="C23" s="35"/>
      <c r="D23" s="35"/>
      <c r="E23" s="35"/>
      <c r="F23" s="35"/>
      <c r="G23" s="35"/>
      <c r="I23" s="35" t="s">
        <v>192</v>
      </c>
      <c r="J23" s="35"/>
      <c r="K23" s="35"/>
      <c r="L23" s="35"/>
      <c r="M23" s="35"/>
      <c r="N23" s="35"/>
      <c r="O23" s="35"/>
      <c r="Q23" s="35" t="s">
        <v>193</v>
      </c>
      <c r="R23" s="35"/>
      <c r="S23" s="35"/>
      <c r="T23" s="35"/>
      <c r="U23" s="35"/>
      <c r="V23" s="35"/>
      <c r="W23" s="35"/>
      <c r="Y23" s="35" t="s">
        <v>194</v>
      </c>
      <c r="Z23" s="35"/>
      <c r="AA23" s="35"/>
      <c r="AB23" s="35"/>
      <c r="AC23" s="35"/>
      <c r="AD23" s="35"/>
      <c r="AE23" s="35"/>
    </row>
    <row r="24" customFormat="false" ht="15" hidden="false" customHeight="false" outlineLevel="0" collapsed="false">
      <c r="A24" s="36" t="s">
        <v>181</v>
      </c>
      <c r="B24" s="36" t="s">
        <v>182</v>
      </c>
      <c r="C24" s="36" t="s">
        <v>182</v>
      </c>
      <c r="D24" s="36" t="s">
        <v>183</v>
      </c>
      <c r="E24" s="36" t="s">
        <v>184</v>
      </c>
      <c r="F24" s="36" t="s">
        <v>185</v>
      </c>
      <c r="G24" s="36" t="s">
        <v>186</v>
      </c>
      <c r="I24" s="36" t="s">
        <v>181</v>
      </c>
      <c r="J24" s="36" t="s">
        <v>182</v>
      </c>
      <c r="K24" s="36" t="s">
        <v>182</v>
      </c>
      <c r="L24" s="36" t="s">
        <v>183</v>
      </c>
      <c r="M24" s="36" t="s">
        <v>184</v>
      </c>
      <c r="N24" s="36" t="s">
        <v>185</v>
      </c>
      <c r="O24" s="36" t="s">
        <v>186</v>
      </c>
      <c r="Q24" s="36" t="s">
        <v>181</v>
      </c>
      <c r="R24" s="36" t="s">
        <v>182</v>
      </c>
      <c r="S24" s="36" t="s">
        <v>182</v>
      </c>
      <c r="T24" s="36" t="s">
        <v>183</v>
      </c>
      <c r="U24" s="36" t="s">
        <v>184</v>
      </c>
      <c r="V24" s="36" t="s">
        <v>185</v>
      </c>
      <c r="W24" s="36" t="s">
        <v>186</v>
      </c>
      <c r="Y24" s="36" t="s">
        <v>181</v>
      </c>
      <c r="Z24" s="36" t="s">
        <v>182</v>
      </c>
      <c r="AA24" s="36" t="s">
        <v>182</v>
      </c>
      <c r="AB24" s="36" t="s">
        <v>183</v>
      </c>
      <c r="AC24" s="36" t="s">
        <v>184</v>
      </c>
      <c r="AD24" s="36" t="s">
        <v>185</v>
      </c>
      <c r="AE24" s="36" t="s">
        <v>186</v>
      </c>
    </row>
    <row r="25" customFormat="false" ht="15" hidden="false" customHeight="false" outlineLevel="0" collapsed="false">
      <c r="C25" s="39" t="n">
        <v>1</v>
      </c>
      <c r="D25" s="39" t="n">
        <v>2</v>
      </c>
      <c r="E25" s="39" t="n">
        <v>3</v>
      </c>
      <c r="F25" s="38" t="n">
        <v>4</v>
      </c>
      <c r="G25" s="38" t="n">
        <v>5</v>
      </c>
      <c r="M25" s="39" t="n">
        <v>1</v>
      </c>
      <c r="N25" s="38" t="n">
        <v>2</v>
      </c>
      <c r="O25" s="38" t="n">
        <v>3</v>
      </c>
      <c r="Q25" s="37" t="n">
        <v>1</v>
      </c>
      <c r="R25" s="39" t="n">
        <v>2</v>
      </c>
      <c r="S25" s="39" t="n">
        <v>3</v>
      </c>
      <c r="T25" s="39" t="n">
        <v>4</v>
      </c>
      <c r="U25" s="39" t="n">
        <v>5</v>
      </c>
      <c r="V25" s="38" t="n">
        <v>6</v>
      </c>
      <c r="W25" s="38" t="n">
        <v>7</v>
      </c>
      <c r="AA25" s="41" t="n">
        <v>1</v>
      </c>
      <c r="AB25" s="41" t="n">
        <v>2</v>
      </c>
      <c r="AC25" s="41" t="n">
        <v>3</v>
      </c>
      <c r="AD25" s="38" t="n">
        <v>4</v>
      </c>
      <c r="AE25" s="38" t="n">
        <v>5</v>
      </c>
    </row>
    <row r="26" customFormat="false" ht="15" hidden="false" customHeight="false" outlineLevel="0" collapsed="false">
      <c r="A26" s="39" t="n">
        <v>6</v>
      </c>
      <c r="B26" s="39" t="n">
        <v>7</v>
      </c>
      <c r="C26" s="39" t="n">
        <v>8</v>
      </c>
      <c r="D26" s="39" t="n">
        <v>9</v>
      </c>
      <c r="E26" s="39" t="n">
        <v>10</v>
      </c>
      <c r="F26" s="38" t="n">
        <v>11</v>
      </c>
      <c r="G26" s="38" t="n">
        <v>12</v>
      </c>
      <c r="I26" s="39" t="n">
        <v>4</v>
      </c>
      <c r="J26" s="39" t="n">
        <v>5</v>
      </c>
      <c r="K26" s="39" t="n">
        <v>6</v>
      </c>
      <c r="L26" s="39" t="n">
        <v>7</v>
      </c>
      <c r="M26" s="39" t="n">
        <v>8</v>
      </c>
      <c r="N26" s="38" t="n">
        <v>9</v>
      </c>
      <c r="O26" s="38" t="n">
        <v>10</v>
      </c>
      <c r="Q26" s="39" t="n">
        <v>8</v>
      </c>
      <c r="R26" s="39" t="n">
        <v>9</v>
      </c>
      <c r="S26" s="39" t="n">
        <v>10</v>
      </c>
      <c r="T26" s="39" t="n">
        <v>11</v>
      </c>
      <c r="U26" s="39" t="n">
        <v>12</v>
      </c>
      <c r="V26" s="38" t="n">
        <v>13</v>
      </c>
      <c r="W26" s="38" t="n">
        <v>14</v>
      </c>
      <c r="Y26" s="41" t="n">
        <v>6</v>
      </c>
      <c r="Z26" s="41" t="n">
        <v>7</v>
      </c>
      <c r="AA26" s="37" t="n">
        <v>8</v>
      </c>
      <c r="AB26" s="41" t="n">
        <v>9</v>
      </c>
      <c r="AC26" s="41" t="n">
        <v>10</v>
      </c>
      <c r="AD26" s="38" t="n">
        <v>11</v>
      </c>
      <c r="AE26" s="38" t="n">
        <v>12</v>
      </c>
    </row>
    <row r="27" customFormat="false" ht="15" hidden="false" customHeight="false" outlineLevel="0" collapsed="false">
      <c r="A27" s="39" t="n">
        <v>13</v>
      </c>
      <c r="B27" s="39" t="n">
        <v>14</v>
      </c>
      <c r="C27" s="39" t="n">
        <v>15</v>
      </c>
      <c r="D27" s="39" t="n">
        <v>16</v>
      </c>
      <c r="E27" s="39" t="n">
        <v>17</v>
      </c>
      <c r="F27" s="38" t="n">
        <v>18</v>
      </c>
      <c r="G27" s="38" t="n">
        <v>19</v>
      </c>
      <c r="I27" s="42" t="n">
        <v>11</v>
      </c>
      <c r="J27" s="42" t="n">
        <v>12</v>
      </c>
      <c r="K27" s="42" t="n">
        <v>13</v>
      </c>
      <c r="L27" s="42" t="n">
        <v>14</v>
      </c>
      <c r="M27" s="42" t="n">
        <v>15</v>
      </c>
      <c r="N27" s="38" t="n">
        <v>16</v>
      </c>
      <c r="O27" s="38" t="n">
        <v>17</v>
      </c>
      <c r="Q27" s="37" t="n">
        <v>15</v>
      </c>
      <c r="R27" s="39" t="n">
        <v>16</v>
      </c>
      <c r="S27" s="39" t="n">
        <v>17</v>
      </c>
      <c r="T27" s="39" t="n">
        <v>18</v>
      </c>
      <c r="U27" s="39" t="n">
        <v>19</v>
      </c>
      <c r="V27" s="38" t="n">
        <v>20</v>
      </c>
      <c r="W27" s="38" t="n">
        <v>21</v>
      </c>
      <c r="Y27" s="40" t="n">
        <v>13</v>
      </c>
      <c r="Z27" s="40" t="n">
        <v>14</v>
      </c>
      <c r="AA27" s="40" t="n">
        <v>15</v>
      </c>
      <c r="AB27" s="40" t="n">
        <v>16</v>
      </c>
      <c r="AC27" s="40" t="n">
        <v>17</v>
      </c>
      <c r="AD27" s="38" t="n">
        <v>18</v>
      </c>
      <c r="AE27" s="38" t="n">
        <v>19</v>
      </c>
    </row>
    <row r="28" customFormat="false" ht="15" hidden="false" customHeight="false" outlineLevel="0" collapsed="false">
      <c r="A28" s="39" t="n">
        <v>20</v>
      </c>
      <c r="B28" s="39" t="n">
        <v>21</v>
      </c>
      <c r="C28" s="39" t="n">
        <v>22</v>
      </c>
      <c r="D28" s="39" t="n">
        <v>23</v>
      </c>
      <c r="E28" s="39" t="n">
        <v>24</v>
      </c>
      <c r="F28" s="38" t="n">
        <v>25</v>
      </c>
      <c r="G28" s="38" t="n">
        <v>26</v>
      </c>
      <c r="I28" s="37" t="n">
        <v>18</v>
      </c>
      <c r="J28" s="39" t="n">
        <v>19</v>
      </c>
      <c r="K28" s="39" t="n">
        <v>20</v>
      </c>
      <c r="L28" s="39" t="n">
        <v>21</v>
      </c>
      <c r="M28" s="39" t="n">
        <v>22</v>
      </c>
      <c r="N28" s="38" t="n">
        <v>23</v>
      </c>
      <c r="O28" s="38" t="n">
        <v>24</v>
      </c>
      <c r="Q28" s="39" t="n">
        <v>22</v>
      </c>
      <c r="R28" s="39" t="n">
        <v>23</v>
      </c>
      <c r="S28" s="39" t="n">
        <v>24</v>
      </c>
      <c r="T28" s="39" t="n">
        <v>25</v>
      </c>
      <c r="U28" s="39" t="n">
        <v>26</v>
      </c>
      <c r="V28" s="38" t="n">
        <v>27</v>
      </c>
      <c r="W28" s="38" t="n">
        <v>28</v>
      </c>
      <c r="Y28" s="40" t="n">
        <v>20</v>
      </c>
      <c r="Z28" s="40" t="n">
        <v>21</v>
      </c>
      <c r="AA28" s="40" t="n">
        <v>22</v>
      </c>
      <c r="AB28" s="40" t="n">
        <v>23</v>
      </c>
      <c r="AC28" s="40" t="n">
        <v>24</v>
      </c>
      <c r="AD28" s="38" t="n">
        <v>25</v>
      </c>
      <c r="AE28" s="38" t="n">
        <v>26</v>
      </c>
    </row>
    <row r="29" customFormat="false" ht="15" hidden="false" customHeight="false" outlineLevel="0" collapsed="false">
      <c r="A29" s="39" t="n">
        <v>27</v>
      </c>
      <c r="B29" s="39" t="n">
        <v>28</v>
      </c>
      <c r="C29" s="39" t="n">
        <v>29</v>
      </c>
      <c r="D29" s="39" t="n">
        <v>30</v>
      </c>
      <c r="I29" s="39" t="n">
        <v>25</v>
      </c>
      <c r="J29" s="39" t="n">
        <v>26</v>
      </c>
      <c r="K29" s="39" t="n">
        <v>27</v>
      </c>
      <c r="L29" s="39" t="n">
        <v>28</v>
      </c>
      <c r="M29" s="39" t="n">
        <v>29</v>
      </c>
      <c r="N29" s="38" t="n">
        <v>30</v>
      </c>
      <c r="O29" s="38" t="n">
        <v>31</v>
      </c>
      <c r="Q29" s="41" t="n">
        <v>29</v>
      </c>
      <c r="R29" s="41" t="n">
        <v>30</v>
      </c>
      <c r="Y29" s="40" t="n">
        <v>27</v>
      </c>
      <c r="Z29" s="40" t="n">
        <v>28</v>
      </c>
      <c r="AA29" s="40" t="n">
        <v>29</v>
      </c>
      <c r="AB29" s="40" t="n">
        <v>30</v>
      </c>
      <c r="AC29" s="40" t="n">
        <v>31</v>
      </c>
    </row>
  </sheetData>
  <mergeCells count="16">
    <mergeCell ref="J4:M4"/>
    <mergeCell ref="O4:R4"/>
    <mergeCell ref="T4:W4"/>
    <mergeCell ref="Y4:AB4"/>
    <mergeCell ref="A5:G5"/>
    <mergeCell ref="I5:O5"/>
    <mergeCell ref="Q5:W5"/>
    <mergeCell ref="Y5:AE5"/>
    <mergeCell ref="A14:G14"/>
    <mergeCell ref="I14:O14"/>
    <mergeCell ref="Q14:W14"/>
    <mergeCell ref="Y14:AE14"/>
    <mergeCell ref="A23:G23"/>
    <mergeCell ref="I23:O23"/>
    <mergeCell ref="Q23:W23"/>
    <mergeCell ref="Y23:A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R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15" min="5" style="0" width="6.51"/>
    <col collapsed="false" customWidth="true" hidden="false" outlineLevel="0" max="16" min="16" style="0" width="7"/>
    <col collapsed="false" customWidth="true" hidden="false" outlineLevel="0" max="17" min="17" style="0" width="10"/>
    <col collapsed="false" customWidth="true" hidden="false" outlineLevel="0" max="18" min="18" style="0" width="70"/>
  </cols>
  <sheetData>
    <row r="1" customFormat="false" ht="17.35" hidden="false" customHeight="false" outlineLevel="0" collapsed="false">
      <c r="A1" s="10" t="s">
        <v>195</v>
      </c>
    </row>
    <row r="2" customFormat="false" ht="15" hidden="false" customHeight="false" outlineLevel="0" collapsed="false">
      <c r="A2" s="11" t="s">
        <v>34</v>
      </c>
    </row>
    <row r="3" customFormat="false" ht="15" hidden="false" customHeight="false" outlineLevel="0" collapsed="false">
      <c r="A3" s="43" t="s">
        <v>196</v>
      </c>
    </row>
    <row r="5" customFormat="false" ht="35.05" hidden="false" customHeight="false" outlineLevel="0" collapsed="false">
      <c r="A5" s="12" t="s">
        <v>197</v>
      </c>
      <c r="B5" s="12" t="s">
        <v>198</v>
      </c>
      <c r="C5" s="12" t="s">
        <v>199</v>
      </c>
      <c r="D5" s="12" t="s">
        <v>142</v>
      </c>
      <c r="E5" s="12" t="s">
        <v>200</v>
      </c>
      <c r="F5" s="12" t="s">
        <v>201</v>
      </c>
      <c r="G5" s="12" t="s">
        <v>202</v>
      </c>
      <c r="H5" s="12" t="s">
        <v>203</v>
      </c>
      <c r="I5" s="12" t="s">
        <v>204</v>
      </c>
      <c r="J5" s="12" t="s">
        <v>205</v>
      </c>
      <c r="K5" s="12" t="s">
        <v>206</v>
      </c>
      <c r="L5" s="12" t="s">
        <v>207</v>
      </c>
      <c r="M5" s="12" t="s">
        <v>208</v>
      </c>
      <c r="N5" s="12" t="s">
        <v>209</v>
      </c>
      <c r="O5" s="12" t="s">
        <v>210</v>
      </c>
      <c r="P5" s="12" t="s">
        <v>111</v>
      </c>
      <c r="Q5" s="12" t="s">
        <v>211</v>
      </c>
      <c r="R5" s="12" t="s">
        <v>96</v>
      </c>
    </row>
    <row r="6" customFormat="false" ht="28.35" hidden="false" customHeight="false" outlineLevel="0" collapsed="false">
      <c r="A6" s="27" t="s">
        <v>212</v>
      </c>
      <c r="B6" s="27" t="s">
        <v>213</v>
      </c>
      <c r="C6" s="27" t="s">
        <v>213</v>
      </c>
      <c r="D6" s="27" t="s">
        <v>214</v>
      </c>
      <c r="E6" s="25" t="n">
        <v>4</v>
      </c>
      <c r="F6" s="25" t="n">
        <v>4</v>
      </c>
      <c r="G6" s="25" t="n">
        <v>4</v>
      </c>
      <c r="H6" s="25" t="n">
        <v>4</v>
      </c>
      <c r="I6" s="25" t="n">
        <v>4</v>
      </c>
      <c r="J6" s="25" t="n">
        <v>4</v>
      </c>
      <c r="K6" s="25" t="n">
        <v>4</v>
      </c>
      <c r="L6" s="25" t="n">
        <v>4</v>
      </c>
      <c r="M6" s="25" t="n">
        <v>4</v>
      </c>
      <c r="N6" s="25" t="n">
        <v>0</v>
      </c>
      <c r="O6" s="25" t="n">
        <v>0</v>
      </c>
      <c r="P6" s="26" t="n">
        <f aca="false">SUM(E6:O6)</f>
        <v>36</v>
      </c>
      <c r="Q6" s="26" t="n">
        <f aca="false">Parametros!$C$29</f>
        <v>60</v>
      </c>
      <c r="R6" s="27" t="s">
        <v>215</v>
      </c>
    </row>
    <row r="7" customFormat="false" ht="28.35" hidden="false" customHeight="false" outlineLevel="0" collapsed="false">
      <c r="A7" s="27" t="s">
        <v>216</v>
      </c>
      <c r="B7" s="27" t="s">
        <v>213</v>
      </c>
      <c r="C7" s="27" t="s">
        <v>217</v>
      </c>
      <c r="D7" s="27" t="s">
        <v>214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3</v>
      </c>
      <c r="O7" s="25" t="n">
        <v>3</v>
      </c>
      <c r="P7" s="26" t="n">
        <f aca="false">SUM(E7:O7)</f>
        <v>6</v>
      </c>
      <c r="Q7" s="26" t="n">
        <f aca="false">Parametros!$C$29</f>
        <v>60</v>
      </c>
      <c r="R7" s="27" t="s">
        <v>218</v>
      </c>
    </row>
    <row r="8" customFormat="false" ht="28.35" hidden="false" customHeight="false" outlineLevel="0" collapsed="false">
      <c r="A8" s="27" t="s">
        <v>219</v>
      </c>
      <c r="B8" s="27" t="s">
        <v>213</v>
      </c>
      <c r="C8" s="27" t="s">
        <v>220</v>
      </c>
      <c r="D8" s="27" t="s">
        <v>214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3</v>
      </c>
      <c r="O8" s="25" t="n">
        <v>3</v>
      </c>
      <c r="P8" s="26" t="n">
        <f aca="false">SUM(E8:O8)</f>
        <v>6</v>
      </c>
      <c r="Q8" s="26" t="n">
        <f aca="false">Parametros!$C$29</f>
        <v>60</v>
      </c>
      <c r="R8" s="27" t="s">
        <v>221</v>
      </c>
    </row>
    <row r="9" customFormat="false" ht="41.75" hidden="false" customHeight="false" outlineLevel="0" collapsed="false">
      <c r="A9" s="27" t="s">
        <v>222</v>
      </c>
      <c r="B9" s="27" t="s">
        <v>223</v>
      </c>
      <c r="C9" s="27" t="s">
        <v>224</v>
      </c>
      <c r="D9" s="27" t="s">
        <v>214</v>
      </c>
      <c r="E9" s="25" t="n">
        <v>4</v>
      </c>
      <c r="F9" s="25" t="n">
        <v>4</v>
      </c>
      <c r="G9" s="25" t="n">
        <v>4</v>
      </c>
      <c r="H9" s="25" t="n">
        <v>4</v>
      </c>
      <c r="I9" s="25" t="n">
        <v>4</v>
      </c>
      <c r="J9" s="25" t="n">
        <v>5</v>
      </c>
      <c r="K9" s="25" t="n">
        <v>5</v>
      </c>
      <c r="L9" s="25" t="n">
        <v>5</v>
      </c>
      <c r="M9" s="25" t="n">
        <v>5</v>
      </c>
      <c r="N9" s="25" t="n">
        <v>0</v>
      </c>
      <c r="O9" s="25" t="n">
        <v>0</v>
      </c>
      <c r="P9" s="26" t="n">
        <f aca="false">SUM(E9:O9)</f>
        <v>40</v>
      </c>
      <c r="Q9" s="26" t="n">
        <f aca="false">Parametros!$C$29</f>
        <v>60</v>
      </c>
      <c r="R9" s="27" t="s">
        <v>225</v>
      </c>
    </row>
    <row r="10" customFormat="false" ht="41.75" hidden="false" customHeight="false" outlineLevel="0" collapsed="false">
      <c r="A10" s="27" t="s">
        <v>226</v>
      </c>
      <c r="B10" s="27" t="s">
        <v>223</v>
      </c>
      <c r="C10" s="27" t="s">
        <v>227</v>
      </c>
      <c r="D10" s="27" t="s">
        <v>228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0</v>
      </c>
      <c r="L10" s="25" t="n">
        <v>0</v>
      </c>
      <c r="M10" s="25" t="n">
        <v>0</v>
      </c>
      <c r="N10" s="25" t="n">
        <v>2</v>
      </c>
      <c r="O10" s="25" t="n">
        <v>2</v>
      </c>
      <c r="P10" s="26" t="n">
        <f aca="false">SUM(E10:O10)</f>
        <v>4</v>
      </c>
      <c r="Q10" s="26" t="n">
        <f aca="false">Parametros!$C$29</f>
        <v>60</v>
      </c>
      <c r="R10" s="27" t="s">
        <v>229</v>
      </c>
    </row>
    <row r="11" customFormat="false" ht="15" hidden="false" customHeight="false" outlineLevel="0" collapsed="false">
      <c r="A11" s="27" t="s">
        <v>230</v>
      </c>
      <c r="B11" s="27" t="s">
        <v>231</v>
      </c>
      <c r="C11" s="27" t="s">
        <v>231</v>
      </c>
      <c r="D11" s="27" t="s">
        <v>228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2</v>
      </c>
      <c r="O11" s="25" t="n">
        <v>2</v>
      </c>
      <c r="P11" s="26" t="n">
        <f aca="false">SUM(E11:O11)</f>
        <v>4</v>
      </c>
      <c r="Q11" s="26" t="n">
        <f aca="false">Parametros!$C$29</f>
        <v>60</v>
      </c>
      <c r="R11" s="27" t="s">
        <v>232</v>
      </c>
    </row>
    <row r="12" customFormat="false" ht="15" hidden="false" customHeight="false" outlineLevel="0" collapsed="false">
      <c r="A12" s="27" t="s">
        <v>233</v>
      </c>
      <c r="B12" s="27" t="s">
        <v>234</v>
      </c>
      <c r="C12" s="27" t="s">
        <v>235</v>
      </c>
      <c r="D12" s="27" t="s">
        <v>214</v>
      </c>
      <c r="E12" s="25" t="n">
        <v>1</v>
      </c>
      <c r="F12" s="25" t="n">
        <v>1</v>
      </c>
      <c r="G12" s="25" t="n">
        <v>1</v>
      </c>
      <c r="H12" s="25" t="n">
        <v>1</v>
      </c>
      <c r="I12" s="25" t="n">
        <v>1</v>
      </c>
      <c r="J12" s="25" t="n">
        <v>1</v>
      </c>
      <c r="K12" s="25" t="n">
        <v>1</v>
      </c>
      <c r="L12" s="25" t="n">
        <v>1</v>
      </c>
      <c r="M12" s="25" t="n">
        <v>0</v>
      </c>
      <c r="N12" s="25" t="n">
        <v>0</v>
      </c>
      <c r="O12" s="25" t="n">
        <v>0</v>
      </c>
      <c r="P12" s="26" t="n">
        <f aca="false">SUM(E12:O12)</f>
        <v>8</v>
      </c>
      <c r="Q12" s="26" t="n">
        <f aca="false">Parametros!$C$29</f>
        <v>60</v>
      </c>
      <c r="R12" s="27" t="s">
        <v>236</v>
      </c>
    </row>
    <row r="13" customFormat="false" ht="15" hidden="false" customHeight="false" outlineLevel="0" collapsed="false">
      <c r="A13" s="27" t="s">
        <v>237</v>
      </c>
      <c r="B13" s="27" t="s">
        <v>234</v>
      </c>
      <c r="C13" s="27" t="s">
        <v>238</v>
      </c>
      <c r="D13" s="27" t="s">
        <v>214</v>
      </c>
      <c r="E13" s="25" t="n">
        <v>1</v>
      </c>
      <c r="F13" s="25" t="n">
        <v>1</v>
      </c>
      <c r="G13" s="25" t="n">
        <v>1</v>
      </c>
      <c r="H13" s="25" t="n">
        <v>1</v>
      </c>
      <c r="I13" s="25" t="n">
        <v>1</v>
      </c>
      <c r="J13" s="25" t="n">
        <v>1</v>
      </c>
      <c r="K13" s="25" t="n">
        <v>1</v>
      </c>
      <c r="L13" s="25" t="n">
        <v>1</v>
      </c>
      <c r="M13" s="25" t="n">
        <v>1</v>
      </c>
      <c r="N13" s="25" t="n">
        <v>1</v>
      </c>
      <c r="O13" s="25" t="n">
        <v>1</v>
      </c>
      <c r="P13" s="26" t="n">
        <f aca="false">SUM(E13:O13)</f>
        <v>11</v>
      </c>
      <c r="Q13" s="26" t="n">
        <f aca="false">Parametros!$C$29</f>
        <v>60</v>
      </c>
      <c r="R13" s="27" t="s">
        <v>215</v>
      </c>
    </row>
    <row r="14" customFormat="false" ht="15" hidden="false" customHeight="false" outlineLevel="0" collapsed="false">
      <c r="A14" s="27" t="s">
        <v>239</v>
      </c>
      <c r="B14" s="27" t="s">
        <v>234</v>
      </c>
      <c r="C14" s="27" t="s">
        <v>240</v>
      </c>
      <c r="D14" s="27" t="s">
        <v>214</v>
      </c>
      <c r="E14" s="25" t="n">
        <v>1</v>
      </c>
      <c r="F14" s="25" t="n">
        <v>1</v>
      </c>
      <c r="G14" s="25" t="n">
        <v>1</v>
      </c>
      <c r="H14" s="25" t="n">
        <v>1</v>
      </c>
      <c r="I14" s="25" t="n">
        <v>1</v>
      </c>
      <c r="J14" s="25" t="n">
        <v>1</v>
      </c>
      <c r="K14" s="25" t="n">
        <v>1</v>
      </c>
      <c r="L14" s="25" t="n">
        <v>1</v>
      </c>
      <c r="M14" s="25" t="n">
        <v>1</v>
      </c>
      <c r="N14" s="25" t="n">
        <v>1</v>
      </c>
      <c r="O14" s="25" t="n">
        <v>1</v>
      </c>
      <c r="P14" s="26" t="n">
        <f aca="false">SUM(E14:O14)</f>
        <v>11</v>
      </c>
      <c r="Q14" s="26" t="n">
        <f aca="false">Parametros!$C$29</f>
        <v>60</v>
      </c>
      <c r="R14" s="27" t="s">
        <v>215</v>
      </c>
    </row>
    <row r="15" customFormat="false" ht="28.35" hidden="false" customHeight="false" outlineLevel="0" collapsed="false">
      <c r="A15" s="27" t="s">
        <v>241</v>
      </c>
      <c r="B15" s="27" t="s">
        <v>242</v>
      </c>
      <c r="C15" s="27" t="s">
        <v>243</v>
      </c>
      <c r="D15" s="27" t="s">
        <v>214</v>
      </c>
      <c r="E15" s="25" t="n">
        <v>1</v>
      </c>
      <c r="F15" s="25" t="n">
        <v>1</v>
      </c>
      <c r="G15" s="25" t="n">
        <v>1</v>
      </c>
      <c r="H15" s="25" t="n">
        <v>1</v>
      </c>
      <c r="I15" s="25" t="n">
        <v>1</v>
      </c>
      <c r="J15" s="25" t="n">
        <v>1</v>
      </c>
      <c r="K15" s="25" t="n">
        <v>1</v>
      </c>
      <c r="L15" s="25" t="n">
        <v>1</v>
      </c>
      <c r="M15" s="25" t="n">
        <v>1</v>
      </c>
      <c r="N15" s="25" t="n">
        <v>2</v>
      </c>
      <c r="O15" s="25" t="n">
        <v>2</v>
      </c>
      <c r="P15" s="26" t="n">
        <f aca="false">SUM(E15:O15)</f>
        <v>13</v>
      </c>
      <c r="Q15" s="26" t="n">
        <f aca="false">Parametros!$C$29</f>
        <v>60</v>
      </c>
      <c r="R15" s="27" t="s">
        <v>244</v>
      </c>
    </row>
    <row r="16" customFormat="false" ht="28.35" hidden="false" customHeight="false" outlineLevel="0" collapsed="false">
      <c r="A16" s="27" t="s">
        <v>245</v>
      </c>
      <c r="B16" s="27" t="s">
        <v>246</v>
      </c>
      <c r="C16" s="27" t="s">
        <v>246</v>
      </c>
      <c r="D16" s="27" t="s">
        <v>214</v>
      </c>
      <c r="E16" s="25" t="n">
        <v>2</v>
      </c>
      <c r="F16" s="25" t="n">
        <v>2</v>
      </c>
      <c r="G16" s="25" t="n">
        <v>2</v>
      </c>
      <c r="H16" s="25" t="n">
        <v>2</v>
      </c>
      <c r="I16" s="25" t="n">
        <v>2</v>
      </c>
      <c r="J16" s="25" t="n">
        <v>2</v>
      </c>
      <c r="K16" s="25" t="n">
        <v>2</v>
      </c>
      <c r="L16" s="25" t="n">
        <v>2</v>
      </c>
      <c r="M16" s="25" t="n">
        <v>2</v>
      </c>
      <c r="N16" s="25" t="n">
        <v>1</v>
      </c>
      <c r="O16" s="25" t="n">
        <v>1</v>
      </c>
      <c r="P16" s="26" t="n">
        <f aca="false">SUM(E16:O16)</f>
        <v>20</v>
      </c>
      <c r="Q16" s="26" t="n">
        <f aca="false">Parametros!$C$29</f>
        <v>60</v>
      </c>
      <c r="R16" s="27" t="s">
        <v>247</v>
      </c>
    </row>
    <row r="17" customFormat="false" ht="15" hidden="false" customHeight="false" outlineLevel="0" collapsed="false">
      <c r="A17" s="27" t="s">
        <v>248</v>
      </c>
      <c r="B17" s="27" t="s">
        <v>249</v>
      </c>
      <c r="C17" s="27" t="s">
        <v>250</v>
      </c>
      <c r="D17" s="27" t="s">
        <v>214</v>
      </c>
      <c r="E17" s="25" t="n">
        <v>3</v>
      </c>
      <c r="F17" s="25" t="n">
        <v>3</v>
      </c>
      <c r="G17" s="25" t="n">
        <v>3</v>
      </c>
      <c r="H17" s="25" t="n">
        <v>3</v>
      </c>
      <c r="I17" s="25" t="n">
        <v>3</v>
      </c>
      <c r="J17" s="25" t="n">
        <v>3</v>
      </c>
      <c r="K17" s="25" t="n">
        <v>3</v>
      </c>
      <c r="L17" s="25" t="n">
        <v>3</v>
      </c>
      <c r="M17" s="25" t="n">
        <v>3</v>
      </c>
      <c r="N17" s="25" t="n">
        <v>3</v>
      </c>
      <c r="O17" s="25" t="n">
        <v>3</v>
      </c>
      <c r="P17" s="26" t="n">
        <f aca="false">SUM(E17:O17)</f>
        <v>33</v>
      </c>
      <c r="Q17" s="26" t="n">
        <f aca="false">Parametros!$C$29</f>
        <v>60</v>
      </c>
      <c r="R17" s="27" t="s">
        <v>215</v>
      </c>
    </row>
    <row r="18" customFormat="false" ht="28.35" hidden="false" customHeight="false" outlineLevel="0" collapsed="false">
      <c r="A18" s="27" t="s">
        <v>251</v>
      </c>
      <c r="B18" s="27" t="s">
        <v>252</v>
      </c>
      <c r="C18" s="27" t="s">
        <v>253</v>
      </c>
      <c r="D18" s="27" t="s">
        <v>214</v>
      </c>
      <c r="E18" s="25" t="n">
        <v>5</v>
      </c>
      <c r="F18" s="25" t="n">
        <v>5</v>
      </c>
      <c r="G18" s="25" t="n">
        <v>5</v>
      </c>
      <c r="H18" s="25" t="n">
        <v>5</v>
      </c>
      <c r="I18" s="25" t="n">
        <v>5</v>
      </c>
      <c r="J18" s="25" t="n">
        <v>5</v>
      </c>
      <c r="K18" s="25" t="n">
        <v>5</v>
      </c>
      <c r="L18" s="25" t="n">
        <v>5</v>
      </c>
      <c r="M18" s="25" t="n">
        <v>5</v>
      </c>
      <c r="N18" s="25" t="n">
        <v>4</v>
      </c>
      <c r="O18" s="25" t="n">
        <v>4</v>
      </c>
      <c r="P18" s="26" t="n">
        <f aca="false">SUM(E18:O18)</f>
        <v>53</v>
      </c>
      <c r="Q18" s="26" t="n">
        <f aca="false">Parametros!$C$29</f>
        <v>60</v>
      </c>
      <c r="R18" s="27" t="s">
        <v>215</v>
      </c>
    </row>
    <row r="19" customFormat="false" ht="28.35" hidden="false" customHeight="false" outlineLevel="0" collapsed="false">
      <c r="A19" s="27" t="s">
        <v>254</v>
      </c>
      <c r="B19" s="27" t="s">
        <v>252</v>
      </c>
      <c r="C19" s="27" t="s">
        <v>255</v>
      </c>
      <c r="D19" s="27" t="s">
        <v>214</v>
      </c>
      <c r="E19" s="25" t="n">
        <v>4</v>
      </c>
      <c r="F19" s="25" t="n">
        <v>4</v>
      </c>
      <c r="G19" s="25" t="n">
        <v>4</v>
      </c>
      <c r="H19" s="25" t="n">
        <v>4</v>
      </c>
      <c r="I19" s="25" t="n">
        <v>4</v>
      </c>
      <c r="J19" s="25" t="n">
        <v>4</v>
      </c>
      <c r="K19" s="25" t="n">
        <v>4</v>
      </c>
      <c r="L19" s="25" t="n">
        <v>4</v>
      </c>
      <c r="M19" s="25" t="n">
        <v>4</v>
      </c>
      <c r="N19" s="25" t="n">
        <v>5</v>
      </c>
      <c r="O19" s="25" t="n">
        <v>5</v>
      </c>
      <c r="P19" s="26" t="n">
        <f aca="false">SUM(E19:O19)</f>
        <v>46</v>
      </c>
      <c r="Q19" s="26" t="n">
        <f aca="false">Parametros!$C$29</f>
        <v>60</v>
      </c>
      <c r="R19" s="27" t="s">
        <v>215</v>
      </c>
    </row>
    <row r="20" customFormat="false" ht="15" hidden="false" customHeight="false" outlineLevel="0" collapsed="false">
      <c r="A20" s="27" t="s">
        <v>256</v>
      </c>
      <c r="B20" s="27" t="s">
        <v>257</v>
      </c>
      <c r="C20" s="27" t="s">
        <v>257</v>
      </c>
      <c r="D20" s="27" t="s">
        <v>214</v>
      </c>
      <c r="E20" s="25" t="n">
        <v>5</v>
      </c>
      <c r="F20" s="25" t="n">
        <v>5</v>
      </c>
      <c r="G20" s="25" t="n">
        <v>5</v>
      </c>
      <c r="H20" s="25" t="n">
        <v>5</v>
      </c>
      <c r="I20" s="25" t="n">
        <v>5</v>
      </c>
      <c r="J20" s="25" t="n">
        <v>5</v>
      </c>
      <c r="K20" s="25" t="n">
        <v>5</v>
      </c>
      <c r="L20" s="25" t="n">
        <v>0</v>
      </c>
      <c r="M20" s="25" t="n">
        <v>0</v>
      </c>
      <c r="N20" s="25" t="n">
        <v>0</v>
      </c>
      <c r="O20" s="25" t="n">
        <v>0</v>
      </c>
      <c r="P20" s="26" t="n">
        <f aca="false">SUM(E20:O20)</f>
        <v>35</v>
      </c>
      <c r="Q20" s="26" t="n">
        <f aca="false">Parametros!$C$29</f>
        <v>60</v>
      </c>
      <c r="R20" s="27" t="s">
        <v>258</v>
      </c>
    </row>
    <row r="21" customFormat="false" ht="15" hidden="false" customHeight="false" outlineLevel="0" collapsed="false">
      <c r="A21" s="27" t="s">
        <v>259</v>
      </c>
      <c r="B21" s="27" t="s">
        <v>257</v>
      </c>
      <c r="C21" s="27" t="s">
        <v>260</v>
      </c>
      <c r="D21" s="27" t="s">
        <v>214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5</v>
      </c>
      <c r="M21" s="25" t="n">
        <v>5</v>
      </c>
      <c r="N21" s="25" t="n">
        <v>0</v>
      </c>
      <c r="O21" s="25" t="n">
        <v>0</v>
      </c>
      <c r="P21" s="26" t="n">
        <f aca="false">SUM(E21:O21)</f>
        <v>10</v>
      </c>
      <c r="Q21" s="26" t="n">
        <f aca="false">Parametros!$C$29</f>
        <v>60</v>
      </c>
      <c r="R21" s="27" t="s">
        <v>261</v>
      </c>
    </row>
    <row r="22" customFormat="false" ht="15" hidden="false" customHeight="false" outlineLevel="0" collapsed="false">
      <c r="A22" s="27" t="s">
        <v>262</v>
      </c>
      <c r="B22" s="27" t="s">
        <v>257</v>
      </c>
      <c r="C22" s="27" t="s">
        <v>263</v>
      </c>
      <c r="D22" s="27" t="s">
        <v>214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3</v>
      </c>
      <c r="O22" s="25" t="n">
        <v>0</v>
      </c>
      <c r="P22" s="26" t="n">
        <f aca="false">SUM(E22:O22)</f>
        <v>3</v>
      </c>
      <c r="Q22" s="26" t="n">
        <f aca="false">Parametros!$C$29</f>
        <v>60</v>
      </c>
      <c r="R22" s="27" t="s">
        <v>264</v>
      </c>
    </row>
    <row r="23" customFormat="false" ht="15" hidden="false" customHeight="false" outlineLevel="0" collapsed="false">
      <c r="A23" s="27" t="s">
        <v>265</v>
      </c>
      <c r="B23" s="27" t="s">
        <v>257</v>
      </c>
      <c r="C23" s="27" t="s">
        <v>45</v>
      </c>
      <c r="D23" s="27" t="s">
        <v>214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3</v>
      </c>
      <c r="P23" s="26" t="n">
        <f aca="false">SUM(E23:O23)</f>
        <v>3</v>
      </c>
      <c r="Q23" s="26" t="n">
        <f aca="false">Parametros!$C$29</f>
        <v>60</v>
      </c>
      <c r="R23" s="27" t="s">
        <v>264</v>
      </c>
    </row>
    <row r="24" customFormat="false" ht="28.35" hidden="false" customHeight="false" outlineLevel="0" collapsed="false">
      <c r="A24" s="27" t="s">
        <v>266</v>
      </c>
      <c r="B24" s="27" t="s">
        <v>267</v>
      </c>
      <c r="C24" s="27" t="s">
        <v>267</v>
      </c>
      <c r="D24" s="27" t="s">
        <v>214</v>
      </c>
      <c r="E24" s="25" t="n">
        <v>3</v>
      </c>
      <c r="F24" s="25" t="n">
        <v>3</v>
      </c>
      <c r="G24" s="25" t="n">
        <v>3</v>
      </c>
      <c r="H24" s="25" t="n">
        <v>3</v>
      </c>
      <c r="I24" s="25" t="n">
        <v>3</v>
      </c>
      <c r="J24" s="25" t="n">
        <v>3</v>
      </c>
      <c r="K24" s="25" t="n">
        <v>3</v>
      </c>
      <c r="L24" s="25" t="n">
        <v>3</v>
      </c>
      <c r="M24" s="25" t="n">
        <v>3</v>
      </c>
      <c r="N24" s="25" t="n">
        <v>3</v>
      </c>
      <c r="O24" s="25" t="n">
        <v>3</v>
      </c>
      <c r="P24" s="26" t="n">
        <f aca="false">SUM(E24:O24)</f>
        <v>33</v>
      </c>
      <c r="Q24" s="26" t="n">
        <f aca="false">Parametros!$C$29</f>
        <v>60</v>
      </c>
      <c r="R24" s="27" t="s">
        <v>268</v>
      </c>
    </row>
    <row r="25" customFormat="false" ht="15" hidden="false" customHeight="false" outlineLevel="0" collapsed="false">
      <c r="A25" s="27" t="s">
        <v>269</v>
      </c>
      <c r="B25" s="27" t="s">
        <v>270</v>
      </c>
      <c r="C25" s="27" t="s">
        <v>271</v>
      </c>
      <c r="D25" s="27" t="s">
        <v>270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1</v>
      </c>
      <c r="N25" s="25" t="n">
        <v>0</v>
      </c>
      <c r="O25" s="25" t="n">
        <v>0</v>
      </c>
      <c r="P25" s="26" t="n">
        <f aca="false">SUM(E25:O25)</f>
        <v>1</v>
      </c>
      <c r="Q25" s="26" t="n">
        <f aca="false">Parametros!$C$29</f>
        <v>60</v>
      </c>
      <c r="R25" s="27" t="s">
        <v>272</v>
      </c>
    </row>
    <row r="26" customFormat="false" ht="28.35" hidden="false" customHeight="false" outlineLevel="0" collapsed="false">
      <c r="A26" s="27" t="s">
        <v>273</v>
      </c>
      <c r="B26" s="27" t="s">
        <v>274</v>
      </c>
      <c r="C26" s="27" t="s">
        <v>275</v>
      </c>
      <c r="D26" s="27" t="s">
        <v>274</v>
      </c>
      <c r="E26" s="25" t="n">
        <v>1</v>
      </c>
      <c r="F26" s="25" t="n">
        <v>1</v>
      </c>
      <c r="G26" s="25" t="n">
        <v>1</v>
      </c>
      <c r="H26" s="25" t="n">
        <v>1</v>
      </c>
      <c r="I26" s="25" t="n">
        <v>1</v>
      </c>
      <c r="J26" s="25" t="n">
        <v>0</v>
      </c>
      <c r="K26" s="25" t="n">
        <v>0</v>
      </c>
      <c r="L26" s="25" t="n">
        <v>0</v>
      </c>
      <c r="M26" s="25" t="n">
        <v>0</v>
      </c>
      <c r="N26" s="25" t="n">
        <v>0</v>
      </c>
      <c r="O26" s="25" t="n">
        <v>0</v>
      </c>
      <c r="P26" s="26" t="n">
        <f aca="false">SUM(E26:O26)</f>
        <v>5</v>
      </c>
      <c r="Q26" s="26" t="n">
        <f aca="false">Parametros!$C$29</f>
        <v>60</v>
      </c>
      <c r="R26" s="27" t="s">
        <v>276</v>
      </c>
    </row>
    <row r="27" customFormat="false" ht="28.35" hidden="false" customHeight="false" outlineLevel="0" collapsed="false">
      <c r="A27" s="44" t="s">
        <v>277</v>
      </c>
      <c r="B27" s="44" t="s">
        <v>278</v>
      </c>
      <c r="C27" s="44" t="s">
        <v>279</v>
      </c>
      <c r="D27" s="44" t="s">
        <v>280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5" t="n">
        <v>0</v>
      </c>
      <c r="K27" s="45" t="n">
        <v>0</v>
      </c>
      <c r="L27" s="45" t="n">
        <v>0</v>
      </c>
      <c r="M27" s="45" t="n">
        <v>0</v>
      </c>
      <c r="N27" s="45" t="n">
        <v>2</v>
      </c>
      <c r="O27" s="45" t="n">
        <v>2</v>
      </c>
      <c r="P27" s="46" t="n">
        <f aca="false">SUM(E27:O27)</f>
        <v>4</v>
      </c>
      <c r="Q27" s="46" t="n">
        <f aca="false">Parametros!$C$29</f>
        <v>60</v>
      </c>
      <c r="R27" s="44" t="s">
        <v>281</v>
      </c>
    </row>
    <row r="28" customFormat="false" ht="28.35" hidden="false" customHeight="false" outlineLevel="0" collapsed="false">
      <c r="A28" s="44" t="s">
        <v>282</v>
      </c>
      <c r="B28" s="44" t="s">
        <v>278</v>
      </c>
      <c r="C28" s="44" t="s">
        <v>283</v>
      </c>
      <c r="D28" s="44" t="s">
        <v>280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5" t="n">
        <v>0</v>
      </c>
      <c r="K28" s="45" t="n">
        <v>0</v>
      </c>
      <c r="L28" s="45" t="n">
        <v>0</v>
      </c>
      <c r="M28" s="45" t="n">
        <v>0</v>
      </c>
      <c r="N28" s="45" t="n">
        <v>2</v>
      </c>
      <c r="O28" s="45" t="n">
        <v>2</v>
      </c>
      <c r="P28" s="46" t="n">
        <f aca="false">SUM(E28:O28)</f>
        <v>4</v>
      </c>
      <c r="Q28" s="46" t="n">
        <f aca="false">Parametros!$C$8</f>
        <v>60</v>
      </c>
      <c r="R28" s="44" t="s">
        <v>284</v>
      </c>
    </row>
    <row r="30" customFormat="false" ht="15" hidden="false" customHeight="false" outlineLevel="0" collapsed="false">
      <c r="C30" s="20" t="s">
        <v>285</v>
      </c>
      <c r="E30" s="47" t="n">
        <f aca="false">SUM(E6:E28)</f>
        <v>35</v>
      </c>
      <c r="F30" s="47" t="n">
        <f aca="false">SUM(F6:F28)</f>
        <v>35</v>
      </c>
      <c r="G30" s="47" t="n">
        <f aca="false">SUM(G6:G28)</f>
        <v>35</v>
      </c>
      <c r="H30" s="47" t="n">
        <f aca="false">SUM(H6:H28)</f>
        <v>35</v>
      </c>
      <c r="I30" s="47" t="n">
        <f aca="false">SUM(I6:I28)</f>
        <v>35</v>
      </c>
      <c r="J30" s="47" t="n">
        <f aca="false">SUM(J6:J28)</f>
        <v>35</v>
      </c>
      <c r="K30" s="47" t="n">
        <f aca="false">SUM(K6:K28)</f>
        <v>35</v>
      </c>
      <c r="L30" s="47" t="n">
        <f aca="false">SUM(L6:L28)</f>
        <v>35</v>
      </c>
      <c r="M30" s="47" t="n">
        <f aca="false">SUM(M6:M28)</f>
        <v>35</v>
      </c>
      <c r="N30" s="47" t="n">
        <f aca="false">SUM(N6:N28)</f>
        <v>37</v>
      </c>
      <c r="O30" s="47" t="n">
        <f aca="false">SUM(O6:O28)</f>
        <v>37</v>
      </c>
    </row>
    <row r="31" customFormat="false" ht="15" hidden="false" customHeight="false" outlineLevel="0" collapsed="false">
      <c r="C31" s="20" t="s">
        <v>286</v>
      </c>
      <c r="E31" s="48" t="n">
        <v>35</v>
      </c>
      <c r="F31" s="48" t="n">
        <v>35</v>
      </c>
      <c r="G31" s="48" t="n">
        <v>35</v>
      </c>
      <c r="H31" s="48" t="n">
        <v>35</v>
      </c>
      <c r="I31" s="48" t="n">
        <v>35</v>
      </c>
      <c r="J31" s="48" t="n">
        <v>35</v>
      </c>
      <c r="K31" s="48" t="n">
        <v>35</v>
      </c>
      <c r="L31" s="48" t="n">
        <v>35</v>
      </c>
      <c r="M31" s="48" t="n">
        <v>35</v>
      </c>
      <c r="N31" s="48" t="n">
        <v>37</v>
      </c>
      <c r="O31" s="48" t="n">
        <v>37</v>
      </c>
    </row>
    <row r="32" customFormat="false" ht="15" hidden="false" customHeight="false" outlineLevel="0" collapsed="false">
      <c r="C32" s="20" t="s">
        <v>287</v>
      </c>
      <c r="E32" s="47" t="n">
        <f aca="false">E31-E30</f>
        <v>0</v>
      </c>
      <c r="F32" s="47" t="n">
        <f aca="false">F31-F30</f>
        <v>0</v>
      </c>
      <c r="G32" s="47" t="n">
        <f aca="false">G31-G30</f>
        <v>0</v>
      </c>
      <c r="H32" s="47" t="n">
        <f aca="false">H31-H30</f>
        <v>0</v>
      </c>
      <c r="I32" s="47" t="n">
        <f aca="false">I31-I30</f>
        <v>0</v>
      </c>
      <c r="J32" s="47" t="n">
        <f aca="false">J31-J30</f>
        <v>0</v>
      </c>
      <c r="K32" s="47" t="n">
        <f aca="false">K31-K30</f>
        <v>0</v>
      </c>
      <c r="L32" s="47" t="n">
        <f aca="false">L31-L30</f>
        <v>0</v>
      </c>
      <c r="M32" s="47" t="n">
        <f aca="false">M31-M30</f>
        <v>0</v>
      </c>
      <c r="N32" s="47" t="n">
        <f aca="false">N31-N30</f>
        <v>0</v>
      </c>
      <c r="O32" s="47" t="n">
        <f aca="false">O31-O30</f>
        <v>0</v>
      </c>
    </row>
    <row r="33" customFormat="false" ht="15" hidden="false" customHeight="false" outlineLevel="0" collapsed="false">
      <c r="C33" s="20" t="s">
        <v>288</v>
      </c>
      <c r="E33" s="49" t="str">
        <f aca="false">IF(E32=0,"OK","REVISAR")</f>
        <v>OK</v>
      </c>
      <c r="F33" s="49" t="str">
        <f aca="false">IF(F32=0,"OK","REVISAR")</f>
        <v>OK</v>
      </c>
      <c r="G33" s="49" t="str">
        <f aca="false">IF(G32=0,"OK","REVISAR")</f>
        <v>OK</v>
      </c>
      <c r="H33" s="49" t="str">
        <f aca="false">IF(H32=0,"OK","REVISAR")</f>
        <v>OK</v>
      </c>
      <c r="I33" s="49" t="str">
        <f aca="false">IF(I32=0,"OK","REVISAR")</f>
        <v>OK</v>
      </c>
      <c r="J33" s="49" t="str">
        <f aca="false">IF(J32=0,"OK","REVISAR")</f>
        <v>OK</v>
      </c>
      <c r="K33" s="49" t="str">
        <f aca="false">IF(K32=0,"OK","REVISAR")</f>
        <v>OK</v>
      </c>
      <c r="L33" s="49" t="str">
        <f aca="false">IF(L32=0,"OK","REVISAR")</f>
        <v>OK</v>
      </c>
      <c r="M33" s="49" t="str">
        <f aca="false">IF(M32=0,"OK","REVISAR")</f>
        <v>OK</v>
      </c>
      <c r="N33" s="49" t="str">
        <f aca="false">IF(N32=0,"OK","REVISAR")</f>
        <v>OK</v>
      </c>
      <c r="O33" s="49" t="str">
        <f aca="false">IF(O32=0,"OK","REVISAR")</f>
        <v>OK</v>
      </c>
    </row>
    <row r="34" customFormat="false" ht="15" hidden="false" customHeight="false" outlineLevel="0" collapsed="false">
      <c r="C34" s="20" t="s">
        <v>289</v>
      </c>
      <c r="E34" s="47" t="n">
        <f aca="false">SUMIF($D$6:$D$28,"Obligatoria*",E6:E28)</f>
        <v>34</v>
      </c>
      <c r="F34" s="47" t="n">
        <f aca="false">SUMIF($D$6:$D$28,"Obligatoria*",F6:F28)</f>
        <v>34</v>
      </c>
      <c r="G34" s="47" t="n">
        <f aca="false">SUMIF($D$6:$D$28,"Obligatoria*",G6:G28)</f>
        <v>34</v>
      </c>
      <c r="H34" s="47" t="n">
        <f aca="false">SUMIF($D$6:$D$28,"Obligatoria*",H6:H28)</f>
        <v>34</v>
      </c>
      <c r="I34" s="47" t="n">
        <f aca="false">SUMIF($D$6:$D$28,"Obligatoria*",I6:I28)</f>
        <v>34</v>
      </c>
      <c r="J34" s="47" t="n">
        <f aca="false">SUMIF($D$6:$D$28,"Obligatoria*",J6:J28)</f>
        <v>35</v>
      </c>
      <c r="K34" s="47" t="n">
        <f aca="false">SUMIF($D$6:$D$28,"Obligatoria*",K6:K28)</f>
        <v>35</v>
      </c>
      <c r="L34" s="47" t="n">
        <f aca="false">SUMIF($D$6:$D$28,"Obligatoria*",L6:L28)</f>
        <v>35</v>
      </c>
      <c r="M34" s="47" t="n">
        <f aca="false">SUMIF($D$6:$D$28,"Obligatoria*",M6:M28)</f>
        <v>34</v>
      </c>
      <c r="N34" s="47" t="n">
        <f aca="false">SUMIF($D$6:$D$28,"Obligatoria*",N6:N28)</f>
        <v>33</v>
      </c>
      <c r="O34" s="47" t="n">
        <f aca="false">SUMIF($D$6:$D$28,"Obligatoria*",O6:O28)</f>
        <v>33</v>
      </c>
    </row>
    <row r="35" customFormat="false" ht="28.35" hidden="false" customHeight="false" outlineLevel="0" collapsed="false">
      <c r="C35" s="20" t="s">
        <v>290</v>
      </c>
      <c r="E35" s="50" t="n">
        <f aca="false">E34/E30</f>
        <v>0.971428571428571</v>
      </c>
      <c r="F35" s="50" t="n">
        <f aca="false">F34/F30</f>
        <v>0.971428571428571</v>
      </c>
      <c r="G35" s="50" t="n">
        <f aca="false">G34/G30</f>
        <v>0.971428571428571</v>
      </c>
      <c r="H35" s="50" t="n">
        <f aca="false">H34/H30</f>
        <v>0.971428571428571</v>
      </c>
      <c r="I35" s="50" t="n">
        <f aca="false">I34/I30</f>
        <v>0.971428571428571</v>
      </c>
      <c r="J35" s="50" t="n">
        <f aca="false">J34/J30</f>
        <v>1</v>
      </c>
      <c r="K35" s="50" t="n">
        <f aca="false">K34/K30</f>
        <v>1</v>
      </c>
      <c r="L35" s="50" t="n">
        <f aca="false">L34/L30</f>
        <v>1</v>
      </c>
      <c r="M35" s="50" t="n">
        <f aca="false">M34/M30</f>
        <v>0.971428571428571</v>
      </c>
      <c r="N35" s="50" t="n">
        <f aca="false">N34/N30</f>
        <v>0.891891891891892</v>
      </c>
      <c r="O35" s="50" t="n">
        <f aca="false">O34/O30</f>
        <v>0.891891891891892</v>
      </c>
    </row>
    <row r="36" customFormat="false" ht="15" hidden="false" customHeight="false" outlineLevel="0" collapsed="false">
      <c r="C36" s="20" t="s">
        <v>291</v>
      </c>
      <c r="E36" s="47" t="n">
        <f aca="false">SUMPRODUCT(E6:E28,$Q$6:$Q$28)</f>
        <v>2100</v>
      </c>
      <c r="F36" s="47" t="n">
        <f aca="false">SUMPRODUCT(F6:F28,$Q$6:$Q$28)</f>
        <v>2100</v>
      </c>
      <c r="G36" s="47" t="n">
        <f aca="false">SUMPRODUCT(G6:G28,$Q$6:$Q$28)</f>
        <v>2100</v>
      </c>
      <c r="H36" s="47" t="n">
        <f aca="false">SUMPRODUCT(H6:H28,$Q$6:$Q$28)</f>
        <v>2100</v>
      </c>
      <c r="I36" s="47" t="n">
        <f aca="false">SUMPRODUCT(I6:I28,$Q$6:$Q$28)</f>
        <v>2100</v>
      </c>
      <c r="J36" s="47" t="n">
        <f aca="false">SUMPRODUCT(J6:J28,$Q$6:$Q$28)</f>
        <v>2100</v>
      </c>
      <c r="K36" s="47" t="n">
        <f aca="false">SUMPRODUCT(K6:K28,$Q$6:$Q$28)</f>
        <v>2100</v>
      </c>
      <c r="L36" s="47" t="n">
        <f aca="false">SUMPRODUCT(L6:L28,$Q$6:$Q$28)</f>
        <v>2100</v>
      </c>
      <c r="M36" s="47" t="n">
        <f aca="false">SUMPRODUCT(M6:M28,$Q$6:$Q$28)</f>
        <v>2100</v>
      </c>
      <c r="N36" s="47" t="n">
        <f aca="false">SUMPRODUCT(N6:N28,$Q$6:$Q$28)</f>
        <v>2220</v>
      </c>
      <c r="O36" s="47" t="n">
        <f aca="false">SUMPRODUCT(O6:O28,$Q$6:$Q$28)</f>
        <v>2220</v>
      </c>
    </row>
    <row r="38" customFormat="false" ht="15" hidden="false" customHeight="false" outlineLevel="0" collapsed="false">
      <c r="A38" s="6" t="s">
        <v>292</v>
      </c>
    </row>
    <row r="39" customFormat="false" ht="15" hidden="false" customHeight="true" outlineLevel="0" collapsed="false">
      <c r="B39" s="14" t="s">
        <v>293</v>
      </c>
      <c r="C39" s="14"/>
      <c r="D39" s="14"/>
      <c r="E39" s="14" t="s">
        <v>201</v>
      </c>
      <c r="F39" s="14" t="s">
        <v>202</v>
      </c>
      <c r="G39" s="14" t="s">
        <v>203</v>
      </c>
      <c r="H39" s="14" t="s">
        <v>204</v>
      </c>
      <c r="I39" s="14" t="s">
        <v>205</v>
      </c>
      <c r="J39" s="14" t="s">
        <v>206</v>
      </c>
      <c r="K39" s="14" t="s">
        <v>207</v>
      </c>
      <c r="L39" s="14" t="s">
        <v>208</v>
      </c>
      <c r="M39" s="14" t="s">
        <v>209</v>
      </c>
      <c r="N39" s="14" t="s">
        <v>210</v>
      </c>
    </row>
    <row r="40" customFormat="false" ht="15" hidden="false" customHeight="true" outlineLevel="0" collapsed="false">
      <c r="B40" s="27" t="s">
        <v>213</v>
      </c>
      <c r="C40" s="27"/>
      <c r="D40" s="27"/>
      <c r="E40" s="26" t="n">
        <f aca="false">SUMIF($B$6:$B$28,$B40,E$6:E$28)</f>
        <v>4</v>
      </c>
      <c r="F40" s="26" t="n">
        <f aca="false">SUMIF($B$6:$B$28,$B40,F$6:F$28)</f>
        <v>4</v>
      </c>
      <c r="G40" s="26" t="n">
        <f aca="false">SUMIF($B$6:$B$28,$B40,G$6:G$28)</f>
        <v>4</v>
      </c>
      <c r="H40" s="26" t="n">
        <f aca="false">SUMIF($B$6:$B$28,$B40,H$6:H$28)</f>
        <v>4</v>
      </c>
      <c r="I40" s="26" t="n">
        <f aca="false">SUMIF($B$6:$B$28,$B40,I$6:I$28)</f>
        <v>4</v>
      </c>
      <c r="J40" s="26" t="n">
        <f aca="false">SUMIF($B$6:$B$28,$B40,J$6:J$28)</f>
        <v>4</v>
      </c>
      <c r="K40" s="26" t="n">
        <f aca="false">SUMIF($B$6:$B$28,$B40,K$6:K$28)</f>
        <v>4</v>
      </c>
      <c r="L40" s="26" t="n">
        <f aca="false">SUMIF($B$6:$B$28,$B40,L$6:L$28)</f>
        <v>4</v>
      </c>
      <c r="M40" s="26" t="n">
        <f aca="false">SUMIF($B$6:$B$28,$B40,M$6:M$28)</f>
        <v>4</v>
      </c>
      <c r="N40" s="26" t="n">
        <f aca="false">SUMIF($B$6:$B$28,$B40,N$6:N$28)</f>
        <v>6</v>
      </c>
      <c r="O40" s="26" t="n">
        <f aca="false">SUMIF($B$6:$B$28,$B40,O$6:O$28)</f>
        <v>6</v>
      </c>
    </row>
    <row r="41" customFormat="false" ht="15" hidden="false" customHeight="true" outlineLevel="0" collapsed="false">
      <c r="B41" s="27" t="s">
        <v>223</v>
      </c>
      <c r="C41" s="27"/>
      <c r="D41" s="27"/>
      <c r="E41" s="26" t="n">
        <f aca="false">SUMIF($B$6:$B$28,$B41,E$6:E$28)</f>
        <v>4</v>
      </c>
      <c r="F41" s="26" t="n">
        <f aca="false">SUMIF($B$6:$B$28,$B41,F$6:F$28)</f>
        <v>4</v>
      </c>
      <c r="G41" s="26" t="n">
        <f aca="false">SUMIF($B$6:$B$28,$B41,G$6:G$28)</f>
        <v>4</v>
      </c>
      <c r="H41" s="26" t="n">
        <f aca="false">SUMIF($B$6:$B$28,$B41,H$6:H$28)</f>
        <v>4</v>
      </c>
      <c r="I41" s="26" t="n">
        <f aca="false">SUMIF($B$6:$B$28,$B41,I$6:I$28)</f>
        <v>4</v>
      </c>
      <c r="J41" s="26" t="n">
        <f aca="false">SUMIF($B$6:$B$28,$B41,J$6:J$28)</f>
        <v>5</v>
      </c>
      <c r="K41" s="26" t="n">
        <f aca="false">SUMIF($B$6:$B$28,$B41,K$6:K$28)</f>
        <v>5</v>
      </c>
      <c r="L41" s="26" t="n">
        <f aca="false">SUMIF($B$6:$B$28,$B41,L$6:L$28)</f>
        <v>5</v>
      </c>
      <c r="M41" s="26" t="n">
        <f aca="false">SUMIF($B$6:$B$28,$B41,M$6:M$28)</f>
        <v>5</v>
      </c>
      <c r="N41" s="26" t="n">
        <f aca="false">SUMIF($B$6:$B$28,$B41,N$6:N$28)</f>
        <v>2</v>
      </c>
      <c r="O41" s="26" t="n">
        <f aca="false">SUMIF($B$6:$B$28,$B41,O$6:O$28)</f>
        <v>2</v>
      </c>
    </row>
    <row r="42" customFormat="false" ht="15" hidden="false" customHeight="true" outlineLevel="0" collapsed="false">
      <c r="B42" s="27" t="s">
        <v>231</v>
      </c>
      <c r="C42" s="27"/>
      <c r="D42" s="27"/>
      <c r="E42" s="26" t="n">
        <f aca="false">SUMIF($B$6:$B$28,$B42,E$6:E$28)</f>
        <v>0</v>
      </c>
      <c r="F42" s="26" t="n">
        <f aca="false">SUMIF($B$6:$B$28,$B42,F$6:F$28)</f>
        <v>0</v>
      </c>
      <c r="G42" s="26" t="n">
        <f aca="false">SUMIF($B$6:$B$28,$B42,G$6:G$28)</f>
        <v>0</v>
      </c>
      <c r="H42" s="26" t="n">
        <f aca="false">SUMIF($B$6:$B$28,$B42,H$6:H$28)</f>
        <v>0</v>
      </c>
      <c r="I42" s="26" t="n">
        <f aca="false">SUMIF($B$6:$B$28,$B42,I$6:I$28)</f>
        <v>0</v>
      </c>
      <c r="J42" s="26" t="n">
        <f aca="false">SUMIF($B$6:$B$28,$B42,J$6:J$28)</f>
        <v>0</v>
      </c>
      <c r="K42" s="26" t="n">
        <f aca="false">SUMIF($B$6:$B$28,$B42,K$6:K$28)</f>
        <v>0</v>
      </c>
      <c r="L42" s="26" t="n">
        <f aca="false">SUMIF($B$6:$B$28,$B42,L$6:L$28)</f>
        <v>0</v>
      </c>
      <c r="M42" s="26" t="n">
        <f aca="false">SUMIF($B$6:$B$28,$B42,M$6:M$28)</f>
        <v>0</v>
      </c>
      <c r="N42" s="26" t="n">
        <f aca="false">SUMIF($B$6:$B$28,$B42,N$6:N$28)</f>
        <v>2</v>
      </c>
      <c r="O42" s="26" t="n">
        <f aca="false">SUMIF($B$6:$B$28,$B42,O$6:O$28)</f>
        <v>2</v>
      </c>
    </row>
    <row r="43" customFormat="false" ht="15" hidden="false" customHeight="true" outlineLevel="0" collapsed="false">
      <c r="B43" s="27" t="s">
        <v>234</v>
      </c>
      <c r="C43" s="27"/>
      <c r="D43" s="27"/>
      <c r="E43" s="26" t="n">
        <f aca="false">SUMIF($B$6:$B$28,$B43,E$6:E$28)</f>
        <v>3</v>
      </c>
      <c r="F43" s="26" t="n">
        <f aca="false">SUMIF($B$6:$B$28,$B43,F$6:F$28)</f>
        <v>3</v>
      </c>
      <c r="G43" s="26" t="n">
        <f aca="false">SUMIF($B$6:$B$28,$B43,G$6:G$28)</f>
        <v>3</v>
      </c>
      <c r="H43" s="26" t="n">
        <f aca="false">SUMIF($B$6:$B$28,$B43,H$6:H$28)</f>
        <v>3</v>
      </c>
      <c r="I43" s="26" t="n">
        <f aca="false">SUMIF($B$6:$B$28,$B43,I$6:I$28)</f>
        <v>3</v>
      </c>
      <c r="J43" s="26" t="n">
        <f aca="false">SUMIF($B$6:$B$28,$B43,J$6:J$28)</f>
        <v>3</v>
      </c>
      <c r="K43" s="26" t="n">
        <f aca="false">SUMIF($B$6:$B$28,$B43,K$6:K$28)</f>
        <v>3</v>
      </c>
      <c r="L43" s="26" t="n">
        <f aca="false">SUMIF($B$6:$B$28,$B43,L$6:L$28)</f>
        <v>3</v>
      </c>
      <c r="M43" s="26" t="n">
        <f aca="false">SUMIF($B$6:$B$28,$B43,M$6:M$28)</f>
        <v>2</v>
      </c>
      <c r="N43" s="26" t="n">
        <f aca="false">SUMIF($B$6:$B$28,$B43,N$6:N$28)</f>
        <v>2</v>
      </c>
      <c r="O43" s="26" t="n">
        <f aca="false">SUMIF($B$6:$B$28,$B43,O$6:O$28)</f>
        <v>2</v>
      </c>
    </row>
    <row r="44" customFormat="false" ht="15" hidden="false" customHeight="true" outlineLevel="0" collapsed="false">
      <c r="B44" s="27" t="s">
        <v>242</v>
      </c>
      <c r="C44" s="27"/>
      <c r="D44" s="27"/>
      <c r="E44" s="26" t="n">
        <f aca="false">SUMIF($B$6:$B$28,$B44,E$6:E$28)</f>
        <v>1</v>
      </c>
      <c r="F44" s="26" t="n">
        <f aca="false">SUMIF($B$6:$B$28,$B44,F$6:F$28)</f>
        <v>1</v>
      </c>
      <c r="G44" s="26" t="n">
        <f aca="false">SUMIF($B$6:$B$28,$B44,G$6:G$28)</f>
        <v>1</v>
      </c>
      <c r="H44" s="26" t="n">
        <f aca="false">SUMIF($B$6:$B$28,$B44,H$6:H$28)</f>
        <v>1</v>
      </c>
      <c r="I44" s="26" t="n">
        <f aca="false">SUMIF($B$6:$B$28,$B44,I$6:I$28)</f>
        <v>1</v>
      </c>
      <c r="J44" s="26" t="n">
        <f aca="false">SUMIF($B$6:$B$28,$B44,J$6:J$28)</f>
        <v>1</v>
      </c>
      <c r="K44" s="26" t="n">
        <f aca="false">SUMIF($B$6:$B$28,$B44,K$6:K$28)</f>
        <v>1</v>
      </c>
      <c r="L44" s="26" t="n">
        <f aca="false">SUMIF($B$6:$B$28,$B44,L$6:L$28)</f>
        <v>1</v>
      </c>
      <c r="M44" s="26" t="n">
        <f aca="false">SUMIF($B$6:$B$28,$B44,M$6:M$28)</f>
        <v>1</v>
      </c>
      <c r="N44" s="26" t="n">
        <f aca="false">SUMIF($B$6:$B$28,$B44,N$6:N$28)</f>
        <v>2</v>
      </c>
      <c r="O44" s="26" t="n">
        <f aca="false">SUMIF($B$6:$B$28,$B44,O$6:O$28)</f>
        <v>2</v>
      </c>
    </row>
    <row r="45" customFormat="false" ht="15" hidden="false" customHeight="true" outlineLevel="0" collapsed="false">
      <c r="B45" s="27" t="s">
        <v>246</v>
      </c>
      <c r="C45" s="27"/>
      <c r="D45" s="27"/>
      <c r="E45" s="26" t="n">
        <f aca="false">SUMIF($B$6:$B$28,$B45,E$6:E$28)</f>
        <v>2</v>
      </c>
      <c r="F45" s="26" t="n">
        <f aca="false">SUMIF($B$6:$B$28,$B45,F$6:F$28)</f>
        <v>2</v>
      </c>
      <c r="G45" s="26" t="n">
        <f aca="false">SUMIF($B$6:$B$28,$B45,G$6:G$28)</f>
        <v>2</v>
      </c>
      <c r="H45" s="26" t="n">
        <f aca="false">SUMIF($B$6:$B$28,$B45,H$6:H$28)</f>
        <v>2</v>
      </c>
      <c r="I45" s="26" t="n">
        <f aca="false">SUMIF($B$6:$B$28,$B45,I$6:I$28)</f>
        <v>2</v>
      </c>
      <c r="J45" s="26" t="n">
        <f aca="false">SUMIF($B$6:$B$28,$B45,J$6:J$28)</f>
        <v>2</v>
      </c>
      <c r="K45" s="26" t="n">
        <f aca="false">SUMIF($B$6:$B$28,$B45,K$6:K$28)</f>
        <v>2</v>
      </c>
      <c r="L45" s="26" t="n">
        <f aca="false">SUMIF($B$6:$B$28,$B45,L$6:L$28)</f>
        <v>2</v>
      </c>
      <c r="M45" s="26" t="n">
        <f aca="false">SUMIF($B$6:$B$28,$B45,M$6:M$28)</f>
        <v>2</v>
      </c>
      <c r="N45" s="26" t="n">
        <f aca="false">SUMIF($B$6:$B$28,$B45,N$6:N$28)</f>
        <v>1</v>
      </c>
      <c r="O45" s="26" t="n">
        <f aca="false">SUMIF($B$6:$B$28,$B45,O$6:O$28)</f>
        <v>1</v>
      </c>
    </row>
    <row r="46" customFormat="false" ht="15" hidden="false" customHeight="true" outlineLevel="0" collapsed="false">
      <c r="B46" s="27" t="s">
        <v>249</v>
      </c>
      <c r="C46" s="27"/>
      <c r="D46" s="27"/>
      <c r="E46" s="26" t="n">
        <f aca="false">SUMIF($B$6:$B$28,$B46,E$6:E$28)</f>
        <v>3</v>
      </c>
      <c r="F46" s="26" t="n">
        <f aca="false">SUMIF($B$6:$B$28,$B46,F$6:F$28)</f>
        <v>3</v>
      </c>
      <c r="G46" s="26" t="n">
        <f aca="false">SUMIF($B$6:$B$28,$B46,G$6:G$28)</f>
        <v>3</v>
      </c>
      <c r="H46" s="26" t="n">
        <f aca="false">SUMIF($B$6:$B$28,$B46,H$6:H$28)</f>
        <v>3</v>
      </c>
      <c r="I46" s="26" t="n">
        <f aca="false">SUMIF($B$6:$B$28,$B46,I$6:I$28)</f>
        <v>3</v>
      </c>
      <c r="J46" s="26" t="n">
        <f aca="false">SUMIF($B$6:$B$28,$B46,J$6:J$28)</f>
        <v>3</v>
      </c>
      <c r="K46" s="26" t="n">
        <f aca="false">SUMIF($B$6:$B$28,$B46,K$6:K$28)</f>
        <v>3</v>
      </c>
      <c r="L46" s="26" t="n">
        <f aca="false">SUMIF($B$6:$B$28,$B46,L$6:L$28)</f>
        <v>3</v>
      </c>
      <c r="M46" s="26" t="n">
        <f aca="false">SUMIF($B$6:$B$28,$B46,M$6:M$28)</f>
        <v>3</v>
      </c>
      <c r="N46" s="26" t="n">
        <f aca="false">SUMIF($B$6:$B$28,$B46,N$6:N$28)</f>
        <v>3</v>
      </c>
      <c r="O46" s="26" t="n">
        <f aca="false">SUMIF($B$6:$B$28,$B46,O$6:O$28)</f>
        <v>3</v>
      </c>
    </row>
    <row r="47" customFormat="false" ht="15" hidden="false" customHeight="true" outlineLevel="0" collapsed="false">
      <c r="B47" s="27" t="s">
        <v>252</v>
      </c>
      <c r="C47" s="27"/>
      <c r="D47" s="27"/>
      <c r="E47" s="26" t="n">
        <f aca="false">SUMIF($B$6:$B$28,$B47,E$6:E$28)</f>
        <v>9</v>
      </c>
      <c r="F47" s="26" t="n">
        <f aca="false">SUMIF($B$6:$B$28,$B47,F$6:F$28)</f>
        <v>9</v>
      </c>
      <c r="G47" s="26" t="n">
        <f aca="false">SUMIF($B$6:$B$28,$B47,G$6:G$28)</f>
        <v>9</v>
      </c>
      <c r="H47" s="26" t="n">
        <f aca="false">SUMIF($B$6:$B$28,$B47,H$6:H$28)</f>
        <v>9</v>
      </c>
      <c r="I47" s="26" t="n">
        <f aca="false">SUMIF($B$6:$B$28,$B47,I$6:I$28)</f>
        <v>9</v>
      </c>
      <c r="J47" s="26" t="n">
        <f aca="false">SUMIF($B$6:$B$28,$B47,J$6:J$28)</f>
        <v>9</v>
      </c>
      <c r="K47" s="26" t="n">
        <f aca="false">SUMIF($B$6:$B$28,$B47,K$6:K$28)</f>
        <v>9</v>
      </c>
      <c r="L47" s="26" t="n">
        <f aca="false">SUMIF($B$6:$B$28,$B47,L$6:L$28)</f>
        <v>9</v>
      </c>
      <c r="M47" s="26" t="n">
        <f aca="false">SUMIF($B$6:$B$28,$B47,M$6:M$28)</f>
        <v>9</v>
      </c>
      <c r="N47" s="26" t="n">
        <f aca="false">SUMIF($B$6:$B$28,$B47,N$6:N$28)</f>
        <v>9</v>
      </c>
      <c r="O47" s="26" t="n">
        <f aca="false">SUMIF($B$6:$B$28,$B47,O$6:O$28)</f>
        <v>9</v>
      </c>
    </row>
    <row r="48" customFormat="false" ht="15" hidden="false" customHeight="true" outlineLevel="0" collapsed="false">
      <c r="B48" s="27" t="s">
        <v>257</v>
      </c>
      <c r="C48" s="27"/>
      <c r="D48" s="27"/>
      <c r="E48" s="26" t="n">
        <f aca="false">SUMIF($B$6:$B$28,$B48,E$6:E$28)</f>
        <v>5</v>
      </c>
      <c r="F48" s="26" t="n">
        <f aca="false">SUMIF($B$6:$B$28,$B48,F$6:F$28)</f>
        <v>5</v>
      </c>
      <c r="G48" s="26" t="n">
        <f aca="false">SUMIF($B$6:$B$28,$B48,G$6:G$28)</f>
        <v>5</v>
      </c>
      <c r="H48" s="26" t="n">
        <f aca="false">SUMIF($B$6:$B$28,$B48,H$6:H$28)</f>
        <v>5</v>
      </c>
      <c r="I48" s="26" t="n">
        <f aca="false">SUMIF($B$6:$B$28,$B48,I$6:I$28)</f>
        <v>5</v>
      </c>
      <c r="J48" s="26" t="n">
        <f aca="false">SUMIF($B$6:$B$28,$B48,J$6:J$28)</f>
        <v>5</v>
      </c>
      <c r="K48" s="26" t="n">
        <f aca="false">SUMIF($B$6:$B$28,$B48,K$6:K$28)</f>
        <v>5</v>
      </c>
      <c r="L48" s="26" t="n">
        <f aca="false">SUMIF($B$6:$B$28,$B48,L$6:L$28)</f>
        <v>5</v>
      </c>
      <c r="M48" s="26" t="n">
        <f aca="false">SUMIF($B$6:$B$28,$B48,M$6:M$28)</f>
        <v>5</v>
      </c>
      <c r="N48" s="26" t="n">
        <f aca="false">SUMIF($B$6:$B$28,$B48,N$6:N$28)</f>
        <v>3</v>
      </c>
      <c r="O48" s="26" t="n">
        <f aca="false">SUMIF($B$6:$B$28,$B48,O$6:O$28)</f>
        <v>3</v>
      </c>
    </row>
    <row r="49" customFormat="false" ht="15" hidden="false" customHeight="true" outlineLevel="0" collapsed="false">
      <c r="B49" s="27" t="s">
        <v>267</v>
      </c>
      <c r="C49" s="27"/>
      <c r="D49" s="27"/>
      <c r="E49" s="26" t="n">
        <f aca="false">SUMIF($B$6:$B$28,$B49,E$6:E$28)</f>
        <v>3</v>
      </c>
      <c r="F49" s="26" t="n">
        <f aca="false">SUMIF($B$6:$B$28,$B49,F$6:F$28)</f>
        <v>3</v>
      </c>
      <c r="G49" s="26" t="n">
        <f aca="false">SUMIF($B$6:$B$28,$B49,G$6:G$28)</f>
        <v>3</v>
      </c>
      <c r="H49" s="26" t="n">
        <f aca="false">SUMIF($B$6:$B$28,$B49,H$6:H$28)</f>
        <v>3</v>
      </c>
      <c r="I49" s="26" t="n">
        <f aca="false">SUMIF($B$6:$B$28,$B49,I$6:I$28)</f>
        <v>3</v>
      </c>
      <c r="J49" s="26" t="n">
        <f aca="false">SUMIF($B$6:$B$28,$B49,J$6:J$28)</f>
        <v>3</v>
      </c>
      <c r="K49" s="26" t="n">
        <f aca="false">SUMIF($B$6:$B$28,$B49,K$6:K$28)</f>
        <v>3</v>
      </c>
      <c r="L49" s="26" t="n">
        <f aca="false">SUMIF($B$6:$B$28,$B49,L$6:L$28)</f>
        <v>3</v>
      </c>
      <c r="M49" s="26" t="n">
        <f aca="false">SUMIF($B$6:$B$28,$B49,M$6:M$28)</f>
        <v>3</v>
      </c>
      <c r="N49" s="26" t="n">
        <f aca="false">SUMIF($B$6:$B$28,$B49,N$6:N$28)</f>
        <v>3</v>
      </c>
      <c r="O49" s="26" t="n">
        <f aca="false">SUMIF($B$6:$B$28,$B49,O$6:O$28)</f>
        <v>3</v>
      </c>
    </row>
    <row r="50" customFormat="false" ht="15" hidden="false" customHeight="true" outlineLevel="0" collapsed="false">
      <c r="B50" s="27" t="s">
        <v>270</v>
      </c>
      <c r="C50" s="27"/>
      <c r="D50" s="27"/>
      <c r="E50" s="26" t="n">
        <f aca="false">SUMIF($B$6:$B$28,$B50,E$6:E$28)</f>
        <v>0</v>
      </c>
      <c r="F50" s="26" t="n">
        <f aca="false">SUMIF($B$6:$B$28,$B50,F$6:F$28)</f>
        <v>0</v>
      </c>
      <c r="G50" s="26" t="n">
        <f aca="false">SUMIF($B$6:$B$28,$B50,G$6:G$28)</f>
        <v>0</v>
      </c>
      <c r="H50" s="26" t="n">
        <f aca="false">SUMIF($B$6:$B$28,$B50,H$6:H$28)</f>
        <v>0</v>
      </c>
      <c r="I50" s="26" t="n">
        <f aca="false">SUMIF($B$6:$B$28,$B50,I$6:I$28)</f>
        <v>0</v>
      </c>
      <c r="J50" s="26" t="n">
        <f aca="false">SUMIF($B$6:$B$28,$B50,J$6:J$28)</f>
        <v>0</v>
      </c>
      <c r="K50" s="26" t="n">
        <f aca="false">SUMIF($B$6:$B$28,$B50,K$6:K$28)</f>
        <v>0</v>
      </c>
      <c r="L50" s="26" t="n">
        <f aca="false">SUMIF($B$6:$B$28,$B50,L$6:L$28)</f>
        <v>0</v>
      </c>
      <c r="M50" s="26" t="n">
        <f aca="false">SUMIF($B$6:$B$28,$B50,M$6:M$28)</f>
        <v>1</v>
      </c>
      <c r="N50" s="26" t="n">
        <f aca="false">SUMIF($B$6:$B$28,$B50,N$6:N$28)</f>
        <v>0</v>
      </c>
      <c r="O50" s="26" t="n">
        <f aca="false">SUMIF($B$6:$B$28,$B50,O$6:O$28)</f>
        <v>0</v>
      </c>
    </row>
    <row r="51" customFormat="false" ht="15" hidden="false" customHeight="true" outlineLevel="0" collapsed="false">
      <c r="B51" s="27" t="s">
        <v>274</v>
      </c>
      <c r="C51" s="27"/>
      <c r="D51" s="27"/>
      <c r="E51" s="26" t="n">
        <f aca="false">SUMIF($B$6:$B$28,$B51,E$6:E$28)</f>
        <v>1</v>
      </c>
      <c r="F51" s="26" t="n">
        <f aca="false">SUMIF($B$6:$B$28,$B51,F$6:F$28)</f>
        <v>1</v>
      </c>
      <c r="G51" s="26" t="n">
        <f aca="false">SUMIF($B$6:$B$28,$B51,G$6:G$28)</f>
        <v>1</v>
      </c>
      <c r="H51" s="26" t="n">
        <f aca="false">SUMIF($B$6:$B$28,$B51,H$6:H$28)</f>
        <v>1</v>
      </c>
      <c r="I51" s="26" t="n">
        <f aca="false">SUMIF($B$6:$B$28,$B51,I$6:I$28)</f>
        <v>1</v>
      </c>
      <c r="J51" s="26" t="n">
        <f aca="false">SUMIF($B$6:$B$28,$B51,J$6:J$28)</f>
        <v>0</v>
      </c>
      <c r="K51" s="26" t="n">
        <f aca="false">SUMIF($B$6:$B$28,$B51,K$6:K$28)</f>
        <v>0</v>
      </c>
      <c r="L51" s="26" t="n">
        <f aca="false">SUMIF($B$6:$B$28,$B51,L$6:L$28)</f>
        <v>0</v>
      </c>
      <c r="M51" s="26" t="n">
        <f aca="false">SUMIF($B$6:$B$28,$B51,M$6:M$28)</f>
        <v>0</v>
      </c>
      <c r="N51" s="26" t="n">
        <f aca="false">SUMIF($B$6:$B$28,$B51,N$6:N$28)</f>
        <v>0</v>
      </c>
      <c r="O51" s="26" t="n">
        <f aca="false">SUMIF($B$6:$B$28,$B51,O$6:O$28)</f>
        <v>0</v>
      </c>
    </row>
    <row r="52" customFormat="false" ht="15" hidden="false" customHeight="true" outlineLevel="0" collapsed="false">
      <c r="B52" s="27" t="s">
        <v>278</v>
      </c>
      <c r="C52" s="27"/>
      <c r="D52" s="27"/>
      <c r="E52" s="26" t="n">
        <f aca="false">SUMIF($B$6:$B$28,$B52,E$6:E$28)</f>
        <v>0</v>
      </c>
      <c r="F52" s="26" t="n">
        <f aca="false">SUMIF($B$6:$B$28,$B52,F$6:F$28)</f>
        <v>0</v>
      </c>
      <c r="G52" s="26" t="n">
        <f aca="false">SUMIF($B$6:$B$28,$B52,G$6:G$28)</f>
        <v>0</v>
      </c>
      <c r="H52" s="26" t="n">
        <f aca="false">SUMIF($B$6:$B$28,$B52,H$6:H$28)</f>
        <v>0</v>
      </c>
      <c r="I52" s="26" t="n">
        <f aca="false">SUMIF($B$6:$B$28,$B52,I$6:I$28)</f>
        <v>0</v>
      </c>
      <c r="J52" s="26" t="n">
        <f aca="false">SUMIF($B$6:$B$28,$B52,J$6:J$28)</f>
        <v>0</v>
      </c>
      <c r="K52" s="26" t="n">
        <f aca="false">SUMIF($B$6:$B$28,$B52,K$6:K$28)</f>
        <v>0</v>
      </c>
      <c r="L52" s="26" t="n">
        <f aca="false">SUMIF($B$6:$B$28,$B52,L$6:L$28)</f>
        <v>0</v>
      </c>
      <c r="M52" s="26" t="n">
        <f aca="false">SUMIF($B$6:$B$28,$B52,M$6:M$28)</f>
        <v>0</v>
      </c>
      <c r="N52" s="26" t="n">
        <f aca="false">SUMIF($B$6:$B$28,$B52,N$6:N$28)</f>
        <v>4</v>
      </c>
      <c r="O52" s="26" t="n">
        <f aca="false">SUMIF($B$6:$B$28,$B52,O$6:O$28)</f>
        <v>4</v>
      </c>
    </row>
    <row r="54" customFormat="false" ht="15" hidden="false" customHeight="false" outlineLevel="0" collapsed="false">
      <c r="A54" s="6" t="s">
        <v>294</v>
      </c>
    </row>
    <row r="55" customFormat="false" ht="23.85" hidden="false" customHeight="false" outlineLevel="0" collapsed="false">
      <c r="A55" s="14" t="s">
        <v>197</v>
      </c>
      <c r="B55" s="14" t="s">
        <v>295</v>
      </c>
      <c r="C55" s="14" t="s">
        <v>296</v>
      </c>
      <c r="D55" s="14" t="s">
        <v>142</v>
      </c>
      <c r="E55" s="14" t="s">
        <v>297</v>
      </c>
      <c r="F55" s="14" t="s">
        <v>298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 t="s">
        <v>96</v>
      </c>
    </row>
    <row r="56" customFormat="false" ht="15" hidden="false" customHeight="false" outlineLevel="0" collapsed="false">
      <c r="A56" s="27" t="s">
        <v>299</v>
      </c>
      <c r="B56" s="27" t="s">
        <v>300</v>
      </c>
      <c r="C56" s="27" t="s">
        <v>301</v>
      </c>
      <c r="D56" s="27" t="s">
        <v>302</v>
      </c>
      <c r="E56" s="25" t="n">
        <v>3</v>
      </c>
      <c r="F56" s="26" t="n">
        <f aca="false">Parametros!$C$29</f>
        <v>60</v>
      </c>
      <c r="R56" s="27" t="s">
        <v>215</v>
      </c>
    </row>
    <row r="57" customFormat="false" ht="28.35" hidden="false" customHeight="false" outlineLevel="0" collapsed="false">
      <c r="A57" s="27" t="s">
        <v>303</v>
      </c>
      <c r="B57" s="27" t="s">
        <v>304</v>
      </c>
      <c r="C57" s="27" t="s">
        <v>305</v>
      </c>
      <c r="D57" s="27" t="s">
        <v>302</v>
      </c>
      <c r="E57" s="25" t="n">
        <v>6</v>
      </c>
      <c r="F57" s="26" t="n">
        <f aca="false">Parametros!$C$29</f>
        <v>60</v>
      </c>
      <c r="R57" s="27" t="s">
        <v>215</v>
      </c>
    </row>
    <row r="58" customFormat="false" ht="15" hidden="false" customHeight="false" outlineLevel="0" collapsed="false">
      <c r="A58" s="27" t="s">
        <v>306</v>
      </c>
      <c r="B58" s="27" t="s">
        <v>304</v>
      </c>
      <c r="C58" s="27" t="s">
        <v>255</v>
      </c>
      <c r="D58" s="27" t="s">
        <v>302</v>
      </c>
      <c r="E58" s="25" t="n">
        <v>3</v>
      </c>
      <c r="F58" s="26" t="n">
        <f aca="false">Parametros!$C$29</f>
        <v>60</v>
      </c>
      <c r="R58" s="27" t="s">
        <v>215</v>
      </c>
    </row>
    <row r="59" customFormat="false" ht="28.35" hidden="false" customHeight="false" outlineLevel="0" collapsed="false">
      <c r="A59" s="27" t="s">
        <v>307</v>
      </c>
      <c r="B59" s="27" t="s">
        <v>300</v>
      </c>
      <c r="C59" s="27" t="s">
        <v>308</v>
      </c>
      <c r="D59" s="27" t="s">
        <v>302</v>
      </c>
      <c r="E59" s="25" t="n">
        <v>3</v>
      </c>
      <c r="F59" s="26" t="n">
        <f aca="false">Parametros!$C$29</f>
        <v>60</v>
      </c>
      <c r="R59" s="27" t="s">
        <v>309</v>
      </c>
    </row>
    <row r="60" customFormat="false" ht="15" hidden="false" customHeight="false" outlineLevel="0" collapsed="false">
      <c r="A60" s="27" t="s">
        <v>310</v>
      </c>
      <c r="B60" s="27" t="s">
        <v>311</v>
      </c>
      <c r="C60" s="27" t="s">
        <v>312</v>
      </c>
      <c r="D60" s="27" t="s">
        <v>302</v>
      </c>
      <c r="E60" s="25" t="n">
        <v>2</v>
      </c>
      <c r="F60" s="26" t="n">
        <f aca="false">Parametros!$C$29</f>
        <v>60</v>
      </c>
      <c r="R60" s="27" t="s">
        <v>313</v>
      </c>
    </row>
    <row r="61" customFormat="false" ht="15" hidden="false" customHeight="false" outlineLevel="0" collapsed="false">
      <c r="A61" s="27" t="s">
        <v>314</v>
      </c>
      <c r="B61" s="27" t="s">
        <v>315</v>
      </c>
      <c r="C61" s="27" t="s">
        <v>316</v>
      </c>
      <c r="D61" s="27" t="s">
        <v>302</v>
      </c>
      <c r="E61" s="25" t="n">
        <v>2</v>
      </c>
      <c r="F61" s="26" t="n">
        <f aca="false">Parametros!$C$29</f>
        <v>60</v>
      </c>
      <c r="R61" s="27" t="s">
        <v>215</v>
      </c>
    </row>
    <row r="62" customFormat="false" ht="15" hidden="false" customHeight="false" outlineLevel="0" collapsed="false">
      <c r="A62" s="27" t="s">
        <v>317</v>
      </c>
      <c r="B62" s="27" t="s">
        <v>315</v>
      </c>
      <c r="C62" s="27" t="s">
        <v>238</v>
      </c>
      <c r="D62" s="27" t="s">
        <v>302</v>
      </c>
      <c r="E62" s="25" t="n">
        <v>1</v>
      </c>
      <c r="F62" s="26" t="n">
        <f aca="false">Parametros!$C$29</f>
        <v>60</v>
      </c>
      <c r="R62" s="27" t="s">
        <v>215</v>
      </c>
    </row>
    <row r="63" customFormat="false" ht="15" hidden="false" customHeight="false" outlineLevel="0" collapsed="false">
      <c r="A63" s="27" t="s">
        <v>318</v>
      </c>
      <c r="B63" s="27" t="s">
        <v>315</v>
      </c>
      <c r="C63" s="27" t="s">
        <v>240</v>
      </c>
      <c r="D63" s="27" t="s">
        <v>302</v>
      </c>
      <c r="E63" s="25" t="n">
        <v>1</v>
      </c>
      <c r="F63" s="26" t="n">
        <f aca="false">Parametros!$C$29</f>
        <v>60</v>
      </c>
      <c r="R63" s="27" t="s">
        <v>215</v>
      </c>
    </row>
    <row r="64" customFormat="false" ht="15" hidden="false" customHeight="false" outlineLevel="0" collapsed="false">
      <c r="A64" s="27" t="s">
        <v>319</v>
      </c>
      <c r="B64" s="27" t="s">
        <v>320</v>
      </c>
      <c r="C64" s="27" t="s">
        <v>321</v>
      </c>
      <c r="D64" s="27" t="s">
        <v>302</v>
      </c>
      <c r="E64" s="25" t="n">
        <v>1</v>
      </c>
      <c r="F64" s="26" t="n">
        <f aca="false">Parametros!$C$29</f>
        <v>60</v>
      </c>
      <c r="R64" s="27" t="s">
        <v>215</v>
      </c>
    </row>
    <row r="65" customFormat="false" ht="15" hidden="false" customHeight="false" outlineLevel="0" collapsed="false">
      <c r="A65" s="27" t="s">
        <v>322</v>
      </c>
      <c r="B65" s="27" t="s">
        <v>323</v>
      </c>
      <c r="C65" s="27" t="s">
        <v>249</v>
      </c>
      <c r="D65" s="27" t="s">
        <v>302</v>
      </c>
      <c r="E65" s="25" t="n">
        <v>3</v>
      </c>
      <c r="F65" s="26" t="n">
        <f aca="false">Parametros!$C$29</f>
        <v>60</v>
      </c>
      <c r="R65" s="27" t="s">
        <v>215</v>
      </c>
    </row>
    <row r="66" customFormat="false" ht="28.35" hidden="false" customHeight="false" outlineLevel="0" collapsed="false">
      <c r="A66" s="27" t="s">
        <v>324</v>
      </c>
      <c r="B66" s="27" t="s">
        <v>325</v>
      </c>
      <c r="C66" s="27" t="s">
        <v>326</v>
      </c>
      <c r="D66" s="27" t="s">
        <v>302</v>
      </c>
      <c r="E66" s="25" t="n">
        <v>6</v>
      </c>
      <c r="F66" s="26" t="n">
        <f aca="false">Parametros!$C$29</f>
        <v>60</v>
      </c>
      <c r="R66" s="27" t="s">
        <v>215</v>
      </c>
    </row>
    <row r="67" customFormat="false" ht="15" hidden="false" customHeight="false" outlineLevel="0" collapsed="false">
      <c r="A67" s="27" t="s">
        <v>327</v>
      </c>
      <c r="B67" s="27" t="s">
        <v>325</v>
      </c>
      <c r="C67" s="27" t="s">
        <v>267</v>
      </c>
      <c r="D67" s="27" t="s">
        <v>302</v>
      </c>
      <c r="E67" s="25" t="n">
        <v>3</v>
      </c>
      <c r="F67" s="26" t="n">
        <f aca="false">Parametros!$C$29</f>
        <v>60</v>
      </c>
      <c r="R67" s="27" t="s">
        <v>328</v>
      </c>
    </row>
    <row r="68" customFormat="false" ht="28.35" hidden="false" customHeight="false" outlineLevel="0" collapsed="false">
      <c r="A68" s="27" t="s">
        <v>329</v>
      </c>
      <c r="B68" s="27" t="s">
        <v>274</v>
      </c>
      <c r="C68" s="27" t="s">
        <v>275</v>
      </c>
      <c r="D68" s="27" t="s">
        <v>274</v>
      </c>
      <c r="E68" s="25" t="n">
        <v>1</v>
      </c>
      <c r="F68" s="26" t="n">
        <f aca="false">Parametros!$C$29</f>
        <v>60</v>
      </c>
      <c r="R68" s="27" t="s">
        <v>330</v>
      </c>
    </row>
    <row r="70" customFormat="false" ht="15" hidden="false" customHeight="false" outlineLevel="0" collapsed="false">
      <c r="C70" s="51" t="s">
        <v>285</v>
      </c>
      <c r="E70" s="47" t="n">
        <f aca="false">SUM(E56:E68)</f>
        <v>35</v>
      </c>
    </row>
    <row r="71" customFormat="false" ht="15" hidden="false" customHeight="false" outlineLevel="0" collapsed="false">
      <c r="C71" s="51" t="s">
        <v>286</v>
      </c>
      <c r="E71" s="48" t="n">
        <v>35</v>
      </c>
    </row>
    <row r="72" customFormat="false" ht="15" hidden="false" customHeight="false" outlineLevel="0" collapsed="false">
      <c r="C72" s="51" t="s">
        <v>288</v>
      </c>
      <c r="E72" s="49" t="str">
        <f aca="false">IF(E70=E71,"OK","REVISAR")</f>
        <v>OK</v>
      </c>
    </row>
    <row r="73" customFormat="false" ht="15" hidden="false" customHeight="false" outlineLevel="0" collapsed="false">
      <c r="C73" s="51" t="s">
        <v>291</v>
      </c>
      <c r="E73" s="47" t="n">
        <f aca="false">SUMPRODUCT(E56:E68,F56:F68)</f>
        <v>2100</v>
      </c>
    </row>
  </sheetData>
  <mergeCells count="14"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E33:O3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"REVISAR"</formula>
    </cfRule>
  </conditionalFormatting>
  <conditionalFormatting sqref="E72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10" t="s">
        <v>331</v>
      </c>
    </row>
    <row r="2" customFormat="false" ht="15" hidden="false" customHeight="false" outlineLevel="0" collapsed="false">
      <c r="A2" s="11" t="s">
        <v>34</v>
      </c>
    </row>
    <row r="4" customFormat="false" ht="15" hidden="false" customHeight="false" outlineLevel="0" collapsed="false">
      <c r="A4" s="12" t="s">
        <v>332</v>
      </c>
      <c r="B4" s="12" t="s">
        <v>333</v>
      </c>
      <c r="C4" s="12" t="s">
        <v>200</v>
      </c>
      <c r="D4" s="12" t="s">
        <v>201</v>
      </c>
      <c r="E4" s="12" t="s">
        <v>202</v>
      </c>
      <c r="F4" s="12" t="s">
        <v>203</v>
      </c>
      <c r="G4" s="12" t="s">
        <v>204</v>
      </c>
      <c r="H4" s="12" t="s">
        <v>205</v>
      </c>
      <c r="I4" s="12" t="s">
        <v>206</v>
      </c>
      <c r="J4" s="12" t="s">
        <v>207</v>
      </c>
      <c r="K4" s="12" t="s">
        <v>208</v>
      </c>
      <c r="L4" s="12" t="s">
        <v>209</v>
      </c>
      <c r="M4" s="12" t="s">
        <v>210</v>
      </c>
    </row>
    <row r="5" customFormat="false" ht="28.35" hidden="false" customHeight="false" outlineLevel="0" collapsed="false">
      <c r="A5" s="52" t="s">
        <v>62</v>
      </c>
      <c r="B5" s="29" t="s">
        <v>65</v>
      </c>
      <c r="C5" s="29" t="s">
        <v>66</v>
      </c>
      <c r="D5" s="29" t="s">
        <v>66</v>
      </c>
      <c r="E5" s="29" t="s">
        <v>66</v>
      </c>
      <c r="F5" s="29" t="s">
        <v>66</v>
      </c>
      <c r="G5" s="29" t="s">
        <v>66</v>
      </c>
      <c r="H5" s="29" t="s">
        <v>334</v>
      </c>
      <c r="I5" s="29" t="s">
        <v>334</v>
      </c>
      <c r="J5" s="29" t="s">
        <v>334</v>
      </c>
      <c r="K5" s="29" t="s">
        <v>334</v>
      </c>
      <c r="L5" s="29" t="str">
        <f aca="false">Parametros!$C$30</f>
        <v>Media técnica</v>
      </c>
      <c r="M5" s="29" t="str">
        <f aca="false">Parametros!$C$30</f>
        <v>Media técnica</v>
      </c>
    </row>
    <row r="6" customFormat="false" ht="15" hidden="false" customHeight="false" outlineLevel="0" collapsed="false">
      <c r="A6" s="52" t="s">
        <v>335</v>
      </c>
      <c r="B6" s="29" t="n">
        <f aca="false">Malla_2027!E70</f>
        <v>35</v>
      </c>
      <c r="C6" s="29" t="n">
        <f aca="false">Malla_2027!E30</f>
        <v>35</v>
      </c>
      <c r="D6" s="29" t="n">
        <f aca="false">Malla_2027!F30</f>
        <v>35</v>
      </c>
      <c r="E6" s="29" t="n">
        <f aca="false">Malla_2027!G30</f>
        <v>35</v>
      </c>
      <c r="F6" s="29" t="n">
        <f aca="false">Malla_2027!H30</f>
        <v>35</v>
      </c>
      <c r="G6" s="29" t="n">
        <f aca="false">Malla_2027!I30</f>
        <v>35</v>
      </c>
      <c r="H6" s="29" t="n">
        <f aca="false">Malla_2027!J30</f>
        <v>35</v>
      </c>
      <c r="I6" s="29" t="n">
        <f aca="false">Malla_2027!K30</f>
        <v>35</v>
      </c>
      <c r="J6" s="29" t="n">
        <f aca="false">Malla_2027!L30</f>
        <v>35</v>
      </c>
      <c r="K6" s="29" t="n">
        <f aca="false">Malla_2027!M30</f>
        <v>35</v>
      </c>
      <c r="L6" s="29" t="n">
        <f aca="false">Malla_2027!N30</f>
        <v>37</v>
      </c>
      <c r="M6" s="29" t="n">
        <f aca="false">Malla_2027!O30</f>
        <v>37</v>
      </c>
    </row>
    <row r="7" customFormat="false" ht="15" hidden="false" customHeight="false" outlineLevel="0" collapsed="false">
      <c r="A7" s="52" t="s">
        <v>336</v>
      </c>
      <c r="B7" s="29" t="n">
        <f aca="false">Malla_2027!E73</f>
        <v>2100</v>
      </c>
      <c r="C7" s="29" t="n">
        <f aca="false">Malla_2027!E36</f>
        <v>2100</v>
      </c>
      <c r="D7" s="29" t="n">
        <f aca="false">Malla_2027!F36</f>
        <v>2100</v>
      </c>
      <c r="E7" s="29" t="n">
        <f aca="false">Malla_2027!G36</f>
        <v>2100</v>
      </c>
      <c r="F7" s="29" t="n">
        <f aca="false">Malla_2027!H36</f>
        <v>2100</v>
      </c>
      <c r="G7" s="29" t="n">
        <f aca="false">Malla_2027!I36</f>
        <v>2100</v>
      </c>
      <c r="H7" s="29" t="n">
        <f aca="false">Malla_2027!J36</f>
        <v>2100</v>
      </c>
      <c r="I7" s="29" t="n">
        <f aca="false">Malla_2027!K36</f>
        <v>2100</v>
      </c>
      <c r="J7" s="29" t="n">
        <f aca="false">Malla_2027!L36</f>
        <v>2100</v>
      </c>
      <c r="K7" s="29" t="n">
        <f aca="false">Malla_2027!M36</f>
        <v>2100</v>
      </c>
      <c r="L7" s="29" t="n">
        <f aca="false">Malla_2027!N36</f>
        <v>2220</v>
      </c>
      <c r="M7" s="29" t="n">
        <f aca="false">Malla_2027!O36</f>
        <v>2220</v>
      </c>
    </row>
    <row r="8" customFormat="false" ht="15" hidden="false" customHeight="false" outlineLevel="0" collapsed="false">
      <c r="A8" s="52" t="s">
        <v>337</v>
      </c>
      <c r="B8" s="53" t="n">
        <f aca="false">B7/60</f>
        <v>35</v>
      </c>
      <c r="C8" s="53" t="n">
        <f aca="false">C7/60</f>
        <v>35</v>
      </c>
      <c r="D8" s="53" t="n">
        <f aca="false">D7/60</f>
        <v>35</v>
      </c>
      <c r="E8" s="53" t="n">
        <f aca="false">E7/60</f>
        <v>35</v>
      </c>
      <c r="F8" s="53" t="n">
        <f aca="false">F7/60</f>
        <v>35</v>
      </c>
      <c r="G8" s="53" t="n">
        <f aca="false">G7/60</f>
        <v>35</v>
      </c>
      <c r="H8" s="53" t="n">
        <f aca="false">H7/60</f>
        <v>35</v>
      </c>
      <c r="I8" s="53" t="n">
        <f aca="false">I7/60</f>
        <v>35</v>
      </c>
      <c r="J8" s="53" t="n">
        <f aca="false">J7/60</f>
        <v>35</v>
      </c>
      <c r="K8" s="53" t="n">
        <f aca="false">K7/60</f>
        <v>35</v>
      </c>
      <c r="L8" s="53" t="n">
        <f aca="false">L7/60</f>
        <v>37</v>
      </c>
      <c r="M8" s="53" t="n">
        <f aca="false">M7/60</f>
        <v>37</v>
      </c>
    </row>
    <row r="9" customFormat="false" ht="15" hidden="false" customHeight="false" outlineLevel="0" collapsed="false">
      <c r="A9" s="52" t="s">
        <v>338</v>
      </c>
      <c r="B9" s="29" t="n">
        <f aca="false">Parametros!$C$22</f>
        <v>20</v>
      </c>
      <c r="C9" s="29" t="n">
        <f aca="false">Parametros!$C$23</f>
        <v>25</v>
      </c>
      <c r="D9" s="29" t="n">
        <f aca="false">Parametros!$C$23</f>
        <v>25</v>
      </c>
      <c r="E9" s="29" t="n">
        <f aca="false">Parametros!$C$23</f>
        <v>25</v>
      </c>
      <c r="F9" s="29" t="n">
        <f aca="false">Parametros!$C$23</f>
        <v>25</v>
      </c>
      <c r="G9" s="29" t="n">
        <f aca="false">Parametros!$C$23</f>
        <v>25</v>
      </c>
      <c r="H9" s="29" t="n">
        <f aca="false">Parametros!$C$24</f>
        <v>30</v>
      </c>
      <c r="I9" s="29" t="n">
        <f aca="false">Parametros!$C$24</f>
        <v>30</v>
      </c>
      <c r="J9" s="29" t="n">
        <f aca="false">Parametros!$C$24</f>
        <v>30</v>
      </c>
      <c r="K9" s="29" t="n">
        <f aca="false">Parametros!$C$24</f>
        <v>30</v>
      </c>
      <c r="L9" s="29" t="n">
        <f aca="false">IF(Parametros!$C$30="Media técnica",Parametros!$C$31,Parametros!$C$24)</f>
        <v>37</v>
      </c>
      <c r="M9" s="29" t="n">
        <f aca="false">IF(Parametros!$C$30="Media técnica",Parametros!$C$31,Parametros!$C$24)</f>
        <v>37</v>
      </c>
    </row>
    <row r="10" customFormat="false" ht="15" hidden="false" customHeight="false" outlineLevel="0" collapsed="false">
      <c r="A10" s="52" t="s">
        <v>339</v>
      </c>
      <c r="B10" s="29" t="str">
        <f aca="false">IF(B8&gt;=B9,"Cumple","No cumple")</f>
        <v>Cumple</v>
      </c>
      <c r="C10" s="29" t="str">
        <f aca="false">IF(C8&gt;=C9,"Cumple","No cumple")</f>
        <v>Cumple</v>
      </c>
      <c r="D10" s="29" t="str">
        <f aca="false">IF(D8&gt;=D9,"Cumple","No cumple")</f>
        <v>Cumple</v>
      </c>
      <c r="E10" s="29" t="str">
        <f aca="false">IF(E8&gt;=E9,"Cumple","No cumple")</f>
        <v>Cumple</v>
      </c>
      <c r="F10" s="29" t="str">
        <f aca="false">IF(F8&gt;=F9,"Cumple","No cumple")</f>
        <v>Cumple</v>
      </c>
      <c r="G10" s="29" t="str">
        <f aca="false">IF(G8&gt;=G9,"Cumple","No cumple")</f>
        <v>Cumple</v>
      </c>
      <c r="H10" s="29" t="str">
        <f aca="false">IF(H8&gt;=H9,"Cumple","No cumple")</f>
        <v>Cumple</v>
      </c>
      <c r="I10" s="29" t="str">
        <f aca="false">IF(I8&gt;=I9,"Cumple","No cumple")</f>
        <v>Cumple</v>
      </c>
      <c r="J10" s="29" t="str">
        <f aca="false">IF(J8&gt;=J9,"Cumple","No cumple")</f>
        <v>Cumple</v>
      </c>
      <c r="K10" s="29" t="str">
        <f aca="false">IF(K8&gt;=K9,"Cumple","No cumple")</f>
        <v>Cumple</v>
      </c>
      <c r="L10" s="29" t="str">
        <f aca="false">IF(L8&gt;=L9,"Cumple","No cumple")</f>
        <v>Cumple</v>
      </c>
      <c r="M10" s="29" t="str">
        <f aca="false">IF(M8&gt;=M9,"Cumple","No cumple")</f>
        <v>Cumple</v>
      </c>
    </row>
    <row r="11" customFormat="false" ht="15" hidden="false" customHeight="false" outlineLevel="0" collapsed="false">
      <c r="A11" s="52" t="s">
        <v>340</v>
      </c>
      <c r="B11" s="53" t="n">
        <f aca="false">B8*Parametros!$C$11/5</f>
        <v>1330</v>
      </c>
      <c r="C11" s="53" t="n">
        <f aca="false">C8*Parametros!$C$11/5</f>
        <v>1330</v>
      </c>
      <c r="D11" s="53" t="n">
        <f aca="false">D8*Parametros!$C$11/5</f>
        <v>1330</v>
      </c>
      <c r="E11" s="53" t="n">
        <f aca="false">E8*Parametros!$C$11/5</f>
        <v>1330</v>
      </c>
      <c r="F11" s="53" t="n">
        <f aca="false">F8*Parametros!$C$11/5</f>
        <v>1330</v>
      </c>
      <c r="G11" s="53" t="n">
        <f aca="false">G8*Parametros!$C$11/5</f>
        <v>1330</v>
      </c>
      <c r="H11" s="53" t="n">
        <f aca="false">H8*Parametros!$C$11/5</f>
        <v>1330</v>
      </c>
      <c r="I11" s="53" t="n">
        <f aca="false">I8*Parametros!$C$11/5</f>
        <v>1330</v>
      </c>
      <c r="J11" s="53" t="n">
        <f aca="false">J8*Parametros!$C$11/5</f>
        <v>1330</v>
      </c>
      <c r="K11" s="53" t="n">
        <f aca="false">K8*Parametros!$C$11/5</f>
        <v>1330</v>
      </c>
      <c r="L11" s="53" t="n">
        <f aca="false">L8*Parametros!$C$11/5</f>
        <v>1406</v>
      </c>
      <c r="M11" s="53" t="n">
        <f aca="false">M8*Parametros!$C$11/5</f>
        <v>1406</v>
      </c>
    </row>
    <row r="12" customFormat="false" ht="15" hidden="false" customHeight="false" outlineLevel="0" collapsed="false">
      <c r="A12" s="52" t="s">
        <v>341</v>
      </c>
      <c r="B12" s="53" t="n">
        <f aca="false">B8*Parametros!$C$12/5</f>
        <v>1400</v>
      </c>
      <c r="C12" s="53" t="n">
        <f aca="false">C8*Parametros!$C$12/5</f>
        <v>1400</v>
      </c>
      <c r="D12" s="53" t="n">
        <f aca="false">D8*Parametros!$C$12/5</f>
        <v>1400</v>
      </c>
      <c r="E12" s="53" t="n">
        <f aca="false">E8*Parametros!$C$12/5</f>
        <v>1400</v>
      </c>
      <c r="F12" s="53" t="n">
        <f aca="false">F8*Parametros!$C$12/5</f>
        <v>1400</v>
      </c>
      <c r="G12" s="53" t="n">
        <f aca="false">G8*Parametros!$C$12/5</f>
        <v>1400</v>
      </c>
      <c r="H12" s="53" t="n">
        <f aca="false">H8*Parametros!$C$12/5</f>
        <v>1400</v>
      </c>
      <c r="I12" s="53" t="n">
        <f aca="false">I8*Parametros!$C$12/5</f>
        <v>1400</v>
      </c>
      <c r="J12" s="53" t="n">
        <f aca="false">J8*Parametros!$C$12/5</f>
        <v>1400</v>
      </c>
      <c r="K12" s="53" t="n">
        <f aca="false">K8*Parametros!$C$12/5</f>
        <v>1400</v>
      </c>
      <c r="L12" s="53" t="n">
        <f aca="false">L8*Parametros!$C$12/5</f>
        <v>1480</v>
      </c>
      <c r="M12" s="53" t="n">
        <f aca="false">M8*Parametros!$C$12/5</f>
        <v>1480</v>
      </c>
    </row>
    <row r="13" customFormat="false" ht="15" hidden="false" customHeight="false" outlineLevel="0" collapsed="false">
      <c r="A13" s="52" t="s">
        <v>342</v>
      </c>
      <c r="B13" s="29" t="n">
        <f aca="false">Parametros!$D$22</f>
        <v>800</v>
      </c>
      <c r="C13" s="29" t="n">
        <f aca="false">Parametros!$D$23</f>
        <v>1000</v>
      </c>
      <c r="D13" s="29" t="n">
        <f aca="false">Parametros!$D$23</f>
        <v>1000</v>
      </c>
      <c r="E13" s="29" t="n">
        <f aca="false">Parametros!$D$23</f>
        <v>1000</v>
      </c>
      <c r="F13" s="29" t="n">
        <f aca="false">Parametros!$D$23</f>
        <v>1000</v>
      </c>
      <c r="G13" s="29" t="n">
        <f aca="false">Parametros!$D$23</f>
        <v>1000</v>
      </c>
      <c r="H13" s="29" t="n">
        <f aca="false">Parametros!$D$24</f>
        <v>1200</v>
      </c>
      <c r="I13" s="29" t="n">
        <f aca="false">Parametros!$D$24</f>
        <v>1200</v>
      </c>
      <c r="J13" s="29" t="n">
        <f aca="false">Parametros!$D$24</f>
        <v>1200</v>
      </c>
      <c r="K13" s="29" t="n">
        <f aca="false">Parametros!$D$24</f>
        <v>1200</v>
      </c>
      <c r="L13" s="29" t="n">
        <f aca="false">IF(Parametros!$C$30="Media técnica",Parametros!$D$31,Parametros!$D$24)</f>
        <v>1480</v>
      </c>
      <c r="M13" s="29" t="n">
        <f aca="false">IF(Parametros!$C$30="Media técnica",Parametros!$D$31,Parametros!$D$24)</f>
        <v>1480</v>
      </c>
    </row>
    <row r="14" customFormat="false" ht="15" hidden="false" customHeight="false" outlineLevel="0" collapsed="false">
      <c r="A14" s="52" t="s">
        <v>343</v>
      </c>
      <c r="B14" s="29" t="str">
        <f aca="false">IF(B11&gt;=B13,"Cumple","No cumple")</f>
        <v>Cumple</v>
      </c>
      <c r="C14" s="29" t="str">
        <f aca="false">IF(C11&gt;=C13,"Cumple","No cumple")</f>
        <v>Cumple</v>
      </c>
      <c r="D14" s="29" t="str">
        <f aca="false">IF(D11&gt;=D13,"Cumple","No cumple")</f>
        <v>Cumple</v>
      </c>
      <c r="E14" s="29" t="str">
        <f aca="false">IF(E11&gt;=E13,"Cumple","No cumple")</f>
        <v>Cumple</v>
      </c>
      <c r="F14" s="29" t="str">
        <f aca="false">IF(F11&gt;=F13,"Cumple","No cumple")</f>
        <v>Cumple</v>
      </c>
      <c r="G14" s="29" t="str">
        <f aca="false">IF(G11&gt;=G13,"Cumple","No cumple")</f>
        <v>Cumple</v>
      </c>
      <c r="H14" s="29" t="str">
        <f aca="false">IF(H11&gt;=H13,"Cumple","No cumple")</f>
        <v>Cumple</v>
      </c>
      <c r="I14" s="29" t="str">
        <f aca="false">IF(I11&gt;=I13,"Cumple","No cumple")</f>
        <v>Cumple</v>
      </c>
      <c r="J14" s="29" t="str">
        <f aca="false">IF(J11&gt;=J13,"Cumple","No cumple")</f>
        <v>Cumple</v>
      </c>
      <c r="K14" s="29" t="str">
        <f aca="false">IF(K11&gt;=K13,"Cumple","No cumple")</f>
        <v>Cumple</v>
      </c>
      <c r="L14" s="29" t="str">
        <f aca="false">IF(L11&gt;=L13,"Cumple","No cumple")</f>
        <v>No cumple</v>
      </c>
      <c r="M14" s="29" t="str">
        <f aca="false">IF(M11&gt;=M13,"Cumple","No cumple")</f>
        <v>No cumple</v>
      </c>
    </row>
    <row r="15" customFormat="false" ht="15" hidden="false" customHeight="false" outlineLevel="0" collapsed="false">
      <c r="A15" s="52" t="s">
        <v>344</v>
      </c>
      <c r="B15" s="29" t="str">
        <f aca="false">IF(B12&gt;=B13,"Cumple","No cumple")</f>
        <v>Cumple</v>
      </c>
      <c r="C15" s="29" t="str">
        <f aca="false">IF(C12&gt;=C13,"Cumple","No cumple")</f>
        <v>Cumple</v>
      </c>
      <c r="D15" s="29" t="str">
        <f aca="false">IF(D12&gt;=D13,"Cumple","No cumple")</f>
        <v>Cumple</v>
      </c>
      <c r="E15" s="29" t="str">
        <f aca="false">IF(E12&gt;=E13,"Cumple","No cumple")</f>
        <v>Cumple</v>
      </c>
      <c r="F15" s="29" t="str">
        <f aca="false">IF(F12&gt;=F13,"Cumple","No cumple")</f>
        <v>Cumple</v>
      </c>
      <c r="G15" s="29" t="str">
        <f aca="false">IF(G12&gt;=G13,"Cumple","No cumple")</f>
        <v>Cumple</v>
      </c>
      <c r="H15" s="29" t="str">
        <f aca="false">IF(H12&gt;=H13,"Cumple","No cumple")</f>
        <v>Cumple</v>
      </c>
      <c r="I15" s="29" t="str">
        <f aca="false">IF(I12&gt;=I13,"Cumple","No cumple")</f>
        <v>Cumple</v>
      </c>
      <c r="J15" s="29" t="str">
        <f aca="false">IF(J12&gt;=J13,"Cumple","No cumple")</f>
        <v>Cumple</v>
      </c>
      <c r="K15" s="29" t="str">
        <f aca="false">IF(K12&gt;=K13,"Cumple","No cumple")</f>
        <v>Cumple</v>
      </c>
      <c r="L15" s="29" t="str">
        <f aca="false">IF(L12&gt;=L13,"Cumple","No cumple")</f>
        <v>Cumple</v>
      </c>
      <c r="M15" s="29" t="str">
        <f aca="false">IF(M12&gt;=M13,"Cumple","No cumple")</f>
        <v>Cumple</v>
      </c>
    </row>
    <row r="16" customFormat="false" ht="15" hidden="false" customHeight="false" outlineLevel="0" collapsed="false">
      <c r="A16" s="52" t="s">
        <v>345</v>
      </c>
      <c r="B16" s="29" t="n">
        <f aca="false">ROUNDUP(B13/(B8/5),0)</f>
        <v>115</v>
      </c>
      <c r="C16" s="29" t="n">
        <f aca="false">ROUNDUP(C13/(C8/5),0)</f>
        <v>143</v>
      </c>
      <c r="D16" s="29" t="n">
        <f aca="false">ROUNDUP(D13/(D8/5),0)</f>
        <v>143</v>
      </c>
      <c r="E16" s="29" t="n">
        <f aca="false">ROUNDUP(E13/(E8/5),0)</f>
        <v>143</v>
      </c>
      <c r="F16" s="29" t="n">
        <f aca="false">ROUNDUP(F13/(F8/5),0)</f>
        <v>143</v>
      </c>
      <c r="G16" s="29" t="n">
        <f aca="false">ROUNDUP(G13/(G8/5),0)</f>
        <v>143</v>
      </c>
      <c r="H16" s="29" t="n">
        <f aca="false">ROUNDUP(H13/(H8/5),0)</f>
        <v>172</v>
      </c>
      <c r="I16" s="29" t="n">
        <f aca="false">ROUNDUP(I13/(I8/5),0)</f>
        <v>172</v>
      </c>
      <c r="J16" s="29" t="n">
        <f aca="false">ROUNDUP(J13/(J8/5),0)</f>
        <v>172</v>
      </c>
      <c r="K16" s="29" t="n">
        <f aca="false">ROUNDUP(K13/(K8/5),0)</f>
        <v>172</v>
      </c>
      <c r="L16" s="29" t="n">
        <f aca="false">ROUNDUP(L13/(L8/5),0)</f>
        <v>200</v>
      </c>
      <c r="M16" s="29" t="n">
        <f aca="false">ROUNDUP(M13/(M8/5),0)</f>
        <v>200</v>
      </c>
    </row>
    <row r="17" customFormat="false" ht="15" hidden="false" customHeight="false" outlineLevel="0" collapsed="false">
      <c r="A17" s="52" t="s">
        <v>289</v>
      </c>
      <c r="B17" s="29" t="str">
        <f aca="false">"No aplica"</f>
        <v>No aplica</v>
      </c>
      <c r="C17" s="29" t="n">
        <f aca="false">Malla_2027!E34</f>
        <v>34</v>
      </c>
      <c r="D17" s="29" t="n">
        <f aca="false">Malla_2027!F34</f>
        <v>34</v>
      </c>
      <c r="E17" s="29" t="n">
        <f aca="false">Malla_2027!G34</f>
        <v>34</v>
      </c>
      <c r="F17" s="29" t="n">
        <f aca="false">Malla_2027!H34</f>
        <v>34</v>
      </c>
      <c r="G17" s="29" t="n">
        <f aca="false">Malla_2027!I34</f>
        <v>34</v>
      </c>
      <c r="H17" s="29" t="n">
        <f aca="false">Malla_2027!J34</f>
        <v>35</v>
      </c>
      <c r="I17" s="29" t="n">
        <f aca="false">Malla_2027!K34</f>
        <v>35</v>
      </c>
      <c r="J17" s="29" t="n">
        <f aca="false">Malla_2027!L34</f>
        <v>35</v>
      </c>
      <c r="K17" s="29" t="n">
        <f aca="false">Malla_2027!M34</f>
        <v>34</v>
      </c>
      <c r="L17" s="29" t="n">
        <f aca="false">Malla_2027!N34</f>
        <v>33</v>
      </c>
      <c r="M17" s="29" t="n">
        <f aca="false">Malla_2027!O34</f>
        <v>33</v>
      </c>
    </row>
    <row r="18" customFormat="false" ht="15" hidden="false" customHeight="false" outlineLevel="0" collapsed="false">
      <c r="A18" s="52" t="s">
        <v>346</v>
      </c>
      <c r="B18" s="53" t="str">
        <f aca="false">"No aplica"</f>
        <v>No aplica</v>
      </c>
      <c r="C18" s="53" t="n">
        <f aca="false">C17*Parametros!$C$29/60</f>
        <v>34</v>
      </c>
      <c r="D18" s="53" t="n">
        <f aca="false">D17*Parametros!$C$29/60</f>
        <v>34</v>
      </c>
      <c r="E18" s="53" t="n">
        <f aca="false">E17*Parametros!$C$29/60</f>
        <v>34</v>
      </c>
      <c r="F18" s="53" t="n">
        <f aca="false">F17*Parametros!$C$29/60</f>
        <v>34</v>
      </c>
      <c r="G18" s="53" t="n">
        <f aca="false">G17*Parametros!$C$29/60</f>
        <v>34</v>
      </c>
      <c r="H18" s="53" t="n">
        <f aca="false">H17*Parametros!$C$29/60</f>
        <v>35</v>
      </c>
      <c r="I18" s="53" t="n">
        <f aca="false">I17*Parametros!$C$29/60</f>
        <v>35</v>
      </c>
      <c r="J18" s="53" t="n">
        <f aca="false">J17*Parametros!$C$29/60</f>
        <v>35</v>
      </c>
      <c r="K18" s="53" t="n">
        <f aca="false">K17*Parametros!$C$29/60</f>
        <v>34</v>
      </c>
      <c r="L18" s="53" t="n">
        <f aca="false">L17*Parametros!$C$29/60</f>
        <v>33</v>
      </c>
      <c r="M18" s="53" t="n">
        <f aca="false">M17*Parametros!$C$29/60</f>
        <v>33</v>
      </c>
    </row>
    <row r="19" customFormat="false" ht="15" hidden="false" customHeight="false" outlineLevel="0" collapsed="false">
      <c r="A19" s="52" t="s">
        <v>347</v>
      </c>
      <c r="B19" s="53" t="str">
        <f aca="false">"No aplica"</f>
        <v>No aplica</v>
      </c>
      <c r="C19" s="53" t="n">
        <f aca="false">C9*Parametros!$C$25</f>
        <v>20</v>
      </c>
      <c r="D19" s="53" t="n">
        <f aca="false">D9*Parametros!$C$25</f>
        <v>20</v>
      </c>
      <c r="E19" s="53" t="n">
        <f aca="false">E9*Parametros!$C$25</f>
        <v>20</v>
      </c>
      <c r="F19" s="53" t="n">
        <f aca="false">F9*Parametros!$C$25</f>
        <v>20</v>
      </c>
      <c r="G19" s="53" t="n">
        <f aca="false">G9*Parametros!$C$25</f>
        <v>20</v>
      </c>
      <c r="H19" s="53" t="n">
        <f aca="false">H9*Parametros!$C$25</f>
        <v>24</v>
      </c>
      <c r="I19" s="53" t="n">
        <f aca="false">I9*Parametros!$C$25</f>
        <v>24</v>
      </c>
      <c r="J19" s="53" t="n">
        <f aca="false">J9*Parametros!$C$25</f>
        <v>24</v>
      </c>
      <c r="K19" s="53" t="n">
        <f aca="false">K9*Parametros!$C$25</f>
        <v>24</v>
      </c>
      <c r="L19" s="53" t="n">
        <f aca="false">L9*Parametros!$C$25</f>
        <v>29.6</v>
      </c>
      <c r="M19" s="53" t="n">
        <f aca="false">M9*Parametros!$C$25</f>
        <v>29.6</v>
      </c>
    </row>
    <row r="20" customFormat="false" ht="15" hidden="false" customHeight="false" outlineLevel="0" collapsed="false">
      <c r="A20" s="52" t="s">
        <v>348</v>
      </c>
      <c r="B20" s="29" t="str">
        <f aca="false">"No aplica"</f>
        <v>No aplica</v>
      </c>
      <c r="C20" s="29" t="str">
        <f aca="false">IF(C18&gt;=C19,"Cumple","No cumple")</f>
        <v>Cumple</v>
      </c>
      <c r="D20" s="29" t="str">
        <f aca="false">IF(D18&gt;=D19,"Cumple","No cumple")</f>
        <v>Cumple</v>
      </c>
      <c r="E20" s="29" t="str">
        <f aca="false">IF(E18&gt;=E19,"Cumple","No cumple")</f>
        <v>Cumple</v>
      </c>
      <c r="F20" s="29" t="str">
        <f aca="false">IF(F18&gt;=F19,"Cumple","No cumple")</f>
        <v>Cumple</v>
      </c>
      <c r="G20" s="29" t="str">
        <f aca="false">IF(G18&gt;=G19,"Cumple","No cumple")</f>
        <v>Cumple</v>
      </c>
      <c r="H20" s="29" t="str">
        <f aca="false">IF(H18&gt;=H19,"Cumple","No cumple")</f>
        <v>Cumple</v>
      </c>
      <c r="I20" s="29" t="str">
        <f aca="false">IF(I18&gt;=I19,"Cumple","No cumple")</f>
        <v>Cumple</v>
      </c>
      <c r="J20" s="29" t="str">
        <f aca="false">IF(J18&gt;=J19,"Cumple","No cumple")</f>
        <v>Cumple</v>
      </c>
      <c r="K20" s="29" t="str">
        <f aca="false">IF(K18&gt;=K19,"Cumple","No cumple")</f>
        <v>Cumple</v>
      </c>
      <c r="L20" s="29" t="str">
        <f aca="false">IF(L18&gt;=L19,"Cumple","No cumple")</f>
        <v>Cumple</v>
      </c>
      <c r="M20" s="29" t="str">
        <f aca="false">IF(M18&gt;=M19,"Cumple","No cumple")</f>
        <v>Cumple</v>
      </c>
    </row>
    <row r="21" customFormat="false" ht="15" hidden="false" customHeight="false" outlineLevel="0" collapsed="false">
      <c r="A21" s="52" t="s">
        <v>349</v>
      </c>
      <c r="B21" s="54" t="str">
        <f aca="false">"No aplica"</f>
        <v>No aplica</v>
      </c>
      <c r="C21" s="54" t="n">
        <f aca="false">Malla_2027!E35</f>
        <v>0.971428571428571</v>
      </c>
      <c r="D21" s="54" t="n">
        <f aca="false">Malla_2027!F35</f>
        <v>0.971428571428571</v>
      </c>
      <c r="E21" s="54" t="n">
        <f aca="false">Malla_2027!G35</f>
        <v>0.971428571428571</v>
      </c>
      <c r="F21" s="54" t="n">
        <f aca="false">Malla_2027!H35</f>
        <v>0.971428571428571</v>
      </c>
      <c r="G21" s="54" t="n">
        <f aca="false">Malla_2027!I35</f>
        <v>0.971428571428571</v>
      </c>
      <c r="H21" s="54" t="n">
        <f aca="false">Malla_2027!J35</f>
        <v>1</v>
      </c>
      <c r="I21" s="54" t="n">
        <f aca="false">Malla_2027!K35</f>
        <v>1</v>
      </c>
      <c r="J21" s="54" t="n">
        <f aca="false">Malla_2027!L35</f>
        <v>1</v>
      </c>
      <c r="K21" s="54" t="n">
        <f aca="false">Malla_2027!M35</f>
        <v>0.971428571428571</v>
      </c>
      <c r="L21" s="54" t="n">
        <f aca="false">Malla_2027!N35</f>
        <v>0.891891891891892</v>
      </c>
      <c r="M21" s="54" t="n">
        <f aca="false">Malla_2027!O35</f>
        <v>0.891891891891892</v>
      </c>
    </row>
    <row r="24" customFormat="false" ht="15" hidden="false" customHeight="true" outlineLevel="0" collapsed="false">
      <c r="A24" s="55" t="s">
        <v>350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</row>
    <row r="25" customFormat="false" ht="15" hidden="false" customHeight="false" outlineLevel="0" collapsed="false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</row>
    <row r="26" customFormat="false" ht="15" hidden="false" customHeight="false" outlineLevel="0" collapsed="false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  <row r="27" customFormat="false" ht="15" hidden="false" customHeight="false" outlineLevel="0" collapsed="false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</row>
  </sheetData>
  <mergeCells count="1">
    <mergeCell ref="A24:M27"/>
  </mergeCells>
  <conditionalFormatting sqref="B5:M21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R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12" min="9" style="0" width="8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18" min="18" style="0" width="18"/>
  </cols>
  <sheetData>
    <row r="1" customFormat="false" ht="17.35" hidden="false" customHeight="false" outlineLevel="0" collapsed="false">
      <c r="A1" s="10" t="s">
        <v>351</v>
      </c>
    </row>
    <row r="2" customFormat="false" ht="15" hidden="false" customHeight="false" outlineLevel="0" collapsed="false">
      <c r="A2" s="11" t="s">
        <v>34</v>
      </c>
    </row>
    <row r="3" customFormat="false" ht="15" hidden="false" customHeight="false" outlineLevel="0" collapsed="false">
      <c r="A3" s="23" t="s">
        <v>352</v>
      </c>
    </row>
    <row r="4" customFormat="false" ht="57.45" hidden="false" customHeight="false" outlineLevel="0" collapsed="false">
      <c r="A4" s="12" t="s">
        <v>353</v>
      </c>
      <c r="B4" s="12" t="s">
        <v>354</v>
      </c>
      <c r="C4" s="12" t="s">
        <v>62</v>
      </c>
      <c r="D4" s="12" t="s">
        <v>355</v>
      </c>
      <c r="E4" s="12" t="s">
        <v>356</v>
      </c>
      <c r="F4" s="12" t="s">
        <v>357</v>
      </c>
      <c r="G4" s="12" t="s">
        <v>142</v>
      </c>
      <c r="H4" s="12" t="s">
        <v>63</v>
      </c>
      <c r="I4" s="12" t="s">
        <v>358</v>
      </c>
      <c r="J4" s="12" t="s">
        <v>359</v>
      </c>
      <c r="K4" s="12" t="s">
        <v>360</v>
      </c>
      <c r="L4" s="12" t="s">
        <v>361</v>
      </c>
      <c r="M4" s="12" t="s">
        <v>362</v>
      </c>
      <c r="N4" s="12" t="s">
        <v>363</v>
      </c>
      <c r="O4" s="12" t="s">
        <v>364</v>
      </c>
      <c r="P4" s="12" t="s">
        <v>365</v>
      </c>
      <c r="Q4" s="12" t="s">
        <v>5</v>
      </c>
      <c r="R4" s="12" t="s">
        <v>366</v>
      </c>
    </row>
    <row r="5" customFormat="false" ht="28.35" hidden="false" customHeight="false" outlineLevel="0" collapsed="false">
      <c r="A5" s="26" t="n">
        <v>1</v>
      </c>
      <c r="B5" s="26" t="s">
        <v>299</v>
      </c>
      <c r="C5" s="26" t="s">
        <v>65</v>
      </c>
      <c r="D5" s="26" t="s">
        <v>333</v>
      </c>
      <c r="E5" s="27" t="s">
        <v>300</v>
      </c>
      <c r="F5" s="27" t="s">
        <v>301</v>
      </c>
      <c r="G5" s="27" t="s">
        <v>302</v>
      </c>
      <c r="H5" s="26" t="n">
        <f aca="false">Malla_2027!E56</f>
        <v>3</v>
      </c>
      <c r="I5" s="26" t="n">
        <f aca="false">H5*Parametros!$C$14</f>
        <v>30</v>
      </c>
      <c r="J5" s="26" t="n">
        <f aca="false">H5*Parametros!$C$15</f>
        <v>27</v>
      </c>
      <c r="K5" s="26" t="n">
        <f aca="false">H5*Parametros!$C$16</f>
        <v>27</v>
      </c>
      <c r="L5" s="26" t="n">
        <f aca="false">H5*Parametros!$C$17</f>
        <v>27</v>
      </c>
      <c r="M5" s="26" t="n">
        <f aca="false">SUM(I5:L5)</f>
        <v>111</v>
      </c>
      <c r="N5" s="53" t="n">
        <f aca="false">M5*Parametros!$C$29/60</f>
        <v>111</v>
      </c>
      <c r="O5" s="26" t="n">
        <f aca="false">ROUNDDOWN(M5*Parametros!$C$26,0)</f>
        <v>22</v>
      </c>
      <c r="P5" s="26" t="n">
        <f aca="false">M5-O5</f>
        <v>89</v>
      </c>
      <c r="Q5" s="26" t="s">
        <v>367</v>
      </c>
      <c r="R5" s="26" t="s">
        <v>368</v>
      </c>
    </row>
    <row r="6" customFormat="false" ht="28.35" hidden="false" customHeight="false" outlineLevel="0" collapsed="false">
      <c r="A6" s="26" t="n">
        <v>2</v>
      </c>
      <c r="B6" s="26" t="s">
        <v>303</v>
      </c>
      <c r="C6" s="26" t="s">
        <v>65</v>
      </c>
      <c r="D6" s="26" t="s">
        <v>333</v>
      </c>
      <c r="E6" s="27" t="s">
        <v>304</v>
      </c>
      <c r="F6" s="27" t="s">
        <v>305</v>
      </c>
      <c r="G6" s="27" t="s">
        <v>302</v>
      </c>
      <c r="H6" s="26" t="n">
        <f aca="false">Malla_2027!E57</f>
        <v>6</v>
      </c>
      <c r="I6" s="26" t="n">
        <f aca="false">H6*Parametros!$C$14</f>
        <v>60</v>
      </c>
      <c r="J6" s="26" t="n">
        <f aca="false">H6*Parametros!$C$15</f>
        <v>54</v>
      </c>
      <c r="K6" s="26" t="n">
        <f aca="false">H6*Parametros!$C$16</f>
        <v>54</v>
      </c>
      <c r="L6" s="26" t="n">
        <f aca="false">H6*Parametros!$C$17</f>
        <v>54</v>
      </c>
      <c r="M6" s="26" t="n">
        <f aca="false">SUM(I6:L6)</f>
        <v>222</v>
      </c>
      <c r="N6" s="53" t="n">
        <f aca="false">M6*Parametros!$C$29/60</f>
        <v>222</v>
      </c>
      <c r="O6" s="26" t="n">
        <f aca="false">ROUNDDOWN(M6*Parametros!$C$26,0)</f>
        <v>44</v>
      </c>
      <c r="P6" s="26" t="n">
        <f aca="false">M6-O6</f>
        <v>178</v>
      </c>
      <c r="Q6" s="26" t="s">
        <v>367</v>
      </c>
      <c r="R6" s="26" t="s">
        <v>368</v>
      </c>
    </row>
    <row r="7" customFormat="false" ht="28.35" hidden="false" customHeight="false" outlineLevel="0" collapsed="false">
      <c r="A7" s="26" t="n">
        <v>3</v>
      </c>
      <c r="B7" s="26" t="s">
        <v>306</v>
      </c>
      <c r="C7" s="26" t="s">
        <v>65</v>
      </c>
      <c r="D7" s="26" t="s">
        <v>333</v>
      </c>
      <c r="E7" s="27" t="s">
        <v>304</v>
      </c>
      <c r="F7" s="27" t="s">
        <v>255</v>
      </c>
      <c r="G7" s="27" t="s">
        <v>302</v>
      </c>
      <c r="H7" s="26" t="n">
        <f aca="false">Malla_2027!E58</f>
        <v>3</v>
      </c>
      <c r="I7" s="26" t="n">
        <f aca="false">H7*Parametros!$C$14</f>
        <v>30</v>
      </c>
      <c r="J7" s="26" t="n">
        <f aca="false">H7*Parametros!$C$15</f>
        <v>27</v>
      </c>
      <c r="K7" s="26" t="n">
        <f aca="false">H7*Parametros!$C$16</f>
        <v>27</v>
      </c>
      <c r="L7" s="26" t="n">
        <f aca="false">H7*Parametros!$C$17</f>
        <v>27</v>
      </c>
      <c r="M7" s="26" t="n">
        <f aca="false">SUM(I7:L7)</f>
        <v>111</v>
      </c>
      <c r="N7" s="53" t="n">
        <f aca="false">M7*Parametros!$C$29/60</f>
        <v>111</v>
      </c>
      <c r="O7" s="26" t="n">
        <f aca="false">ROUNDDOWN(M7*Parametros!$C$26,0)</f>
        <v>22</v>
      </c>
      <c r="P7" s="26" t="n">
        <f aca="false">M7-O7</f>
        <v>89</v>
      </c>
      <c r="Q7" s="26" t="s">
        <v>367</v>
      </c>
      <c r="R7" s="26" t="s">
        <v>368</v>
      </c>
    </row>
    <row r="8" customFormat="false" ht="28.35" hidden="false" customHeight="false" outlineLevel="0" collapsed="false">
      <c r="A8" s="26" t="n">
        <v>4</v>
      </c>
      <c r="B8" s="26" t="s">
        <v>307</v>
      </c>
      <c r="C8" s="26" t="s">
        <v>65</v>
      </c>
      <c r="D8" s="26" t="s">
        <v>333</v>
      </c>
      <c r="E8" s="27" t="s">
        <v>300</v>
      </c>
      <c r="F8" s="27" t="s">
        <v>308</v>
      </c>
      <c r="G8" s="27" t="s">
        <v>302</v>
      </c>
      <c r="H8" s="26" t="n">
        <f aca="false">Malla_2027!E59</f>
        <v>3</v>
      </c>
      <c r="I8" s="26" t="n">
        <f aca="false">H8*Parametros!$C$14</f>
        <v>30</v>
      </c>
      <c r="J8" s="26" t="n">
        <f aca="false">H8*Parametros!$C$15</f>
        <v>27</v>
      </c>
      <c r="K8" s="26" t="n">
        <f aca="false">H8*Parametros!$C$16</f>
        <v>27</v>
      </c>
      <c r="L8" s="26" t="n">
        <f aca="false">H8*Parametros!$C$17</f>
        <v>27</v>
      </c>
      <c r="M8" s="26" t="n">
        <f aca="false">SUM(I8:L8)</f>
        <v>111</v>
      </c>
      <c r="N8" s="53" t="n">
        <f aca="false">M8*Parametros!$C$29/60</f>
        <v>111</v>
      </c>
      <c r="O8" s="26" t="n">
        <f aca="false">ROUNDDOWN(M8*Parametros!$C$26,0)</f>
        <v>22</v>
      </c>
      <c r="P8" s="26" t="n">
        <f aca="false">M8-O8</f>
        <v>89</v>
      </c>
      <c r="Q8" s="26" t="s">
        <v>367</v>
      </c>
      <c r="R8" s="26" t="s">
        <v>368</v>
      </c>
    </row>
    <row r="9" customFormat="false" ht="28.35" hidden="false" customHeight="false" outlineLevel="0" collapsed="false">
      <c r="A9" s="26" t="n">
        <v>5</v>
      </c>
      <c r="B9" s="26" t="s">
        <v>310</v>
      </c>
      <c r="C9" s="26" t="s">
        <v>65</v>
      </c>
      <c r="D9" s="26" t="s">
        <v>333</v>
      </c>
      <c r="E9" s="27" t="s">
        <v>311</v>
      </c>
      <c r="F9" s="27" t="s">
        <v>312</v>
      </c>
      <c r="G9" s="27" t="s">
        <v>302</v>
      </c>
      <c r="H9" s="26" t="n">
        <f aca="false">Malla_2027!E60</f>
        <v>2</v>
      </c>
      <c r="I9" s="26" t="n">
        <f aca="false">H9*Parametros!$C$14</f>
        <v>20</v>
      </c>
      <c r="J9" s="26" t="n">
        <f aca="false">H9*Parametros!$C$15</f>
        <v>18</v>
      </c>
      <c r="K9" s="26" t="n">
        <f aca="false">H9*Parametros!$C$16</f>
        <v>18</v>
      </c>
      <c r="L9" s="26" t="n">
        <f aca="false">H9*Parametros!$C$17</f>
        <v>18</v>
      </c>
      <c r="M9" s="26" t="n">
        <f aca="false">SUM(I9:L9)</f>
        <v>74</v>
      </c>
      <c r="N9" s="53" t="n">
        <f aca="false">M9*Parametros!$C$29/60</f>
        <v>74</v>
      </c>
      <c r="O9" s="26" t="n">
        <f aca="false">ROUNDDOWN(M9*Parametros!$C$26,0)</f>
        <v>14</v>
      </c>
      <c r="P9" s="26" t="n">
        <f aca="false">M9-O9</f>
        <v>60</v>
      </c>
      <c r="Q9" s="26" t="s">
        <v>367</v>
      </c>
      <c r="R9" s="26" t="s">
        <v>368</v>
      </c>
    </row>
    <row r="10" customFormat="false" ht="28.35" hidden="false" customHeight="false" outlineLevel="0" collapsed="false">
      <c r="A10" s="26" t="n">
        <v>6</v>
      </c>
      <c r="B10" s="26" t="s">
        <v>314</v>
      </c>
      <c r="C10" s="26" t="s">
        <v>65</v>
      </c>
      <c r="D10" s="26" t="s">
        <v>333</v>
      </c>
      <c r="E10" s="27" t="s">
        <v>315</v>
      </c>
      <c r="F10" s="27" t="s">
        <v>316</v>
      </c>
      <c r="G10" s="27" t="s">
        <v>302</v>
      </c>
      <c r="H10" s="26" t="n">
        <f aca="false">Malla_2027!E61</f>
        <v>2</v>
      </c>
      <c r="I10" s="26" t="n">
        <f aca="false">H10*Parametros!$C$14</f>
        <v>20</v>
      </c>
      <c r="J10" s="26" t="n">
        <f aca="false">H10*Parametros!$C$15</f>
        <v>18</v>
      </c>
      <c r="K10" s="26" t="n">
        <f aca="false">H10*Parametros!$C$16</f>
        <v>18</v>
      </c>
      <c r="L10" s="26" t="n">
        <f aca="false">H10*Parametros!$C$17</f>
        <v>18</v>
      </c>
      <c r="M10" s="26" t="n">
        <f aca="false">SUM(I10:L10)</f>
        <v>74</v>
      </c>
      <c r="N10" s="53" t="n">
        <f aca="false">M10*Parametros!$C$29/60</f>
        <v>74</v>
      </c>
      <c r="O10" s="26" t="n">
        <f aca="false">ROUNDDOWN(M10*Parametros!$C$26,0)</f>
        <v>14</v>
      </c>
      <c r="P10" s="26" t="n">
        <f aca="false">M10-O10</f>
        <v>60</v>
      </c>
      <c r="Q10" s="26" t="s">
        <v>367</v>
      </c>
      <c r="R10" s="26" t="s">
        <v>368</v>
      </c>
    </row>
    <row r="11" customFormat="false" ht="28.35" hidden="false" customHeight="false" outlineLevel="0" collapsed="false">
      <c r="A11" s="26" t="n">
        <v>7</v>
      </c>
      <c r="B11" s="26" t="s">
        <v>317</v>
      </c>
      <c r="C11" s="26" t="s">
        <v>65</v>
      </c>
      <c r="D11" s="26" t="s">
        <v>333</v>
      </c>
      <c r="E11" s="27" t="s">
        <v>315</v>
      </c>
      <c r="F11" s="27" t="s">
        <v>238</v>
      </c>
      <c r="G11" s="27" t="s">
        <v>302</v>
      </c>
      <c r="H11" s="26" t="n">
        <f aca="false">Malla_2027!E62</f>
        <v>1</v>
      </c>
      <c r="I11" s="26" t="n">
        <f aca="false">H11*Parametros!$C$14</f>
        <v>10</v>
      </c>
      <c r="J11" s="26" t="n">
        <f aca="false">H11*Parametros!$C$15</f>
        <v>9</v>
      </c>
      <c r="K11" s="26" t="n">
        <f aca="false">H11*Parametros!$C$16</f>
        <v>9</v>
      </c>
      <c r="L11" s="26" t="n">
        <f aca="false">H11*Parametros!$C$17</f>
        <v>9</v>
      </c>
      <c r="M11" s="26" t="n">
        <f aca="false">SUM(I11:L11)</f>
        <v>37</v>
      </c>
      <c r="N11" s="53" t="n">
        <f aca="false">M11*Parametros!$C$29/60</f>
        <v>37</v>
      </c>
      <c r="O11" s="26" t="n">
        <f aca="false">ROUNDDOWN(M11*Parametros!$C$26,0)</f>
        <v>7</v>
      </c>
      <c r="P11" s="26" t="n">
        <f aca="false">M11-O11</f>
        <v>30</v>
      </c>
      <c r="Q11" s="26" t="s">
        <v>367</v>
      </c>
      <c r="R11" s="26" t="s">
        <v>368</v>
      </c>
    </row>
    <row r="12" customFormat="false" ht="28.35" hidden="false" customHeight="false" outlineLevel="0" collapsed="false">
      <c r="A12" s="26" t="n">
        <v>8</v>
      </c>
      <c r="B12" s="26" t="s">
        <v>318</v>
      </c>
      <c r="C12" s="26" t="s">
        <v>65</v>
      </c>
      <c r="D12" s="26" t="s">
        <v>333</v>
      </c>
      <c r="E12" s="27" t="s">
        <v>315</v>
      </c>
      <c r="F12" s="27" t="s">
        <v>240</v>
      </c>
      <c r="G12" s="27" t="s">
        <v>302</v>
      </c>
      <c r="H12" s="26" t="n">
        <f aca="false">Malla_2027!E63</f>
        <v>1</v>
      </c>
      <c r="I12" s="26" t="n">
        <f aca="false">H12*Parametros!$C$14</f>
        <v>10</v>
      </c>
      <c r="J12" s="26" t="n">
        <f aca="false">H12*Parametros!$C$15</f>
        <v>9</v>
      </c>
      <c r="K12" s="26" t="n">
        <f aca="false">H12*Parametros!$C$16</f>
        <v>9</v>
      </c>
      <c r="L12" s="26" t="n">
        <f aca="false">H12*Parametros!$C$17</f>
        <v>9</v>
      </c>
      <c r="M12" s="26" t="n">
        <f aca="false">SUM(I12:L12)</f>
        <v>37</v>
      </c>
      <c r="N12" s="53" t="n">
        <f aca="false">M12*Parametros!$C$29/60</f>
        <v>37</v>
      </c>
      <c r="O12" s="26" t="n">
        <f aca="false">ROUNDDOWN(M12*Parametros!$C$26,0)</f>
        <v>7</v>
      </c>
      <c r="P12" s="26" t="n">
        <f aca="false">M12-O12</f>
        <v>30</v>
      </c>
      <c r="Q12" s="26" t="s">
        <v>367</v>
      </c>
      <c r="R12" s="26" t="s">
        <v>368</v>
      </c>
    </row>
    <row r="13" customFormat="false" ht="28.35" hidden="false" customHeight="false" outlineLevel="0" collapsed="false">
      <c r="A13" s="26" t="n">
        <v>9</v>
      </c>
      <c r="B13" s="26" t="s">
        <v>319</v>
      </c>
      <c r="C13" s="26" t="s">
        <v>65</v>
      </c>
      <c r="D13" s="26" t="s">
        <v>333</v>
      </c>
      <c r="E13" s="27" t="s">
        <v>320</v>
      </c>
      <c r="F13" s="27" t="s">
        <v>321</v>
      </c>
      <c r="G13" s="27" t="s">
        <v>302</v>
      </c>
      <c r="H13" s="26" t="n">
        <f aca="false">Malla_2027!E64</f>
        <v>1</v>
      </c>
      <c r="I13" s="26" t="n">
        <f aca="false">H13*Parametros!$C$14</f>
        <v>10</v>
      </c>
      <c r="J13" s="26" t="n">
        <f aca="false">H13*Parametros!$C$15</f>
        <v>9</v>
      </c>
      <c r="K13" s="26" t="n">
        <f aca="false">H13*Parametros!$C$16</f>
        <v>9</v>
      </c>
      <c r="L13" s="26" t="n">
        <f aca="false">H13*Parametros!$C$17</f>
        <v>9</v>
      </c>
      <c r="M13" s="26" t="n">
        <f aca="false">SUM(I13:L13)</f>
        <v>37</v>
      </c>
      <c r="N13" s="53" t="n">
        <f aca="false">M13*Parametros!$C$29/60</f>
        <v>37</v>
      </c>
      <c r="O13" s="26" t="n">
        <f aca="false">ROUNDDOWN(M13*Parametros!$C$26,0)</f>
        <v>7</v>
      </c>
      <c r="P13" s="26" t="n">
        <f aca="false">M13-O13</f>
        <v>30</v>
      </c>
      <c r="Q13" s="26" t="s">
        <v>367</v>
      </c>
      <c r="R13" s="26" t="s">
        <v>368</v>
      </c>
    </row>
    <row r="14" customFormat="false" ht="28.35" hidden="false" customHeight="false" outlineLevel="0" collapsed="false">
      <c r="A14" s="26" t="n">
        <v>10</v>
      </c>
      <c r="B14" s="26" t="s">
        <v>322</v>
      </c>
      <c r="C14" s="26" t="s">
        <v>65</v>
      </c>
      <c r="D14" s="26" t="s">
        <v>333</v>
      </c>
      <c r="E14" s="27" t="s">
        <v>323</v>
      </c>
      <c r="F14" s="27" t="s">
        <v>249</v>
      </c>
      <c r="G14" s="27" t="s">
        <v>302</v>
      </c>
      <c r="H14" s="26" t="n">
        <f aca="false">Malla_2027!E65</f>
        <v>3</v>
      </c>
      <c r="I14" s="26" t="n">
        <f aca="false">H14*Parametros!$C$14</f>
        <v>30</v>
      </c>
      <c r="J14" s="26" t="n">
        <f aca="false">H14*Parametros!$C$15</f>
        <v>27</v>
      </c>
      <c r="K14" s="26" t="n">
        <f aca="false">H14*Parametros!$C$16</f>
        <v>27</v>
      </c>
      <c r="L14" s="26" t="n">
        <f aca="false">H14*Parametros!$C$17</f>
        <v>27</v>
      </c>
      <c r="M14" s="26" t="n">
        <f aca="false">SUM(I14:L14)</f>
        <v>111</v>
      </c>
      <c r="N14" s="53" t="n">
        <f aca="false">M14*Parametros!$C$29/60</f>
        <v>111</v>
      </c>
      <c r="O14" s="26" t="n">
        <f aca="false">ROUNDDOWN(M14*Parametros!$C$26,0)</f>
        <v>22</v>
      </c>
      <c r="P14" s="26" t="n">
        <f aca="false">M14-O14</f>
        <v>89</v>
      </c>
      <c r="Q14" s="26" t="s">
        <v>367</v>
      </c>
      <c r="R14" s="26" t="s">
        <v>368</v>
      </c>
    </row>
    <row r="15" customFormat="false" ht="28.35" hidden="false" customHeight="false" outlineLevel="0" collapsed="false">
      <c r="A15" s="26" t="n">
        <v>11</v>
      </c>
      <c r="B15" s="26" t="s">
        <v>324</v>
      </c>
      <c r="C15" s="26" t="s">
        <v>65</v>
      </c>
      <c r="D15" s="26" t="s">
        <v>333</v>
      </c>
      <c r="E15" s="27" t="s">
        <v>325</v>
      </c>
      <c r="F15" s="27" t="s">
        <v>326</v>
      </c>
      <c r="G15" s="27" t="s">
        <v>302</v>
      </c>
      <c r="H15" s="26" t="n">
        <f aca="false">Malla_2027!E66</f>
        <v>6</v>
      </c>
      <c r="I15" s="26" t="n">
        <f aca="false">H15*Parametros!$C$14</f>
        <v>60</v>
      </c>
      <c r="J15" s="26" t="n">
        <f aca="false">H15*Parametros!$C$15</f>
        <v>54</v>
      </c>
      <c r="K15" s="26" t="n">
        <f aca="false">H15*Parametros!$C$16</f>
        <v>54</v>
      </c>
      <c r="L15" s="26" t="n">
        <f aca="false">H15*Parametros!$C$17</f>
        <v>54</v>
      </c>
      <c r="M15" s="26" t="n">
        <f aca="false">SUM(I15:L15)</f>
        <v>222</v>
      </c>
      <c r="N15" s="53" t="n">
        <f aca="false">M15*Parametros!$C$29/60</f>
        <v>222</v>
      </c>
      <c r="O15" s="26" t="n">
        <f aca="false">ROUNDDOWN(M15*Parametros!$C$26,0)</f>
        <v>44</v>
      </c>
      <c r="P15" s="26" t="n">
        <f aca="false">M15-O15</f>
        <v>178</v>
      </c>
      <c r="Q15" s="26" t="s">
        <v>367</v>
      </c>
      <c r="R15" s="26" t="s">
        <v>368</v>
      </c>
    </row>
    <row r="16" customFormat="false" ht="15" hidden="false" customHeight="false" outlineLevel="0" collapsed="false">
      <c r="A16" s="26" t="n">
        <v>12</v>
      </c>
      <c r="B16" s="26" t="s">
        <v>327</v>
      </c>
      <c r="C16" s="26" t="s">
        <v>65</v>
      </c>
      <c r="D16" s="26" t="s">
        <v>333</v>
      </c>
      <c r="E16" s="27" t="s">
        <v>325</v>
      </c>
      <c r="F16" s="27" t="s">
        <v>267</v>
      </c>
      <c r="G16" s="27" t="s">
        <v>302</v>
      </c>
      <c r="H16" s="26" t="n">
        <f aca="false">Malla_2027!E67</f>
        <v>3</v>
      </c>
      <c r="I16" s="26" t="n">
        <f aca="false">H16*Parametros!$C$14</f>
        <v>30</v>
      </c>
      <c r="J16" s="26" t="n">
        <f aca="false">H16*Parametros!$C$15</f>
        <v>27</v>
      </c>
      <c r="K16" s="26" t="n">
        <f aca="false">H16*Parametros!$C$16</f>
        <v>27</v>
      </c>
      <c r="L16" s="26" t="n">
        <f aca="false">H16*Parametros!$C$17</f>
        <v>27</v>
      </c>
      <c r="M16" s="26" t="n">
        <f aca="false">SUM(I16:L16)</f>
        <v>111</v>
      </c>
      <c r="N16" s="53" t="n">
        <f aca="false">M16*Parametros!$C$29/60</f>
        <v>111</v>
      </c>
      <c r="O16" s="26" t="n">
        <f aca="false">ROUNDDOWN(M16*Parametros!$C$26,0)</f>
        <v>22</v>
      </c>
      <c r="P16" s="26" t="n">
        <f aca="false">M16-O16</f>
        <v>89</v>
      </c>
      <c r="Q16" s="26" t="s">
        <v>367</v>
      </c>
      <c r="R16" s="26" t="s">
        <v>369</v>
      </c>
    </row>
    <row r="17" customFormat="false" ht="28.35" hidden="false" customHeight="false" outlineLevel="0" collapsed="false">
      <c r="A17" s="26" t="n">
        <v>13</v>
      </c>
      <c r="B17" s="26" t="s">
        <v>370</v>
      </c>
      <c r="C17" s="26" t="s">
        <v>66</v>
      </c>
      <c r="D17" s="26" t="s">
        <v>200</v>
      </c>
      <c r="E17" s="27" t="s">
        <v>213</v>
      </c>
      <c r="F17" s="27" t="s">
        <v>213</v>
      </c>
      <c r="G17" s="27" t="s">
        <v>214</v>
      </c>
      <c r="H17" s="26" t="n">
        <f aca="false">Malla_2027!E6</f>
        <v>4</v>
      </c>
      <c r="I17" s="26" t="n">
        <f aca="false">H17*Parametros!$C$14</f>
        <v>40</v>
      </c>
      <c r="J17" s="26" t="n">
        <f aca="false">H17*Parametros!$C$15</f>
        <v>36</v>
      </c>
      <c r="K17" s="26" t="n">
        <f aca="false">H17*Parametros!$C$16</f>
        <v>36</v>
      </c>
      <c r="L17" s="26" t="n">
        <f aca="false">H17*Parametros!$C$17</f>
        <v>36</v>
      </c>
      <c r="M17" s="26" t="n">
        <f aca="false">SUM(I17:L17)</f>
        <v>148</v>
      </c>
      <c r="N17" s="53" t="n">
        <f aca="false">M17*Parametros!$C$29/60</f>
        <v>148</v>
      </c>
      <c r="O17" s="26" t="n">
        <f aca="false">ROUNDDOWN(M17*Parametros!$C$26,0)</f>
        <v>29</v>
      </c>
      <c r="P17" s="26" t="n">
        <f aca="false">M17-O17</f>
        <v>119</v>
      </c>
      <c r="Q17" s="26" t="s">
        <v>367</v>
      </c>
      <c r="R17" s="26" t="s">
        <v>368</v>
      </c>
    </row>
    <row r="18" customFormat="false" ht="28.35" hidden="false" customHeight="false" outlineLevel="0" collapsed="false">
      <c r="A18" s="26" t="n">
        <v>14</v>
      </c>
      <c r="B18" s="26" t="s">
        <v>371</v>
      </c>
      <c r="C18" s="26" t="s">
        <v>66</v>
      </c>
      <c r="D18" s="26" t="s">
        <v>200</v>
      </c>
      <c r="E18" s="27" t="s">
        <v>223</v>
      </c>
      <c r="F18" s="27" t="s">
        <v>224</v>
      </c>
      <c r="G18" s="27" t="s">
        <v>214</v>
      </c>
      <c r="H18" s="26" t="n">
        <f aca="false">Malla_2027!E9</f>
        <v>4</v>
      </c>
      <c r="I18" s="26" t="n">
        <f aca="false">H18*Parametros!$C$14</f>
        <v>40</v>
      </c>
      <c r="J18" s="26" t="n">
        <f aca="false">H18*Parametros!$C$15</f>
        <v>36</v>
      </c>
      <c r="K18" s="26" t="n">
        <f aca="false">H18*Parametros!$C$16</f>
        <v>36</v>
      </c>
      <c r="L18" s="26" t="n">
        <f aca="false">H18*Parametros!$C$17</f>
        <v>36</v>
      </c>
      <c r="M18" s="26" t="n">
        <f aca="false">SUM(I18:L18)</f>
        <v>148</v>
      </c>
      <c r="N18" s="53" t="n">
        <f aca="false">M18*Parametros!$C$29/60</f>
        <v>148</v>
      </c>
      <c r="O18" s="26" t="n">
        <f aca="false">ROUNDDOWN(M18*Parametros!$C$26,0)</f>
        <v>29</v>
      </c>
      <c r="P18" s="26" t="n">
        <f aca="false">M18-O18</f>
        <v>119</v>
      </c>
      <c r="Q18" s="26" t="s">
        <v>367</v>
      </c>
      <c r="R18" s="26" t="s">
        <v>368</v>
      </c>
    </row>
    <row r="19" customFormat="false" ht="28.35" hidden="false" customHeight="false" outlineLevel="0" collapsed="false">
      <c r="A19" s="26" t="n">
        <v>15</v>
      </c>
      <c r="B19" s="26" t="s">
        <v>372</v>
      </c>
      <c r="C19" s="26" t="s">
        <v>66</v>
      </c>
      <c r="D19" s="26" t="s">
        <v>200</v>
      </c>
      <c r="E19" s="27" t="s">
        <v>234</v>
      </c>
      <c r="F19" s="27" t="s">
        <v>235</v>
      </c>
      <c r="G19" s="27" t="s">
        <v>214</v>
      </c>
      <c r="H19" s="26" t="n">
        <f aca="false">Malla_2027!E12</f>
        <v>1</v>
      </c>
      <c r="I19" s="26" t="n">
        <f aca="false">H19*Parametros!$C$14</f>
        <v>10</v>
      </c>
      <c r="J19" s="26" t="n">
        <f aca="false">H19*Parametros!$C$15</f>
        <v>9</v>
      </c>
      <c r="K19" s="26" t="n">
        <f aca="false">H19*Parametros!$C$16</f>
        <v>9</v>
      </c>
      <c r="L19" s="26" t="n">
        <f aca="false">H19*Parametros!$C$17</f>
        <v>9</v>
      </c>
      <c r="M19" s="26" t="n">
        <f aca="false">SUM(I19:L19)</f>
        <v>37</v>
      </c>
      <c r="N19" s="53" t="n">
        <f aca="false">M19*Parametros!$C$29/60</f>
        <v>37</v>
      </c>
      <c r="O19" s="26" t="n">
        <f aca="false">ROUNDDOWN(M19*Parametros!$C$26,0)</f>
        <v>7</v>
      </c>
      <c r="P19" s="26" t="n">
        <f aca="false">M19-O19</f>
        <v>30</v>
      </c>
      <c r="Q19" s="26" t="s">
        <v>367</v>
      </c>
      <c r="R19" s="26" t="s">
        <v>368</v>
      </c>
    </row>
    <row r="20" customFormat="false" ht="28.35" hidden="false" customHeight="false" outlineLevel="0" collapsed="false">
      <c r="A20" s="26" t="n">
        <v>16</v>
      </c>
      <c r="B20" s="26" t="s">
        <v>373</v>
      </c>
      <c r="C20" s="26" t="s">
        <v>66</v>
      </c>
      <c r="D20" s="26" t="s">
        <v>200</v>
      </c>
      <c r="E20" s="27" t="s">
        <v>234</v>
      </c>
      <c r="F20" s="27" t="s">
        <v>238</v>
      </c>
      <c r="G20" s="27" t="s">
        <v>214</v>
      </c>
      <c r="H20" s="26" t="n">
        <f aca="false">Malla_2027!E13</f>
        <v>1</v>
      </c>
      <c r="I20" s="26" t="n">
        <f aca="false">H20*Parametros!$C$14</f>
        <v>10</v>
      </c>
      <c r="J20" s="26" t="n">
        <f aca="false">H20*Parametros!$C$15</f>
        <v>9</v>
      </c>
      <c r="K20" s="26" t="n">
        <f aca="false">H20*Parametros!$C$16</f>
        <v>9</v>
      </c>
      <c r="L20" s="26" t="n">
        <f aca="false">H20*Parametros!$C$17</f>
        <v>9</v>
      </c>
      <c r="M20" s="26" t="n">
        <f aca="false">SUM(I20:L20)</f>
        <v>37</v>
      </c>
      <c r="N20" s="53" t="n">
        <f aca="false">M20*Parametros!$C$29/60</f>
        <v>37</v>
      </c>
      <c r="O20" s="26" t="n">
        <f aca="false">ROUNDDOWN(M20*Parametros!$C$26,0)</f>
        <v>7</v>
      </c>
      <c r="P20" s="26" t="n">
        <f aca="false">M20-O20</f>
        <v>30</v>
      </c>
      <c r="Q20" s="26" t="s">
        <v>367</v>
      </c>
      <c r="R20" s="26" t="s">
        <v>368</v>
      </c>
    </row>
    <row r="21" customFormat="false" ht="28.35" hidden="false" customHeight="false" outlineLevel="0" collapsed="false">
      <c r="A21" s="26" t="n">
        <v>17</v>
      </c>
      <c r="B21" s="26" t="s">
        <v>374</v>
      </c>
      <c r="C21" s="26" t="s">
        <v>66</v>
      </c>
      <c r="D21" s="26" t="s">
        <v>200</v>
      </c>
      <c r="E21" s="27" t="s">
        <v>234</v>
      </c>
      <c r="F21" s="27" t="s">
        <v>240</v>
      </c>
      <c r="G21" s="27" t="s">
        <v>214</v>
      </c>
      <c r="H21" s="26" t="n">
        <f aca="false">Malla_2027!E14</f>
        <v>1</v>
      </c>
      <c r="I21" s="26" t="n">
        <f aca="false">H21*Parametros!$C$14</f>
        <v>10</v>
      </c>
      <c r="J21" s="26" t="n">
        <f aca="false">H21*Parametros!$C$15</f>
        <v>9</v>
      </c>
      <c r="K21" s="26" t="n">
        <f aca="false">H21*Parametros!$C$16</f>
        <v>9</v>
      </c>
      <c r="L21" s="26" t="n">
        <f aca="false">H21*Parametros!$C$17</f>
        <v>9</v>
      </c>
      <c r="M21" s="26" t="n">
        <f aca="false">SUM(I21:L21)</f>
        <v>37</v>
      </c>
      <c r="N21" s="53" t="n">
        <f aca="false">M21*Parametros!$C$29/60</f>
        <v>37</v>
      </c>
      <c r="O21" s="26" t="n">
        <f aca="false">ROUNDDOWN(M21*Parametros!$C$26,0)</f>
        <v>7</v>
      </c>
      <c r="P21" s="26" t="n">
        <f aca="false">M21-O21</f>
        <v>30</v>
      </c>
      <c r="Q21" s="26" t="s">
        <v>367</v>
      </c>
      <c r="R21" s="26" t="s">
        <v>368</v>
      </c>
    </row>
    <row r="22" customFormat="false" ht="28.35" hidden="false" customHeight="false" outlineLevel="0" collapsed="false">
      <c r="A22" s="26" t="n">
        <v>18</v>
      </c>
      <c r="B22" s="26" t="s">
        <v>375</v>
      </c>
      <c r="C22" s="26" t="s">
        <v>66</v>
      </c>
      <c r="D22" s="26" t="s">
        <v>200</v>
      </c>
      <c r="E22" s="27" t="s">
        <v>242</v>
      </c>
      <c r="F22" s="27" t="s">
        <v>243</v>
      </c>
      <c r="G22" s="27" t="s">
        <v>214</v>
      </c>
      <c r="H22" s="26" t="n">
        <f aca="false">Malla_2027!E15</f>
        <v>1</v>
      </c>
      <c r="I22" s="26" t="n">
        <f aca="false">H22*Parametros!$C$14</f>
        <v>10</v>
      </c>
      <c r="J22" s="26" t="n">
        <f aca="false">H22*Parametros!$C$15</f>
        <v>9</v>
      </c>
      <c r="K22" s="26" t="n">
        <f aca="false">H22*Parametros!$C$16</f>
        <v>9</v>
      </c>
      <c r="L22" s="26" t="n">
        <f aca="false">H22*Parametros!$C$17</f>
        <v>9</v>
      </c>
      <c r="M22" s="26" t="n">
        <f aca="false">SUM(I22:L22)</f>
        <v>37</v>
      </c>
      <c r="N22" s="53" t="n">
        <f aca="false">M22*Parametros!$C$29/60</f>
        <v>37</v>
      </c>
      <c r="O22" s="26" t="n">
        <f aca="false">ROUNDDOWN(M22*Parametros!$C$26,0)</f>
        <v>7</v>
      </c>
      <c r="P22" s="26" t="n">
        <f aca="false">M22-O22</f>
        <v>30</v>
      </c>
      <c r="Q22" s="26" t="s">
        <v>367</v>
      </c>
      <c r="R22" s="26" t="s">
        <v>368</v>
      </c>
    </row>
    <row r="23" customFormat="false" ht="28.35" hidden="false" customHeight="false" outlineLevel="0" collapsed="false">
      <c r="A23" s="26" t="n">
        <v>19</v>
      </c>
      <c r="B23" s="26" t="s">
        <v>376</v>
      </c>
      <c r="C23" s="26" t="s">
        <v>66</v>
      </c>
      <c r="D23" s="26" t="s">
        <v>200</v>
      </c>
      <c r="E23" s="27" t="s">
        <v>246</v>
      </c>
      <c r="F23" s="27" t="s">
        <v>246</v>
      </c>
      <c r="G23" s="27" t="s">
        <v>214</v>
      </c>
      <c r="H23" s="26" t="n">
        <f aca="false">Malla_2027!E16</f>
        <v>2</v>
      </c>
      <c r="I23" s="26" t="n">
        <f aca="false">H23*Parametros!$C$14</f>
        <v>20</v>
      </c>
      <c r="J23" s="26" t="n">
        <f aca="false">H23*Parametros!$C$15</f>
        <v>18</v>
      </c>
      <c r="K23" s="26" t="n">
        <f aca="false">H23*Parametros!$C$16</f>
        <v>18</v>
      </c>
      <c r="L23" s="26" t="n">
        <f aca="false">H23*Parametros!$C$17</f>
        <v>18</v>
      </c>
      <c r="M23" s="26" t="n">
        <f aca="false">SUM(I23:L23)</f>
        <v>74</v>
      </c>
      <c r="N23" s="53" t="n">
        <f aca="false">M23*Parametros!$C$29/60</f>
        <v>74</v>
      </c>
      <c r="O23" s="26" t="n">
        <f aca="false">ROUNDDOWN(M23*Parametros!$C$26,0)</f>
        <v>14</v>
      </c>
      <c r="P23" s="26" t="n">
        <f aca="false">M23-O23</f>
        <v>60</v>
      </c>
      <c r="Q23" s="26" t="s">
        <v>367</v>
      </c>
      <c r="R23" s="26" t="s">
        <v>368</v>
      </c>
    </row>
    <row r="24" customFormat="false" ht="28.35" hidden="false" customHeight="false" outlineLevel="0" collapsed="false">
      <c r="A24" s="26" t="n">
        <v>20</v>
      </c>
      <c r="B24" s="26" t="s">
        <v>377</v>
      </c>
      <c r="C24" s="26" t="s">
        <v>66</v>
      </c>
      <c r="D24" s="26" t="s">
        <v>200</v>
      </c>
      <c r="E24" s="27" t="s">
        <v>249</v>
      </c>
      <c r="F24" s="27" t="s">
        <v>250</v>
      </c>
      <c r="G24" s="27" t="s">
        <v>214</v>
      </c>
      <c r="H24" s="26" t="n">
        <f aca="false">Malla_2027!E17</f>
        <v>3</v>
      </c>
      <c r="I24" s="26" t="n">
        <f aca="false">H24*Parametros!$C$14</f>
        <v>30</v>
      </c>
      <c r="J24" s="26" t="n">
        <f aca="false">H24*Parametros!$C$15</f>
        <v>27</v>
      </c>
      <c r="K24" s="26" t="n">
        <f aca="false">H24*Parametros!$C$16</f>
        <v>27</v>
      </c>
      <c r="L24" s="26" t="n">
        <f aca="false">H24*Parametros!$C$17</f>
        <v>27</v>
      </c>
      <c r="M24" s="26" t="n">
        <f aca="false">SUM(I24:L24)</f>
        <v>111</v>
      </c>
      <c r="N24" s="53" t="n">
        <f aca="false">M24*Parametros!$C$29/60</f>
        <v>111</v>
      </c>
      <c r="O24" s="26" t="n">
        <f aca="false">ROUNDDOWN(M24*Parametros!$C$26,0)</f>
        <v>22</v>
      </c>
      <c r="P24" s="26" t="n">
        <f aca="false">M24-O24</f>
        <v>89</v>
      </c>
      <c r="Q24" s="26" t="s">
        <v>367</v>
      </c>
      <c r="R24" s="26" t="s">
        <v>368</v>
      </c>
    </row>
    <row r="25" customFormat="false" ht="28.35" hidden="false" customHeight="false" outlineLevel="0" collapsed="false">
      <c r="A25" s="26" t="n">
        <v>21</v>
      </c>
      <c r="B25" s="26" t="s">
        <v>378</v>
      </c>
      <c r="C25" s="26" t="s">
        <v>66</v>
      </c>
      <c r="D25" s="26" t="s">
        <v>200</v>
      </c>
      <c r="E25" s="27" t="s">
        <v>252</v>
      </c>
      <c r="F25" s="27" t="s">
        <v>253</v>
      </c>
      <c r="G25" s="27" t="s">
        <v>214</v>
      </c>
      <c r="H25" s="26" t="n">
        <f aca="false">Malla_2027!E18</f>
        <v>5</v>
      </c>
      <c r="I25" s="26" t="n">
        <f aca="false">H25*Parametros!$C$14</f>
        <v>50</v>
      </c>
      <c r="J25" s="26" t="n">
        <f aca="false">H25*Parametros!$C$15</f>
        <v>45</v>
      </c>
      <c r="K25" s="26" t="n">
        <f aca="false">H25*Parametros!$C$16</f>
        <v>45</v>
      </c>
      <c r="L25" s="26" t="n">
        <f aca="false">H25*Parametros!$C$17</f>
        <v>45</v>
      </c>
      <c r="M25" s="26" t="n">
        <f aca="false">SUM(I25:L25)</f>
        <v>185</v>
      </c>
      <c r="N25" s="53" t="n">
        <f aca="false">M25*Parametros!$C$29/60</f>
        <v>185</v>
      </c>
      <c r="O25" s="26" t="n">
        <f aca="false">ROUNDDOWN(M25*Parametros!$C$26,0)</f>
        <v>37</v>
      </c>
      <c r="P25" s="26" t="n">
        <f aca="false">M25-O25</f>
        <v>148</v>
      </c>
      <c r="Q25" s="26" t="s">
        <v>367</v>
      </c>
      <c r="R25" s="26" t="s">
        <v>368</v>
      </c>
    </row>
    <row r="26" customFormat="false" ht="28.35" hidden="false" customHeight="false" outlineLevel="0" collapsed="false">
      <c r="A26" s="26" t="n">
        <v>22</v>
      </c>
      <c r="B26" s="26" t="s">
        <v>379</v>
      </c>
      <c r="C26" s="26" t="s">
        <v>66</v>
      </c>
      <c r="D26" s="26" t="s">
        <v>200</v>
      </c>
      <c r="E26" s="27" t="s">
        <v>252</v>
      </c>
      <c r="F26" s="27" t="s">
        <v>255</v>
      </c>
      <c r="G26" s="27" t="s">
        <v>214</v>
      </c>
      <c r="H26" s="26" t="n">
        <f aca="false">Malla_2027!E19</f>
        <v>4</v>
      </c>
      <c r="I26" s="26" t="n">
        <f aca="false">H26*Parametros!$C$14</f>
        <v>40</v>
      </c>
      <c r="J26" s="26" t="n">
        <f aca="false">H26*Parametros!$C$15</f>
        <v>36</v>
      </c>
      <c r="K26" s="26" t="n">
        <f aca="false">H26*Parametros!$C$16</f>
        <v>36</v>
      </c>
      <c r="L26" s="26" t="n">
        <f aca="false">H26*Parametros!$C$17</f>
        <v>36</v>
      </c>
      <c r="M26" s="26" t="n">
        <f aca="false">SUM(I26:L26)</f>
        <v>148</v>
      </c>
      <c r="N26" s="53" t="n">
        <f aca="false">M26*Parametros!$C$29/60</f>
        <v>148</v>
      </c>
      <c r="O26" s="26" t="n">
        <f aca="false">ROUNDDOWN(M26*Parametros!$C$26,0)</f>
        <v>29</v>
      </c>
      <c r="P26" s="26" t="n">
        <f aca="false">M26-O26</f>
        <v>119</v>
      </c>
      <c r="Q26" s="26" t="s">
        <v>367</v>
      </c>
      <c r="R26" s="26" t="s">
        <v>368</v>
      </c>
    </row>
    <row r="27" customFormat="false" ht="28.35" hidden="false" customHeight="false" outlineLevel="0" collapsed="false">
      <c r="A27" s="26" t="n">
        <v>23</v>
      </c>
      <c r="B27" s="26" t="s">
        <v>380</v>
      </c>
      <c r="C27" s="26" t="s">
        <v>66</v>
      </c>
      <c r="D27" s="26" t="s">
        <v>200</v>
      </c>
      <c r="E27" s="27" t="s">
        <v>257</v>
      </c>
      <c r="F27" s="27" t="s">
        <v>257</v>
      </c>
      <c r="G27" s="27" t="s">
        <v>214</v>
      </c>
      <c r="H27" s="26" t="n">
        <f aca="false">Malla_2027!E20</f>
        <v>5</v>
      </c>
      <c r="I27" s="26" t="n">
        <f aca="false">H27*Parametros!$C$14</f>
        <v>50</v>
      </c>
      <c r="J27" s="26" t="n">
        <f aca="false">H27*Parametros!$C$15</f>
        <v>45</v>
      </c>
      <c r="K27" s="26" t="n">
        <f aca="false">H27*Parametros!$C$16</f>
        <v>45</v>
      </c>
      <c r="L27" s="26" t="n">
        <f aca="false">H27*Parametros!$C$17</f>
        <v>45</v>
      </c>
      <c r="M27" s="26" t="n">
        <f aca="false">SUM(I27:L27)</f>
        <v>185</v>
      </c>
      <c r="N27" s="53" t="n">
        <f aca="false">M27*Parametros!$C$29/60</f>
        <v>185</v>
      </c>
      <c r="O27" s="26" t="n">
        <f aca="false">ROUNDDOWN(M27*Parametros!$C$26,0)</f>
        <v>37</v>
      </c>
      <c r="P27" s="26" t="n">
        <f aca="false">M27-O27</f>
        <v>148</v>
      </c>
      <c r="Q27" s="26" t="s">
        <v>367</v>
      </c>
      <c r="R27" s="26" t="s">
        <v>368</v>
      </c>
    </row>
    <row r="28" customFormat="false" ht="15" hidden="false" customHeight="false" outlineLevel="0" collapsed="false">
      <c r="A28" s="26" t="n">
        <v>24</v>
      </c>
      <c r="B28" s="26" t="s">
        <v>381</v>
      </c>
      <c r="C28" s="26" t="s">
        <v>66</v>
      </c>
      <c r="D28" s="26" t="s">
        <v>200</v>
      </c>
      <c r="E28" s="27" t="s">
        <v>267</v>
      </c>
      <c r="F28" s="27" t="s">
        <v>267</v>
      </c>
      <c r="G28" s="27" t="s">
        <v>214</v>
      </c>
      <c r="H28" s="26" t="n">
        <f aca="false">Malla_2027!E24</f>
        <v>3</v>
      </c>
      <c r="I28" s="26" t="n">
        <f aca="false">H28*Parametros!$C$14</f>
        <v>30</v>
      </c>
      <c r="J28" s="26" t="n">
        <f aca="false">H28*Parametros!$C$15</f>
        <v>27</v>
      </c>
      <c r="K28" s="26" t="n">
        <f aca="false">H28*Parametros!$C$16</f>
        <v>27</v>
      </c>
      <c r="L28" s="26" t="n">
        <f aca="false">H28*Parametros!$C$17</f>
        <v>27</v>
      </c>
      <c r="M28" s="26" t="n">
        <f aca="false">SUM(I28:L28)</f>
        <v>111</v>
      </c>
      <c r="N28" s="53" t="n">
        <f aca="false">M28*Parametros!$C$29/60</f>
        <v>111</v>
      </c>
      <c r="O28" s="26" t="n">
        <f aca="false">ROUNDDOWN(M28*Parametros!$C$26,0)</f>
        <v>22</v>
      </c>
      <c r="P28" s="26" t="n">
        <f aca="false">M28-O28</f>
        <v>89</v>
      </c>
      <c r="Q28" s="26" t="s">
        <v>367</v>
      </c>
      <c r="R28" s="26" t="s">
        <v>369</v>
      </c>
    </row>
    <row r="29" customFormat="false" ht="28.35" hidden="false" customHeight="false" outlineLevel="0" collapsed="false">
      <c r="A29" s="26" t="n">
        <v>25</v>
      </c>
      <c r="B29" s="26" t="s">
        <v>382</v>
      </c>
      <c r="C29" s="26" t="s">
        <v>66</v>
      </c>
      <c r="D29" s="26" t="s">
        <v>201</v>
      </c>
      <c r="E29" s="27" t="s">
        <v>213</v>
      </c>
      <c r="F29" s="27" t="s">
        <v>213</v>
      </c>
      <c r="G29" s="27" t="s">
        <v>214</v>
      </c>
      <c r="H29" s="26" t="n">
        <f aca="false">Malla_2027!F6</f>
        <v>4</v>
      </c>
      <c r="I29" s="26" t="n">
        <f aca="false">H29*Parametros!$C$14</f>
        <v>40</v>
      </c>
      <c r="J29" s="26" t="n">
        <f aca="false">H29*Parametros!$C$15</f>
        <v>36</v>
      </c>
      <c r="K29" s="26" t="n">
        <f aca="false">H29*Parametros!$C$16</f>
        <v>36</v>
      </c>
      <c r="L29" s="26" t="n">
        <f aca="false">H29*Parametros!$C$17</f>
        <v>36</v>
      </c>
      <c r="M29" s="26" t="n">
        <f aca="false">SUM(I29:L29)</f>
        <v>148</v>
      </c>
      <c r="N29" s="53" t="n">
        <f aca="false">M29*Parametros!$C$29/60</f>
        <v>148</v>
      </c>
      <c r="O29" s="26" t="n">
        <f aca="false">ROUNDDOWN(M29*Parametros!$C$26,0)</f>
        <v>29</v>
      </c>
      <c r="P29" s="26" t="n">
        <f aca="false">M29-O29</f>
        <v>119</v>
      </c>
      <c r="Q29" s="26" t="s">
        <v>367</v>
      </c>
      <c r="R29" s="26" t="s">
        <v>368</v>
      </c>
    </row>
    <row r="30" customFormat="false" ht="28.35" hidden="false" customHeight="false" outlineLevel="0" collapsed="false">
      <c r="A30" s="26" t="n">
        <v>26</v>
      </c>
      <c r="B30" s="26" t="s">
        <v>383</v>
      </c>
      <c r="C30" s="26" t="s">
        <v>66</v>
      </c>
      <c r="D30" s="26" t="s">
        <v>201</v>
      </c>
      <c r="E30" s="27" t="s">
        <v>223</v>
      </c>
      <c r="F30" s="27" t="s">
        <v>224</v>
      </c>
      <c r="G30" s="27" t="s">
        <v>214</v>
      </c>
      <c r="H30" s="26" t="n">
        <f aca="false">Malla_2027!F9</f>
        <v>4</v>
      </c>
      <c r="I30" s="26" t="n">
        <f aca="false">H30*Parametros!$C$14</f>
        <v>40</v>
      </c>
      <c r="J30" s="26" t="n">
        <f aca="false">H30*Parametros!$C$15</f>
        <v>36</v>
      </c>
      <c r="K30" s="26" t="n">
        <f aca="false">H30*Parametros!$C$16</f>
        <v>36</v>
      </c>
      <c r="L30" s="26" t="n">
        <f aca="false">H30*Parametros!$C$17</f>
        <v>36</v>
      </c>
      <c r="M30" s="26" t="n">
        <f aca="false">SUM(I30:L30)</f>
        <v>148</v>
      </c>
      <c r="N30" s="53" t="n">
        <f aca="false">M30*Parametros!$C$29/60</f>
        <v>148</v>
      </c>
      <c r="O30" s="26" t="n">
        <f aca="false">ROUNDDOWN(M30*Parametros!$C$26,0)</f>
        <v>29</v>
      </c>
      <c r="P30" s="26" t="n">
        <f aca="false">M30-O30</f>
        <v>119</v>
      </c>
      <c r="Q30" s="26" t="s">
        <v>367</v>
      </c>
      <c r="R30" s="26" t="s">
        <v>368</v>
      </c>
    </row>
    <row r="31" customFormat="false" ht="28.35" hidden="false" customHeight="false" outlineLevel="0" collapsed="false">
      <c r="A31" s="26" t="n">
        <v>27</v>
      </c>
      <c r="B31" s="26" t="s">
        <v>384</v>
      </c>
      <c r="C31" s="26" t="s">
        <v>66</v>
      </c>
      <c r="D31" s="26" t="s">
        <v>201</v>
      </c>
      <c r="E31" s="27" t="s">
        <v>234</v>
      </c>
      <c r="F31" s="27" t="s">
        <v>235</v>
      </c>
      <c r="G31" s="27" t="s">
        <v>214</v>
      </c>
      <c r="H31" s="26" t="n">
        <f aca="false">Malla_2027!F12</f>
        <v>1</v>
      </c>
      <c r="I31" s="26" t="n">
        <f aca="false">H31*Parametros!$C$14</f>
        <v>10</v>
      </c>
      <c r="J31" s="26" t="n">
        <f aca="false">H31*Parametros!$C$15</f>
        <v>9</v>
      </c>
      <c r="K31" s="26" t="n">
        <f aca="false">H31*Parametros!$C$16</f>
        <v>9</v>
      </c>
      <c r="L31" s="26" t="n">
        <f aca="false">H31*Parametros!$C$17</f>
        <v>9</v>
      </c>
      <c r="M31" s="26" t="n">
        <f aca="false">SUM(I31:L31)</f>
        <v>37</v>
      </c>
      <c r="N31" s="53" t="n">
        <f aca="false">M31*Parametros!$C$29/60</f>
        <v>37</v>
      </c>
      <c r="O31" s="26" t="n">
        <f aca="false">ROUNDDOWN(M31*Parametros!$C$26,0)</f>
        <v>7</v>
      </c>
      <c r="P31" s="26" t="n">
        <f aca="false">M31-O31</f>
        <v>30</v>
      </c>
      <c r="Q31" s="26" t="s">
        <v>367</v>
      </c>
      <c r="R31" s="26" t="s">
        <v>368</v>
      </c>
    </row>
    <row r="32" customFormat="false" ht="28.35" hidden="false" customHeight="false" outlineLevel="0" collapsed="false">
      <c r="A32" s="26" t="n">
        <v>28</v>
      </c>
      <c r="B32" s="26" t="s">
        <v>385</v>
      </c>
      <c r="C32" s="26" t="s">
        <v>66</v>
      </c>
      <c r="D32" s="26" t="s">
        <v>201</v>
      </c>
      <c r="E32" s="27" t="s">
        <v>234</v>
      </c>
      <c r="F32" s="27" t="s">
        <v>238</v>
      </c>
      <c r="G32" s="27" t="s">
        <v>214</v>
      </c>
      <c r="H32" s="26" t="n">
        <f aca="false">Malla_2027!F13</f>
        <v>1</v>
      </c>
      <c r="I32" s="26" t="n">
        <f aca="false">H32*Parametros!$C$14</f>
        <v>10</v>
      </c>
      <c r="J32" s="26" t="n">
        <f aca="false">H32*Parametros!$C$15</f>
        <v>9</v>
      </c>
      <c r="K32" s="26" t="n">
        <f aca="false">H32*Parametros!$C$16</f>
        <v>9</v>
      </c>
      <c r="L32" s="26" t="n">
        <f aca="false">H32*Parametros!$C$17</f>
        <v>9</v>
      </c>
      <c r="M32" s="26" t="n">
        <f aca="false">SUM(I32:L32)</f>
        <v>37</v>
      </c>
      <c r="N32" s="53" t="n">
        <f aca="false">M32*Parametros!$C$29/60</f>
        <v>37</v>
      </c>
      <c r="O32" s="26" t="n">
        <f aca="false">ROUNDDOWN(M32*Parametros!$C$26,0)</f>
        <v>7</v>
      </c>
      <c r="P32" s="26" t="n">
        <f aca="false">M32-O32</f>
        <v>30</v>
      </c>
      <c r="Q32" s="26" t="s">
        <v>367</v>
      </c>
      <c r="R32" s="26" t="s">
        <v>368</v>
      </c>
    </row>
    <row r="33" customFormat="false" ht="28.35" hidden="false" customHeight="false" outlineLevel="0" collapsed="false">
      <c r="A33" s="26" t="n">
        <v>29</v>
      </c>
      <c r="B33" s="26" t="s">
        <v>386</v>
      </c>
      <c r="C33" s="26" t="s">
        <v>66</v>
      </c>
      <c r="D33" s="26" t="s">
        <v>201</v>
      </c>
      <c r="E33" s="27" t="s">
        <v>234</v>
      </c>
      <c r="F33" s="27" t="s">
        <v>240</v>
      </c>
      <c r="G33" s="27" t="s">
        <v>214</v>
      </c>
      <c r="H33" s="26" t="n">
        <f aca="false">Malla_2027!F14</f>
        <v>1</v>
      </c>
      <c r="I33" s="26" t="n">
        <f aca="false">H33*Parametros!$C$14</f>
        <v>10</v>
      </c>
      <c r="J33" s="26" t="n">
        <f aca="false">H33*Parametros!$C$15</f>
        <v>9</v>
      </c>
      <c r="K33" s="26" t="n">
        <f aca="false">H33*Parametros!$C$16</f>
        <v>9</v>
      </c>
      <c r="L33" s="26" t="n">
        <f aca="false">H33*Parametros!$C$17</f>
        <v>9</v>
      </c>
      <c r="M33" s="26" t="n">
        <f aca="false">SUM(I33:L33)</f>
        <v>37</v>
      </c>
      <c r="N33" s="53" t="n">
        <f aca="false">M33*Parametros!$C$29/60</f>
        <v>37</v>
      </c>
      <c r="O33" s="26" t="n">
        <f aca="false">ROUNDDOWN(M33*Parametros!$C$26,0)</f>
        <v>7</v>
      </c>
      <c r="P33" s="26" t="n">
        <f aca="false">M33-O33</f>
        <v>30</v>
      </c>
      <c r="Q33" s="26" t="s">
        <v>367</v>
      </c>
      <c r="R33" s="26" t="s">
        <v>368</v>
      </c>
    </row>
    <row r="34" customFormat="false" ht="28.35" hidden="false" customHeight="false" outlineLevel="0" collapsed="false">
      <c r="A34" s="26" t="n">
        <v>30</v>
      </c>
      <c r="B34" s="26" t="s">
        <v>387</v>
      </c>
      <c r="C34" s="26" t="s">
        <v>66</v>
      </c>
      <c r="D34" s="26" t="s">
        <v>201</v>
      </c>
      <c r="E34" s="27" t="s">
        <v>242</v>
      </c>
      <c r="F34" s="27" t="s">
        <v>243</v>
      </c>
      <c r="G34" s="27" t="s">
        <v>214</v>
      </c>
      <c r="H34" s="26" t="n">
        <f aca="false">Malla_2027!F15</f>
        <v>1</v>
      </c>
      <c r="I34" s="26" t="n">
        <f aca="false">H34*Parametros!$C$14</f>
        <v>10</v>
      </c>
      <c r="J34" s="26" t="n">
        <f aca="false">H34*Parametros!$C$15</f>
        <v>9</v>
      </c>
      <c r="K34" s="26" t="n">
        <f aca="false">H34*Parametros!$C$16</f>
        <v>9</v>
      </c>
      <c r="L34" s="26" t="n">
        <f aca="false">H34*Parametros!$C$17</f>
        <v>9</v>
      </c>
      <c r="M34" s="26" t="n">
        <f aca="false">SUM(I34:L34)</f>
        <v>37</v>
      </c>
      <c r="N34" s="53" t="n">
        <f aca="false">M34*Parametros!$C$29/60</f>
        <v>37</v>
      </c>
      <c r="O34" s="26" t="n">
        <f aca="false">ROUNDDOWN(M34*Parametros!$C$26,0)</f>
        <v>7</v>
      </c>
      <c r="P34" s="26" t="n">
        <f aca="false">M34-O34</f>
        <v>30</v>
      </c>
      <c r="Q34" s="26" t="s">
        <v>367</v>
      </c>
      <c r="R34" s="26" t="s">
        <v>368</v>
      </c>
    </row>
    <row r="35" customFormat="false" ht="28.35" hidden="false" customHeight="false" outlineLevel="0" collapsed="false">
      <c r="A35" s="26" t="n">
        <v>31</v>
      </c>
      <c r="B35" s="26" t="s">
        <v>388</v>
      </c>
      <c r="C35" s="26" t="s">
        <v>66</v>
      </c>
      <c r="D35" s="26" t="s">
        <v>201</v>
      </c>
      <c r="E35" s="27" t="s">
        <v>246</v>
      </c>
      <c r="F35" s="27" t="s">
        <v>246</v>
      </c>
      <c r="G35" s="27" t="s">
        <v>214</v>
      </c>
      <c r="H35" s="26" t="n">
        <f aca="false">Malla_2027!F16</f>
        <v>2</v>
      </c>
      <c r="I35" s="26" t="n">
        <f aca="false">H35*Parametros!$C$14</f>
        <v>20</v>
      </c>
      <c r="J35" s="26" t="n">
        <f aca="false">H35*Parametros!$C$15</f>
        <v>18</v>
      </c>
      <c r="K35" s="26" t="n">
        <f aca="false">H35*Parametros!$C$16</f>
        <v>18</v>
      </c>
      <c r="L35" s="26" t="n">
        <f aca="false">H35*Parametros!$C$17</f>
        <v>18</v>
      </c>
      <c r="M35" s="26" t="n">
        <f aca="false">SUM(I35:L35)</f>
        <v>74</v>
      </c>
      <c r="N35" s="53" t="n">
        <f aca="false">M35*Parametros!$C$29/60</f>
        <v>74</v>
      </c>
      <c r="O35" s="26" t="n">
        <f aca="false">ROUNDDOWN(M35*Parametros!$C$26,0)</f>
        <v>14</v>
      </c>
      <c r="P35" s="26" t="n">
        <f aca="false">M35-O35</f>
        <v>60</v>
      </c>
      <c r="Q35" s="26" t="s">
        <v>367</v>
      </c>
      <c r="R35" s="26" t="s">
        <v>368</v>
      </c>
    </row>
    <row r="36" customFormat="false" ht="28.35" hidden="false" customHeight="false" outlineLevel="0" collapsed="false">
      <c r="A36" s="26" t="n">
        <v>32</v>
      </c>
      <c r="B36" s="26" t="s">
        <v>389</v>
      </c>
      <c r="C36" s="26" t="s">
        <v>66</v>
      </c>
      <c r="D36" s="26" t="s">
        <v>201</v>
      </c>
      <c r="E36" s="27" t="s">
        <v>249</v>
      </c>
      <c r="F36" s="27" t="s">
        <v>250</v>
      </c>
      <c r="G36" s="27" t="s">
        <v>214</v>
      </c>
      <c r="H36" s="26" t="n">
        <f aca="false">Malla_2027!F17</f>
        <v>3</v>
      </c>
      <c r="I36" s="26" t="n">
        <f aca="false">H36*Parametros!$C$14</f>
        <v>30</v>
      </c>
      <c r="J36" s="26" t="n">
        <f aca="false">H36*Parametros!$C$15</f>
        <v>27</v>
      </c>
      <c r="K36" s="26" t="n">
        <f aca="false">H36*Parametros!$C$16</f>
        <v>27</v>
      </c>
      <c r="L36" s="26" t="n">
        <f aca="false">H36*Parametros!$C$17</f>
        <v>27</v>
      </c>
      <c r="M36" s="26" t="n">
        <f aca="false">SUM(I36:L36)</f>
        <v>111</v>
      </c>
      <c r="N36" s="53" t="n">
        <f aca="false">M36*Parametros!$C$29/60</f>
        <v>111</v>
      </c>
      <c r="O36" s="26" t="n">
        <f aca="false">ROUNDDOWN(M36*Parametros!$C$26,0)</f>
        <v>22</v>
      </c>
      <c r="P36" s="26" t="n">
        <f aca="false">M36-O36</f>
        <v>89</v>
      </c>
      <c r="Q36" s="26" t="s">
        <v>367</v>
      </c>
      <c r="R36" s="26" t="s">
        <v>368</v>
      </c>
    </row>
    <row r="37" customFormat="false" ht="28.35" hidden="false" customHeight="false" outlineLevel="0" collapsed="false">
      <c r="A37" s="26" t="n">
        <v>33</v>
      </c>
      <c r="B37" s="26" t="s">
        <v>390</v>
      </c>
      <c r="C37" s="26" t="s">
        <v>66</v>
      </c>
      <c r="D37" s="26" t="s">
        <v>201</v>
      </c>
      <c r="E37" s="27" t="s">
        <v>252</v>
      </c>
      <c r="F37" s="27" t="s">
        <v>253</v>
      </c>
      <c r="G37" s="27" t="s">
        <v>214</v>
      </c>
      <c r="H37" s="26" t="n">
        <f aca="false">Malla_2027!F18</f>
        <v>5</v>
      </c>
      <c r="I37" s="26" t="n">
        <f aca="false">H37*Parametros!$C$14</f>
        <v>50</v>
      </c>
      <c r="J37" s="26" t="n">
        <f aca="false">H37*Parametros!$C$15</f>
        <v>45</v>
      </c>
      <c r="K37" s="26" t="n">
        <f aca="false">H37*Parametros!$C$16</f>
        <v>45</v>
      </c>
      <c r="L37" s="26" t="n">
        <f aca="false">H37*Parametros!$C$17</f>
        <v>45</v>
      </c>
      <c r="M37" s="26" t="n">
        <f aca="false">SUM(I37:L37)</f>
        <v>185</v>
      </c>
      <c r="N37" s="53" t="n">
        <f aca="false">M37*Parametros!$C$29/60</f>
        <v>185</v>
      </c>
      <c r="O37" s="26" t="n">
        <f aca="false">ROUNDDOWN(M37*Parametros!$C$26,0)</f>
        <v>37</v>
      </c>
      <c r="P37" s="26" t="n">
        <f aca="false">M37-O37</f>
        <v>148</v>
      </c>
      <c r="Q37" s="26" t="s">
        <v>367</v>
      </c>
      <c r="R37" s="26" t="s">
        <v>368</v>
      </c>
    </row>
    <row r="38" customFormat="false" ht="28.35" hidden="false" customHeight="false" outlineLevel="0" collapsed="false">
      <c r="A38" s="26" t="n">
        <v>34</v>
      </c>
      <c r="B38" s="26" t="s">
        <v>391</v>
      </c>
      <c r="C38" s="26" t="s">
        <v>66</v>
      </c>
      <c r="D38" s="26" t="s">
        <v>201</v>
      </c>
      <c r="E38" s="27" t="s">
        <v>252</v>
      </c>
      <c r="F38" s="27" t="s">
        <v>255</v>
      </c>
      <c r="G38" s="27" t="s">
        <v>214</v>
      </c>
      <c r="H38" s="26" t="n">
        <f aca="false">Malla_2027!F19</f>
        <v>4</v>
      </c>
      <c r="I38" s="26" t="n">
        <f aca="false">H38*Parametros!$C$14</f>
        <v>40</v>
      </c>
      <c r="J38" s="26" t="n">
        <f aca="false">H38*Parametros!$C$15</f>
        <v>36</v>
      </c>
      <c r="K38" s="26" t="n">
        <f aca="false">H38*Parametros!$C$16</f>
        <v>36</v>
      </c>
      <c r="L38" s="26" t="n">
        <f aca="false">H38*Parametros!$C$17</f>
        <v>36</v>
      </c>
      <c r="M38" s="26" t="n">
        <f aca="false">SUM(I38:L38)</f>
        <v>148</v>
      </c>
      <c r="N38" s="53" t="n">
        <f aca="false">M38*Parametros!$C$29/60</f>
        <v>148</v>
      </c>
      <c r="O38" s="26" t="n">
        <f aca="false">ROUNDDOWN(M38*Parametros!$C$26,0)</f>
        <v>29</v>
      </c>
      <c r="P38" s="26" t="n">
        <f aca="false">M38-O38</f>
        <v>119</v>
      </c>
      <c r="Q38" s="26" t="s">
        <v>367</v>
      </c>
      <c r="R38" s="26" t="s">
        <v>368</v>
      </c>
    </row>
    <row r="39" customFormat="false" ht="28.35" hidden="false" customHeight="false" outlineLevel="0" collapsed="false">
      <c r="A39" s="26" t="n">
        <v>35</v>
      </c>
      <c r="B39" s="26" t="s">
        <v>392</v>
      </c>
      <c r="C39" s="26" t="s">
        <v>66</v>
      </c>
      <c r="D39" s="26" t="s">
        <v>201</v>
      </c>
      <c r="E39" s="27" t="s">
        <v>257</v>
      </c>
      <c r="F39" s="27" t="s">
        <v>257</v>
      </c>
      <c r="G39" s="27" t="s">
        <v>214</v>
      </c>
      <c r="H39" s="26" t="n">
        <f aca="false">Malla_2027!F20</f>
        <v>5</v>
      </c>
      <c r="I39" s="26" t="n">
        <f aca="false">H39*Parametros!$C$14</f>
        <v>50</v>
      </c>
      <c r="J39" s="26" t="n">
        <f aca="false">H39*Parametros!$C$15</f>
        <v>45</v>
      </c>
      <c r="K39" s="26" t="n">
        <f aca="false">H39*Parametros!$C$16</f>
        <v>45</v>
      </c>
      <c r="L39" s="26" t="n">
        <f aca="false">H39*Parametros!$C$17</f>
        <v>45</v>
      </c>
      <c r="M39" s="26" t="n">
        <f aca="false">SUM(I39:L39)</f>
        <v>185</v>
      </c>
      <c r="N39" s="53" t="n">
        <f aca="false">M39*Parametros!$C$29/60</f>
        <v>185</v>
      </c>
      <c r="O39" s="26" t="n">
        <f aca="false">ROUNDDOWN(M39*Parametros!$C$26,0)</f>
        <v>37</v>
      </c>
      <c r="P39" s="26" t="n">
        <f aca="false">M39-O39</f>
        <v>148</v>
      </c>
      <c r="Q39" s="26" t="s">
        <v>367</v>
      </c>
      <c r="R39" s="26" t="s">
        <v>368</v>
      </c>
    </row>
    <row r="40" customFormat="false" ht="15" hidden="false" customHeight="false" outlineLevel="0" collapsed="false">
      <c r="A40" s="26" t="n">
        <v>36</v>
      </c>
      <c r="B40" s="26" t="s">
        <v>393</v>
      </c>
      <c r="C40" s="26" t="s">
        <v>66</v>
      </c>
      <c r="D40" s="26" t="s">
        <v>201</v>
      </c>
      <c r="E40" s="27" t="s">
        <v>267</v>
      </c>
      <c r="F40" s="27" t="s">
        <v>267</v>
      </c>
      <c r="G40" s="27" t="s">
        <v>214</v>
      </c>
      <c r="H40" s="26" t="n">
        <f aca="false">Malla_2027!F24</f>
        <v>3</v>
      </c>
      <c r="I40" s="26" t="n">
        <f aca="false">H40*Parametros!$C$14</f>
        <v>30</v>
      </c>
      <c r="J40" s="26" t="n">
        <f aca="false">H40*Parametros!$C$15</f>
        <v>27</v>
      </c>
      <c r="K40" s="26" t="n">
        <f aca="false">H40*Parametros!$C$16</f>
        <v>27</v>
      </c>
      <c r="L40" s="26" t="n">
        <f aca="false">H40*Parametros!$C$17</f>
        <v>27</v>
      </c>
      <c r="M40" s="26" t="n">
        <f aca="false">SUM(I40:L40)</f>
        <v>111</v>
      </c>
      <c r="N40" s="53" t="n">
        <f aca="false">M40*Parametros!$C$29/60</f>
        <v>111</v>
      </c>
      <c r="O40" s="26" t="n">
        <f aca="false">ROUNDDOWN(M40*Parametros!$C$26,0)</f>
        <v>22</v>
      </c>
      <c r="P40" s="26" t="n">
        <f aca="false">M40-O40</f>
        <v>89</v>
      </c>
      <c r="Q40" s="26" t="s">
        <v>367</v>
      </c>
      <c r="R40" s="26" t="s">
        <v>369</v>
      </c>
    </row>
    <row r="41" customFormat="false" ht="28.35" hidden="false" customHeight="false" outlineLevel="0" collapsed="false">
      <c r="A41" s="26" t="n">
        <v>37</v>
      </c>
      <c r="B41" s="26" t="s">
        <v>394</v>
      </c>
      <c r="C41" s="26" t="s">
        <v>66</v>
      </c>
      <c r="D41" s="26" t="s">
        <v>202</v>
      </c>
      <c r="E41" s="27" t="s">
        <v>213</v>
      </c>
      <c r="F41" s="27" t="s">
        <v>213</v>
      </c>
      <c r="G41" s="27" t="s">
        <v>214</v>
      </c>
      <c r="H41" s="26" t="n">
        <f aca="false">Malla_2027!G6</f>
        <v>4</v>
      </c>
      <c r="I41" s="26" t="n">
        <f aca="false">H41*Parametros!$C$14</f>
        <v>40</v>
      </c>
      <c r="J41" s="26" t="n">
        <f aca="false">H41*Parametros!$C$15</f>
        <v>36</v>
      </c>
      <c r="K41" s="26" t="n">
        <f aca="false">H41*Parametros!$C$16</f>
        <v>36</v>
      </c>
      <c r="L41" s="26" t="n">
        <f aca="false">H41*Parametros!$C$17</f>
        <v>36</v>
      </c>
      <c r="M41" s="26" t="n">
        <f aca="false">SUM(I41:L41)</f>
        <v>148</v>
      </c>
      <c r="N41" s="53" t="n">
        <f aca="false">M41*Parametros!$C$29/60</f>
        <v>148</v>
      </c>
      <c r="O41" s="26" t="n">
        <f aca="false">ROUNDDOWN(M41*Parametros!$C$26,0)</f>
        <v>29</v>
      </c>
      <c r="P41" s="26" t="n">
        <f aca="false">M41-O41</f>
        <v>119</v>
      </c>
      <c r="Q41" s="26" t="s">
        <v>367</v>
      </c>
      <c r="R41" s="26" t="s">
        <v>368</v>
      </c>
    </row>
    <row r="42" customFormat="false" ht="28.35" hidden="false" customHeight="false" outlineLevel="0" collapsed="false">
      <c r="A42" s="26" t="n">
        <v>38</v>
      </c>
      <c r="B42" s="26" t="s">
        <v>395</v>
      </c>
      <c r="C42" s="26" t="s">
        <v>66</v>
      </c>
      <c r="D42" s="26" t="s">
        <v>202</v>
      </c>
      <c r="E42" s="27" t="s">
        <v>223</v>
      </c>
      <c r="F42" s="27" t="s">
        <v>224</v>
      </c>
      <c r="G42" s="27" t="s">
        <v>214</v>
      </c>
      <c r="H42" s="26" t="n">
        <f aca="false">Malla_2027!G9</f>
        <v>4</v>
      </c>
      <c r="I42" s="26" t="n">
        <f aca="false">H42*Parametros!$C$14</f>
        <v>40</v>
      </c>
      <c r="J42" s="26" t="n">
        <f aca="false">H42*Parametros!$C$15</f>
        <v>36</v>
      </c>
      <c r="K42" s="26" t="n">
        <f aca="false">H42*Parametros!$C$16</f>
        <v>36</v>
      </c>
      <c r="L42" s="26" t="n">
        <f aca="false">H42*Parametros!$C$17</f>
        <v>36</v>
      </c>
      <c r="M42" s="26" t="n">
        <f aca="false">SUM(I42:L42)</f>
        <v>148</v>
      </c>
      <c r="N42" s="53" t="n">
        <f aca="false">M42*Parametros!$C$29/60</f>
        <v>148</v>
      </c>
      <c r="O42" s="26" t="n">
        <f aca="false">ROUNDDOWN(M42*Parametros!$C$26,0)</f>
        <v>29</v>
      </c>
      <c r="P42" s="26" t="n">
        <f aca="false">M42-O42</f>
        <v>119</v>
      </c>
      <c r="Q42" s="26" t="s">
        <v>367</v>
      </c>
      <c r="R42" s="26" t="s">
        <v>368</v>
      </c>
    </row>
    <row r="43" customFormat="false" ht="28.35" hidden="false" customHeight="false" outlineLevel="0" collapsed="false">
      <c r="A43" s="26" t="n">
        <v>39</v>
      </c>
      <c r="B43" s="26" t="s">
        <v>396</v>
      </c>
      <c r="C43" s="26" t="s">
        <v>66</v>
      </c>
      <c r="D43" s="26" t="s">
        <v>202</v>
      </c>
      <c r="E43" s="27" t="s">
        <v>234</v>
      </c>
      <c r="F43" s="27" t="s">
        <v>235</v>
      </c>
      <c r="G43" s="27" t="s">
        <v>214</v>
      </c>
      <c r="H43" s="26" t="n">
        <f aca="false">Malla_2027!G12</f>
        <v>1</v>
      </c>
      <c r="I43" s="26" t="n">
        <f aca="false">H43*Parametros!$C$14</f>
        <v>10</v>
      </c>
      <c r="J43" s="26" t="n">
        <f aca="false">H43*Parametros!$C$15</f>
        <v>9</v>
      </c>
      <c r="K43" s="26" t="n">
        <f aca="false">H43*Parametros!$C$16</f>
        <v>9</v>
      </c>
      <c r="L43" s="26" t="n">
        <f aca="false">H43*Parametros!$C$17</f>
        <v>9</v>
      </c>
      <c r="M43" s="26" t="n">
        <f aca="false">SUM(I43:L43)</f>
        <v>37</v>
      </c>
      <c r="N43" s="53" t="n">
        <f aca="false">M43*Parametros!$C$29/60</f>
        <v>37</v>
      </c>
      <c r="O43" s="26" t="n">
        <f aca="false">ROUNDDOWN(M43*Parametros!$C$26,0)</f>
        <v>7</v>
      </c>
      <c r="P43" s="26" t="n">
        <f aca="false">M43-O43</f>
        <v>30</v>
      </c>
      <c r="Q43" s="26" t="s">
        <v>367</v>
      </c>
      <c r="R43" s="26" t="s">
        <v>368</v>
      </c>
    </row>
    <row r="44" customFormat="false" ht="28.35" hidden="false" customHeight="false" outlineLevel="0" collapsed="false">
      <c r="A44" s="26" t="n">
        <v>40</v>
      </c>
      <c r="B44" s="26" t="s">
        <v>397</v>
      </c>
      <c r="C44" s="26" t="s">
        <v>66</v>
      </c>
      <c r="D44" s="26" t="s">
        <v>202</v>
      </c>
      <c r="E44" s="27" t="s">
        <v>234</v>
      </c>
      <c r="F44" s="27" t="s">
        <v>238</v>
      </c>
      <c r="G44" s="27" t="s">
        <v>214</v>
      </c>
      <c r="H44" s="26" t="n">
        <f aca="false">Malla_2027!G13</f>
        <v>1</v>
      </c>
      <c r="I44" s="26" t="n">
        <f aca="false">H44*Parametros!$C$14</f>
        <v>10</v>
      </c>
      <c r="J44" s="26" t="n">
        <f aca="false">H44*Parametros!$C$15</f>
        <v>9</v>
      </c>
      <c r="K44" s="26" t="n">
        <f aca="false">H44*Parametros!$C$16</f>
        <v>9</v>
      </c>
      <c r="L44" s="26" t="n">
        <f aca="false">H44*Parametros!$C$17</f>
        <v>9</v>
      </c>
      <c r="M44" s="26" t="n">
        <f aca="false">SUM(I44:L44)</f>
        <v>37</v>
      </c>
      <c r="N44" s="53" t="n">
        <f aca="false">M44*Parametros!$C$29/60</f>
        <v>37</v>
      </c>
      <c r="O44" s="26" t="n">
        <f aca="false">ROUNDDOWN(M44*Parametros!$C$26,0)</f>
        <v>7</v>
      </c>
      <c r="P44" s="26" t="n">
        <f aca="false">M44-O44</f>
        <v>30</v>
      </c>
      <c r="Q44" s="26" t="s">
        <v>367</v>
      </c>
      <c r="R44" s="26" t="s">
        <v>368</v>
      </c>
    </row>
    <row r="45" customFormat="false" ht="28.35" hidden="false" customHeight="false" outlineLevel="0" collapsed="false">
      <c r="A45" s="26" t="n">
        <v>41</v>
      </c>
      <c r="B45" s="26" t="s">
        <v>398</v>
      </c>
      <c r="C45" s="26" t="s">
        <v>66</v>
      </c>
      <c r="D45" s="26" t="s">
        <v>202</v>
      </c>
      <c r="E45" s="27" t="s">
        <v>234</v>
      </c>
      <c r="F45" s="27" t="s">
        <v>240</v>
      </c>
      <c r="G45" s="27" t="s">
        <v>214</v>
      </c>
      <c r="H45" s="26" t="n">
        <f aca="false">Malla_2027!G14</f>
        <v>1</v>
      </c>
      <c r="I45" s="26" t="n">
        <f aca="false">H45*Parametros!$C$14</f>
        <v>10</v>
      </c>
      <c r="J45" s="26" t="n">
        <f aca="false">H45*Parametros!$C$15</f>
        <v>9</v>
      </c>
      <c r="K45" s="26" t="n">
        <f aca="false">H45*Parametros!$C$16</f>
        <v>9</v>
      </c>
      <c r="L45" s="26" t="n">
        <f aca="false">H45*Parametros!$C$17</f>
        <v>9</v>
      </c>
      <c r="M45" s="26" t="n">
        <f aca="false">SUM(I45:L45)</f>
        <v>37</v>
      </c>
      <c r="N45" s="53" t="n">
        <f aca="false">M45*Parametros!$C$29/60</f>
        <v>37</v>
      </c>
      <c r="O45" s="26" t="n">
        <f aca="false">ROUNDDOWN(M45*Parametros!$C$26,0)</f>
        <v>7</v>
      </c>
      <c r="P45" s="26" t="n">
        <f aca="false">M45-O45</f>
        <v>30</v>
      </c>
      <c r="Q45" s="26" t="s">
        <v>367</v>
      </c>
      <c r="R45" s="26" t="s">
        <v>368</v>
      </c>
    </row>
    <row r="46" customFormat="false" ht="28.35" hidden="false" customHeight="false" outlineLevel="0" collapsed="false">
      <c r="A46" s="26" t="n">
        <v>42</v>
      </c>
      <c r="B46" s="26" t="s">
        <v>399</v>
      </c>
      <c r="C46" s="26" t="s">
        <v>66</v>
      </c>
      <c r="D46" s="26" t="s">
        <v>202</v>
      </c>
      <c r="E46" s="27" t="s">
        <v>242</v>
      </c>
      <c r="F46" s="27" t="s">
        <v>243</v>
      </c>
      <c r="G46" s="27" t="s">
        <v>214</v>
      </c>
      <c r="H46" s="26" t="n">
        <f aca="false">Malla_2027!G15</f>
        <v>1</v>
      </c>
      <c r="I46" s="26" t="n">
        <f aca="false">H46*Parametros!$C$14</f>
        <v>10</v>
      </c>
      <c r="J46" s="26" t="n">
        <f aca="false">H46*Parametros!$C$15</f>
        <v>9</v>
      </c>
      <c r="K46" s="26" t="n">
        <f aca="false">H46*Parametros!$C$16</f>
        <v>9</v>
      </c>
      <c r="L46" s="26" t="n">
        <f aca="false">H46*Parametros!$C$17</f>
        <v>9</v>
      </c>
      <c r="M46" s="26" t="n">
        <f aca="false">SUM(I46:L46)</f>
        <v>37</v>
      </c>
      <c r="N46" s="53" t="n">
        <f aca="false">M46*Parametros!$C$29/60</f>
        <v>37</v>
      </c>
      <c r="O46" s="26" t="n">
        <f aca="false">ROUNDDOWN(M46*Parametros!$C$26,0)</f>
        <v>7</v>
      </c>
      <c r="P46" s="26" t="n">
        <f aca="false">M46-O46</f>
        <v>30</v>
      </c>
      <c r="Q46" s="26" t="s">
        <v>367</v>
      </c>
      <c r="R46" s="26" t="s">
        <v>368</v>
      </c>
    </row>
    <row r="47" customFormat="false" ht="28.35" hidden="false" customHeight="false" outlineLevel="0" collapsed="false">
      <c r="A47" s="26" t="n">
        <v>43</v>
      </c>
      <c r="B47" s="26" t="s">
        <v>400</v>
      </c>
      <c r="C47" s="26" t="s">
        <v>66</v>
      </c>
      <c r="D47" s="26" t="s">
        <v>202</v>
      </c>
      <c r="E47" s="27" t="s">
        <v>246</v>
      </c>
      <c r="F47" s="27" t="s">
        <v>246</v>
      </c>
      <c r="G47" s="27" t="s">
        <v>214</v>
      </c>
      <c r="H47" s="26" t="n">
        <f aca="false">Malla_2027!G16</f>
        <v>2</v>
      </c>
      <c r="I47" s="26" t="n">
        <f aca="false">H47*Parametros!$C$14</f>
        <v>20</v>
      </c>
      <c r="J47" s="26" t="n">
        <f aca="false">H47*Parametros!$C$15</f>
        <v>18</v>
      </c>
      <c r="K47" s="26" t="n">
        <f aca="false">H47*Parametros!$C$16</f>
        <v>18</v>
      </c>
      <c r="L47" s="26" t="n">
        <f aca="false">H47*Parametros!$C$17</f>
        <v>18</v>
      </c>
      <c r="M47" s="26" t="n">
        <f aca="false">SUM(I47:L47)</f>
        <v>74</v>
      </c>
      <c r="N47" s="53" t="n">
        <f aca="false">M47*Parametros!$C$29/60</f>
        <v>74</v>
      </c>
      <c r="O47" s="26" t="n">
        <f aca="false">ROUNDDOWN(M47*Parametros!$C$26,0)</f>
        <v>14</v>
      </c>
      <c r="P47" s="26" t="n">
        <f aca="false">M47-O47</f>
        <v>60</v>
      </c>
      <c r="Q47" s="26" t="s">
        <v>367</v>
      </c>
      <c r="R47" s="26" t="s">
        <v>368</v>
      </c>
    </row>
    <row r="48" customFormat="false" ht="28.35" hidden="false" customHeight="false" outlineLevel="0" collapsed="false">
      <c r="A48" s="26" t="n">
        <v>44</v>
      </c>
      <c r="B48" s="26" t="s">
        <v>401</v>
      </c>
      <c r="C48" s="26" t="s">
        <v>66</v>
      </c>
      <c r="D48" s="26" t="s">
        <v>202</v>
      </c>
      <c r="E48" s="27" t="s">
        <v>249</v>
      </c>
      <c r="F48" s="27" t="s">
        <v>250</v>
      </c>
      <c r="G48" s="27" t="s">
        <v>214</v>
      </c>
      <c r="H48" s="26" t="n">
        <f aca="false">Malla_2027!G17</f>
        <v>3</v>
      </c>
      <c r="I48" s="26" t="n">
        <f aca="false">H48*Parametros!$C$14</f>
        <v>30</v>
      </c>
      <c r="J48" s="26" t="n">
        <f aca="false">H48*Parametros!$C$15</f>
        <v>27</v>
      </c>
      <c r="K48" s="26" t="n">
        <f aca="false">H48*Parametros!$C$16</f>
        <v>27</v>
      </c>
      <c r="L48" s="26" t="n">
        <f aca="false">H48*Parametros!$C$17</f>
        <v>27</v>
      </c>
      <c r="M48" s="26" t="n">
        <f aca="false">SUM(I48:L48)</f>
        <v>111</v>
      </c>
      <c r="N48" s="53" t="n">
        <f aca="false">M48*Parametros!$C$29/60</f>
        <v>111</v>
      </c>
      <c r="O48" s="26" t="n">
        <f aca="false">ROUNDDOWN(M48*Parametros!$C$26,0)</f>
        <v>22</v>
      </c>
      <c r="P48" s="26" t="n">
        <f aca="false">M48-O48</f>
        <v>89</v>
      </c>
      <c r="Q48" s="26" t="s">
        <v>367</v>
      </c>
      <c r="R48" s="26" t="s">
        <v>368</v>
      </c>
    </row>
    <row r="49" customFormat="false" ht="28.35" hidden="false" customHeight="false" outlineLevel="0" collapsed="false">
      <c r="A49" s="26" t="n">
        <v>45</v>
      </c>
      <c r="B49" s="26" t="s">
        <v>402</v>
      </c>
      <c r="C49" s="26" t="s">
        <v>66</v>
      </c>
      <c r="D49" s="26" t="s">
        <v>202</v>
      </c>
      <c r="E49" s="27" t="s">
        <v>252</v>
      </c>
      <c r="F49" s="27" t="s">
        <v>253</v>
      </c>
      <c r="G49" s="27" t="s">
        <v>214</v>
      </c>
      <c r="H49" s="26" t="n">
        <f aca="false">Malla_2027!G18</f>
        <v>5</v>
      </c>
      <c r="I49" s="26" t="n">
        <f aca="false">H49*Parametros!$C$14</f>
        <v>50</v>
      </c>
      <c r="J49" s="26" t="n">
        <f aca="false">H49*Parametros!$C$15</f>
        <v>45</v>
      </c>
      <c r="K49" s="26" t="n">
        <f aca="false">H49*Parametros!$C$16</f>
        <v>45</v>
      </c>
      <c r="L49" s="26" t="n">
        <f aca="false">H49*Parametros!$C$17</f>
        <v>45</v>
      </c>
      <c r="M49" s="26" t="n">
        <f aca="false">SUM(I49:L49)</f>
        <v>185</v>
      </c>
      <c r="N49" s="53" t="n">
        <f aca="false">M49*Parametros!$C$29/60</f>
        <v>185</v>
      </c>
      <c r="O49" s="26" t="n">
        <f aca="false">ROUNDDOWN(M49*Parametros!$C$26,0)</f>
        <v>37</v>
      </c>
      <c r="P49" s="26" t="n">
        <f aca="false">M49-O49</f>
        <v>148</v>
      </c>
      <c r="Q49" s="26" t="s">
        <v>367</v>
      </c>
      <c r="R49" s="26" t="s">
        <v>368</v>
      </c>
    </row>
    <row r="50" customFormat="false" ht="28.35" hidden="false" customHeight="false" outlineLevel="0" collapsed="false">
      <c r="A50" s="26" t="n">
        <v>46</v>
      </c>
      <c r="B50" s="26" t="s">
        <v>403</v>
      </c>
      <c r="C50" s="26" t="s">
        <v>66</v>
      </c>
      <c r="D50" s="26" t="s">
        <v>202</v>
      </c>
      <c r="E50" s="27" t="s">
        <v>252</v>
      </c>
      <c r="F50" s="27" t="s">
        <v>255</v>
      </c>
      <c r="G50" s="27" t="s">
        <v>214</v>
      </c>
      <c r="H50" s="26" t="n">
        <f aca="false">Malla_2027!G19</f>
        <v>4</v>
      </c>
      <c r="I50" s="26" t="n">
        <f aca="false">H50*Parametros!$C$14</f>
        <v>40</v>
      </c>
      <c r="J50" s="26" t="n">
        <f aca="false">H50*Parametros!$C$15</f>
        <v>36</v>
      </c>
      <c r="K50" s="26" t="n">
        <f aca="false">H50*Parametros!$C$16</f>
        <v>36</v>
      </c>
      <c r="L50" s="26" t="n">
        <f aca="false">H50*Parametros!$C$17</f>
        <v>36</v>
      </c>
      <c r="M50" s="26" t="n">
        <f aca="false">SUM(I50:L50)</f>
        <v>148</v>
      </c>
      <c r="N50" s="53" t="n">
        <f aca="false">M50*Parametros!$C$29/60</f>
        <v>148</v>
      </c>
      <c r="O50" s="26" t="n">
        <f aca="false">ROUNDDOWN(M50*Parametros!$C$26,0)</f>
        <v>29</v>
      </c>
      <c r="P50" s="26" t="n">
        <f aca="false">M50-O50</f>
        <v>119</v>
      </c>
      <c r="Q50" s="26" t="s">
        <v>367</v>
      </c>
      <c r="R50" s="26" t="s">
        <v>368</v>
      </c>
    </row>
    <row r="51" customFormat="false" ht="28.35" hidden="false" customHeight="false" outlineLevel="0" collapsed="false">
      <c r="A51" s="26" t="n">
        <v>47</v>
      </c>
      <c r="B51" s="26" t="s">
        <v>404</v>
      </c>
      <c r="C51" s="26" t="s">
        <v>66</v>
      </c>
      <c r="D51" s="26" t="s">
        <v>202</v>
      </c>
      <c r="E51" s="27" t="s">
        <v>257</v>
      </c>
      <c r="F51" s="27" t="s">
        <v>257</v>
      </c>
      <c r="G51" s="27" t="s">
        <v>214</v>
      </c>
      <c r="H51" s="26" t="n">
        <f aca="false">Malla_2027!G20</f>
        <v>5</v>
      </c>
      <c r="I51" s="26" t="n">
        <f aca="false">H51*Parametros!$C$14</f>
        <v>50</v>
      </c>
      <c r="J51" s="26" t="n">
        <f aca="false">H51*Parametros!$C$15</f>
        <v>45</v>
      </c>
      <c r="K51" s="26" t="n">
        <f aca="false">H51*Parametros!$C$16</f>
        <v>45</v>
      </c>
      <c r="L51" s="26" t="n">
        <f aca="false">H51*Parametros!$C$17</f>
        <v>45</v>
      </c>
      <c r="M51" s="26" t="n">
        <f aca="false">SUM(I51:L51)</f>
        <v>185</v>
      </c>
      <c r="N51" s="53" t="n">
        <f aca="false">M51*Parametros!$C$29/60</f>
        <v>185</v>
      </c>
      <c r="O51" s="26" t="n">
        <f aca="false">ROUNDDOWN(M51*Parametros!$C$26,0)</f>
        <v>37</v>
      </c>
      <c r="P51" s="26" t="n">
        <f aca="false">M51-O51</f>
        <v>148</v>
      </c>
      <c r="Q51" s="26" t="s">
        <v>367</v>
      </c>
      <c r="R51" s="26" t="s">
        <v>368</v>
      </c>
    </row>
    <row r="52" customFormat="false" ht="15" hidden="false" customHeight="false" outlineLevel="0" collapsed="false">
      <c r="A52" s="26" t="n">
        <v>48</v>
      </c>
      <c r="B52" s="26" t="s">
        <v>405</v>
      </c>
      <c r="C52" s="26" t="s">
        <v>66</v>
      </c>
      <c r="D52" s="26" t="s">
        <v>202</v>
      </c>
      <c r="E52" s="27" t="s">
        <v>267</v>
      </c>
      <c r="F52" s="27" t="s">
        <v>267</v>
      </c>
      <c r="G52" s="27" t="s">
        <v>214</v>
      </c>
      <c r="H52" s="26" t="n">
        <f aca="false">Malla_2027!G24</f>
        <v>3</v>
      </c>
      <c r="I52" s="26" t="n">
        <f aca="false">H52*Parametros!$C$14</f>
        <v>30</v>
      </c>
      <c r="J52" s="26" t="n">
        <f aca="false">H52*Parametros!$C$15</f>
        <v>27</v>
      </c>
      <c r="K52" s="26" t="n">
        <f aca="false">H52*Parametros!$C$16</f>
        <v>27</v>
      </c>
      <c r="L52" s="26" t="n">
        <f aca="false">H52*Parametros!$C$17</f>
        <v>27</v>
      </c>
      <c r="M52" s="26" t="n">
        <f aca="false">SUM(I52:L52)</f>
        <v>111</v>
      </c>
      <c r="N52" s="53" t="n">
        <f aca="false">M52*Parametros!$C$29/60</f>
        <v>111</v>
      </c>
      <c r="O52" s="26" t="n">
        <f aca="false">ROUNDDOWN(M52*Parametros!$C$26,0)</f>
        <v>22</v>
      </c>
      <c r="P52" s="26" t="n">
        <f aca="false">M52-O52</f>
        <v>89</v>
      </c>
      <c r="Q52" s="26" t="s">
        <v>367</v>
      </c>
      <c r="R52" s="26" t="s">
        <v>369</v>
      </c>
    </row>
    <row r="53" customFormat="false" ht="28.35" hidden="false" customHeight="false" outlineLevel="0" collapsed="false">
      <c r="A53" s="26" t="n">
        <v>49</v>
      </c>
      <c r="B53" s="26" t="s">
        <v>406</v>
      </c>
      <c r="C53" s="26" t="s">
        <v>66</v>
      </c>
      <c r="D53" s="26" t="s">
        <v>203</v>
      </c>
      <c r="E53" s="27" t="s">
        <v>213</v>
      </c>
      <c r="F53" s="27" t="s">
        <v>213</v>
      </c>
      <c r="G53" s="27" t="s">
        <v>214</v>
      </c>
      <c r="H53" s="26" t="n">
        <f aca="false">Malla_2027!H6</f>
        <v>4</v>
      </c>
      <c r="I53" s="26" t="n">
        <f aca="false">H53*Parametros!$C$14</f>
        <v>40</v>
      </c>
      <c r="J53" s="26" t="n">
        <f aca="false">H53*Parametros!$C$15</f>
        <v>36</v>
      </c>
      <c r="K53" s="26" t="n">
        <f aca="false">H53*Parametros!$C$16</f>
        <v>36</v>
      </c>
      <c r="L53" s="26" t="n">
        <f aca="false">H53*Parametros!$C$17</f>
        <v>36</v>
      </c>
      <c r="M53" s="26" t="n">
        <f aca="false">SUM(I53:L53)</f>
        <v>148</v>
      </c>
      <c r="N53" s="53" t="n">
        <f aca="false">M53*Parametros!$C$29/60</f>
        <v>148</v>
      </c>
      <c r="O53" s="26" t="n">
        <f aca="false">ROUNDDOWN(M53*Parametros!$C$26,0)</f>
        <v>29</v>
      </c>
      <c r="P53" s="26" t="n">
        <f aca="false">M53-O53</f>
        <v>119</v>
      </c>
      <c r="Q53" s="26" t="s">
        <v>367</v>
      </c>
      <c r="R53" s="26" t="s">
        <v>368</v>
      </c>
    </row>
    <row r="54" customFormat="false" ht="28.35" hidden="false" customHeight="false" outlineLevel="0" collapsed="false">
      <c r="A54" s="26" t="n">
        <v>50</v>
      </c>
      <c r="B54" s="26" t="s">
        <v>407</v>
      </c>
      <c r="C54" s="26" t="s">
        <v>66</v>
      </c>
      <c r="D54" s="26" t="s">
        <v>203</v>
      </c>
      <c r="E54" s="27" t="s">
        <v>223</v>
      </c>
      <c r="F54" s="27" t="s">
        <v>224</v>
      </c>
      <c r="G54" s="27" t="s">
        <v>214</v>
      </c>
      <c r="H54" s="26" t="n">
        <f aca="false">Malla_2027!H9</f>
        <v>4</v>
      </c>
      <c r="I54" s="26" t="n">
        <f aca="false">H54*Parametros!$C$14</f>
        <v>40</v>
      </c>
      <c r="J54" s="26" t="n">
        <f aca="false">H54*Parametros!$C$15</f>
        <v>36</v>
      </c>
      <c r="K54" s="26" t="n">
        <f aca="false">H54*Parametros!$C$16</f>
        <v>36</v>
      </c>
      <c r="L54" s="26" t="n">
        <f aca="false">H54*Parametros!$C$17</f>
        <v>36</v>
      </c>
      <c r="M54" s="26" t="n">
        <f aca="false">SUM(I54:L54)</f>
        <v>148</v>
      </c>
      <c r="N54" s="53" t="n">
        <f aca="false">M54*Parametros!$C$29/60</f>
        <v>148</v>
      </c>
      <c r="O54" s="26" t="n">
        <f aca="false">ROUNDDOWN(M54*Parametros!$C$26,0)</f>
        <v>29</v>
      </c>
      <c r="P54" s="26" t="n">
        <f aca="false">M54-O54</f>
        <v>119</v>
      </c>
      <c r="Q54" s="26" t="s">
        <v>367</v>
      </c>
      <c r="R54" s="26" t="s">
        <v>368</v>
      </c>
    </row>
    <row r="55" customFormat="false" ht="28.35" hidden="false" customHeight="false" outlineLevel="0" collapsed="false">
      <c r="A55" s="26" t="n">
        <v>51</v>
      </c>
      <c r="B55" s="26" t="s">
        <v>408</v>
      </c>
      <c r="C55" s="26" t="s">
        <v>66</v>
      </c>
      <c r="D55" s="26" t="s">
        <v>203</v>
      </c>
      <c r="E55" s="27" t="s">
        <v>234</v>
      </c>
      <c r="F55" s="27" t="s">
        <v>235</v>
      </c>
      <c r="G55" s="27" t="s">
        <v>214</v>
      </c>
      <c r="H55" s="26" t="n">
        <f aca="false">Malla_2027!H12</f>
        <v>1</v>
      </c>
      <c r="I55" s="26" t="n">
        <f aca="false">H55*Parametros!$C$14</f>
        <v>10</v>
      </c>
      <c r="J55" s="26" t="n">
        <f aca="false">H55*Parametros!$C$15</f>
        <v>9</v>
      </c>
      <c r="K55" s="26" t="n">
        <f aca="false">H55*Parametros!$C$16</f>
        <v>9</v>
      </c>
      <c r="L55" s="26" t="n">
        <f aca="false">H55*Parametros!$C$17</f>
        <v>9</v>
      </c>
      <c r="M55" s="26" t="n">
        <f aca="false">SUM(I55:L55)</f>
        <v>37</v>
      </c>
      <c r="N55" s="53" t="n">
        <f aca="false">M55*Parametros!$C$29/60</f>
        <v>37</v>
      </c>
      <c r="O55" s="26" t="n">
        <f aca="false">ROUNDDOWN(M55*Parametros!$C$26,0)</f>
        <v>7</v>
      </c>
      <c r="P55" s="26" t="n">
        <f aca="false">M55-O55</f>
        <v>30</v>
      </c>
      <c r="Q55" s="26" t="s">
        <v>367</v>
      </c>
      <c r="R55" s="26" t="s">
        <v>368</v>
      </c>
    </row>
    <row r="56" customFormat="false" ht="28.35" hidden="false" customHeight="false" outlineLevel="0" collapsed="false">
      <c r="A56" s="26" t="n">
        <v>52</v>
      </c>
      <c r="B56" s="26" t="s">
        <v>409</v>
      </c>
      <c r="C56" s="26" t="s">
        <v>66</v>
      </c>
      <c r="D56" s="26" t="s">
        <v>203</v>
      </c>
      <c r="E56" s="27" t="s">
        <v>234</v>
      </c>
      <c r="F56" s="27" t="s">
        <v>238</v>
      </c>
      <c r="G56" s="27" t="s">
        <v>214</v>
      </c>
      <c r="H56" s="26" t="n">
        <f aca="false">Malla_2027!H13</f>
        <v>1</v>
      </c>
      <c r="I56" s="26" t="n">
        <f aca="false">H56*Parametros!$C$14</f>
        <v>10</v>
      </c>
      <c r="J56" s="26" t="n">
        <f aca="false">H56*Parametros!$C$15</f>
        <v>9</v>
      </c>
      <c r="K56" s="26" t="n">
        <f aca="false">H56*Parametros!$C$16</f>
        <v>9</v>
      </c>
      <c r="L56" s="26" t="n">
        <f aca="false">H56*Parametros!$C$17</f>
        <v>9</v>
      </c>
      <c r="M56" s="26" t="n">
        <f aca="false">SUM(I56:L56)</f>
        <v>37</v>
      </c>
      <c r="N56" s="53" t="n">
        <f aca="false">M56*Parametros!$C$29/60</f>
        <v>37</v>
      </c>
      <c r="O56" s="26" t="n">
        <f aca="false">ROUNDDOWN(M56*Parametros!$C$26,0)</f>
        <v>7</v>
      </c>
      <c r="P56" s="26" t="n">
        <f aca="false">M56-O56</f>
        <v>30</v>
      </c>
      <c r="Q56" s="26" t="s">
        <v>367</v>
      </c>
      <c r="R56" s="26" t="s">
        <v>368</v>
      </c>
    </row>
    <row r="57" customFormat="false" ht="28.35" hidden="false" customHeight="false" outlineLevel="0" collapsed="false">
      <c r="A57" s="26" t="n">
        <v>53</v>
      </c>
      <c r="B57" s="26" t="s">
        <v>410</v>
      </c>
      <c r="C57" s="26" t="s">
        <v>66</v>
      </c>
      <c r="D57" s="26" t="s">
        <v>203</v>
      </c>
      <c r="E57" s="27" t="s">
        <v>234</v>
      </c>
      <c r="F57" s="27" t="s">
        <v>240</v>
      </c>
      <c r="G57" s="27" t="s">
        <v>214</v>
      </c>
      <c r="H57" s="26" t="n">
        <f aca="false">Malla_2027!H14</f>
        <v>1</v>
      </c>
      <c r="I57" s="26" t="n">
        <f aca="false">H57*Parametros!$C$14</f>
        <v>10</v>
      </c>
      <c r="J57" s="26" t="n">
        <f aca="false">H57*Parametros!$C$15</f>
        <v>9</v>
      </c>
      <c r="K57" s="26" t="n">
        <f aca="false">H57*Parametros!$C$16</f>
        <v>9</v>
      </c>
      <c r="L57" s="26" t="n">
        <f aca="false">H57*Parametros!$C$17</f>
        <v>9</v>
      </c>
      <c r="M57" s="26" t="n">
        <f aca="false">SUM(I57:L57)</f>
        <v>37</v>
      </c>
      <c r="N57" s="53" t="n">
        <f aca="false">M57*Parametros!$C$29/60</f>
        <v>37</v>
      </c>
      <c r="O57" s="26" t="n">
        <f aca="false">ROUNDDOWN(M57*Parametros!$C$26,0)</f>
        <v>7</v>
      </c>
      <c r="P57" s="26" t="n">
        <f aca="false">M57-O57</f>
        <v>30</v>
      </c>
      <c r="Q57" s="26" t="s">
        <v>367</v>
      </c>
      <c r="R57" s="26" t="s">
        <v>368</v>
      </c>
    </row>
    <row r="58" customFormat="false" ht="28.35" hidden="false" customHeight="false" outlineLevel="0" collapsed="false">
      <c r="A58" s="26" t="n">
        <v>54</v>
      </c>
      <c r="B58" s="26" t="s">
        <v>411</v>
      </c>
      <c r="C58" s="26" t="s">
        <v>66</v>
      </c>
      <c r="D58" s="26" t="s">
        <v>203</v>
      </c>
      <c r="E58" s="27" t="s">
        <v>242</v>
      </c>
      <c r="F58" s="27" t="s">
        <v>243</v>
      </c>
      <c r="G58" s="27" t="s">
        <v>214</v>
      </c>
      <c r="H58" s="26" t="n">
        <f aca="false">Malla_2027!H15</f>
        <v>1</v>
      </c>
      <c r="I58" s="26" t="n">
        <f aca="false">H58*Parametros!$C$14</f>
        <v>10</v>
      </c>
      <c r="J58" s="26" t="n">
        <f aca="false">H58*Parametros!$C$15</f>
        <v>9</v>
      </c>
      <c r="K58" s="26" t="n">
        <f aca="false">H58*Parametros!$C$16</f>
        <v>9</v>
      </c>
      <c r="L58" s="26" t="n">
        <f aca="false">H58*Parametros!$C$17</f>
        <v>9</v>
      </c>
      <c r="M58" s="26" t="n">
        <f aca="false">SUM(I58:L58)</f>
        <v>37</v>
      </c>
      <c r="N58" s="53" t="n">
        <f aca="false">M58*Parametros!$C$29/60</f>
        <v>37</v>
      </c>
      <c r="O58" s="26" t="n">
        <f aca="false">ROUNDDOWN(M58*Parametros!$C$26,0)</f>
        <v>7</v>
      </c>
      <c r="P58" s="26" t="n">
        <f aca="false">M58-O58</f>
        <v>30</v>
      </c>
      <c r="Q58" s="26" t="s">
        <v>367</v>
      </c>
      <c r="R58" s="26" t="s">
        <v>368</v>
      </c>
    </row>
    <row r="59" customFormat="false" ht="28.35" hidden="false" customHeight="false" outlineLevel="0" collapsed="false">
      <c r="A59" s="26" t="n">
        <v>55</v>
      </c>
      <c r="B59" s="26" t="s">
        <v>412</v>
      </c>
      <c r="C59" s="26" t="s">
        <v>66</v>
      </c>
      <c r="D59" s="26" t="s">
        <v>203</v>
      </c>
      <c r="E59" s="27" t="s">
        <v>246</v>
      </c>
      <c r="F59" s="27" t="s">
        <v>246</v>
      </c>
      <c r="G59" s="27" t="s">
        <v>214</v>
      </c>
      <c r="H59" s="26" t="n">
        <f aca="false">Malla_2027!H16</f>
        <v>2</v>
      </c>
      <c r="I59" s="26" t="n">
        <f aca="false">H59*Parametros!$C$14</f>
        <v>20</v>
      </c>
      <c r="J59" s="26" t="n">
        <f aca="false">H59*Parametros!$C$15</f>
        <v>18</v>
      </c>
      <c r="K59" s="26" t="n">
        <f aca="false">H59*Parametros!$C$16</f>
        <v>18</v>
      </c>
      <c r="L59" s="26" t="n">
        <f aca="false">H59*Parametros!$C$17</f>
        <v>18</v>
      </c>
      <c r="M59" s="26" t="n">
        <f aca="false">SUM(I59:L59)</f>
        <v>74</v>
      </c>
      <c r="N59" s="53" t="n">
        <f aca="false">M59*Parametros!$C$29/60</f>
        <v>74</v>
      </c>
      <c r="O59" s="26" t="n">
        <f aca="false">ROUNDDOWN(M59*Parametros!$C$26,0)</f>
        <v>14</v>
      </c>
      <c r="P59" s="26" t="n">
        <f aca="false">M59-O59</f>
        <v>60</v>
      </c>
      <c r="Q59" s="26" t="s">
        <v>367</v>
      </c>
      <c r="R59" s="26" t="s">
        <v>368</v>
      </c>
    </row>
    <row r="60" customFormat="false" ht="28.35" hidden="false" customHeight="false" outlineLevel="0" collapsed="false">
      <c r="A60" s="26" t="n">
        <v>56</v>
      </c>
      <c r="B60" s="26" t="s">
        <v>413</v>
      </c>
      <c r="C60" s="26" t="s">
        <v>66</v>
      </c>
      <c r="D60" s="26" t="s">
        <v>203</v>
      </c>
      <c r="E60" s="27" t="s">
        <v>249</v>
      </c>
      <c r="F60" s="27" t="s">
        <v>250</v>
      </c>
      <c r="G60" s="27" t="s">
        <v>214</v>
      </c>
      <c r="H60" s="26" t="n">
        <f aca="false">Malla_2027!H17</f>
        <v>3</v>
      </c>
      <c r="I60" s="26" t="n">
        <f aca="false">H60*Parametros!$C$14</f>
        <v>30</v>
      </c>
      <c r="J60" s="26" t="n">
        <f aca="false">H60*Parametros!$C$15</f>
        <v>27</v>
      </c>
      <c r="K60" s="26" t="n">
        <f aca="false">H60*Parametros!$C$16</f>
        <v>27</v>
      </c>
      <c r="L60" s="26" t="n">
        <f aca="false">H60*Parametros!$C$17</f>
        <v>27</v>
      </c>
      <c r="M60" s="26" t="n">
        <f aca="false">SUM(I60:L60)</f>
        <v>111</v>
      </c>
      <c r="N60" s="53" t="n">
        <f aca="false">M60*Parametros!$C$29/60</f>
        <v>111</v>
      </c>
      <c r="O60" s="26" t="n">
        <f aca="false">ROUNDDOWN(M60*Parametros!$C$26,0)</f>
        <v>22</v>
      </c>
      <c r="P60" s="26" t="n">
        <f aca="false">M60-O60</f>
        <v>89</v>
      </c>
      <c r="Q60" s="26" t="s">
        <v>367</v>
      </c>
      <c r="R60" s="26" t="s">
        <v>368</v>
      </c>
    </row>
    <row r="61" customFormat="false" ht="28.35" hidden="false" customHeight="false" outlineLevel="0" collapsed="false">
      <c r="A61" s="26" t="n">
        <v>57</v>
      </c>
      <c r="B61" s="26" t="s">
        <v>414</v>
      </c>
      <c r="C61" s="26" t="s">
        <v>66</v>
      </c>
      <c r="D61" s="26" t="s">
        <v>203</v>
      </c>
      <c r="E61" s="27" t="s">
        <v>252</v>
      </c>
      <c r="F61" s="27" t="s">
        <v>253</v>
      </c>
      <c r="G61" s="27" t="s">
        <v>214</v>
      </c>
      <c r="H61" s="26" t="n">
        <f aca="false">Malla_2027!H18</f>
        <v>5</v>
      </c>
      <c r="I61" s="26" t="n">
        <f aca="false">H61*Parametros!$C$14</f>
        <v>50</v>
      </c>
      <c r="J61" s="26" t="n">
        <f aca="false">H61*Parametros!$C$15</f>
        <v>45</v>
      </c>
      <c r="K61" s="26" t="n">
        <f aca="false">H61*Parametros!$C$16</f>
        <v>45</v>
      </c>
      <c r="L61" s="26" t="n">
        <f aca="false">H61*Parametros!$C$17</f>
        <v>45</v>
      </c>
      <c r="M61" s="26" t="n">
        <f aca="false">SUM(I61:L61)</f>
        <v>185</v>
      </c>
      <c r="N61" s="53" t="n">
        <f aca="false">M61*Parametros!$C$29/60</f>
        <v>185</v>
      </c>
      <c r="O61" s="26" t="n">
        <f aca="false">ROUNDDOWN(M61*Parametros!$C$26,0)</f>
        <v>37</v>
      </c>
      <c r="P61" s="26" t="n">
        <f aca="false">M61-O61</f>
        <v>148</v>
      </c>
      <c r="Q61" s="26" t="s">
        <v>367</v>
      </c>
      <c r="R61" s="26" t="s">
        <v>368</v>
      </c>
    </row>
    <row r="62" customFormat="false" ht="28.35" hidden="false" customHeight="false" outlineLevel="0" collapsed="false">
      <c r="A62" s="26" t="n">
        <v>58</v>
      </c>
      <c r="B62" s="26" t="s">
        <v>415</v>
      </c>
      <c r="C62" s="26" t="s">
        <v>66</v>
      </c>
      <c r="D62" s="26" t="s">
        <v>203</v>
      </c>
      <c r="E62" s="27" t="s">
        <v>252</v>
      </c>
      <c r="F62" s="27" t="s">
        <v>255</v>
      </c>
      <c r="G62" s="27" t="s">
        <v>214</v>
      </c>
      <c r="H62" s="26" t="n">
        <f aca="false">Malla_2027!H19</f>
        <v>4</v>
      </c>
      <c r="I62" s="26" t="n">
        <f aca="false">H62*Parametros!$C$14</f>
        <v>40</v>
      </c>
      <c r="J62" s="26" t="n">
        <f aca="false">H62*Parametros!$C$15</f>
        <v>36</v>
      </c>
      <c r="K62" s="26" t="n">
        <f aca="false">H62*Parametros!$C$16</f>
        <v>36</v>
      </c>
      <c r="L62" s="26" t="n">
        <f aca="false">H62*Parametros!$C$17</f>
        <v>36</v>
      </c>
      <c r="M62" s="26" t="n">
        <f aca="false">SUM(I62:L62)</f>
        <v>148</v>
      </c>
      <c r="N62" s="53" t="n">
        <f aca="false">M62*Parametros!$C$29/60</f>
        <v>148</v>
      </c>
      <c r="O62" s="26" t="n">
        <f aca="false">ROUNDDOWN(M62*Parametros!$C$26,0)</f>
        <v>29</v>
      </c>
      <c r="P62" s="26" t="n">
        <f aca="false">M62-O62</f>
        <v>119</v>
      </c>
      <c r="Q62" s="26" t="s">
        <v>367</v>
      </c>
      <c r="R62" s="26" t="s">
        <v>368</v>
      </c>
    </row>
    <row r="63" customFormat="false" ht="28.35" hidden="false" customHeight="false" outlineLevel="0" collapsed="false">
      <c r="A63" s="26" t="n">
        <v>59</v>
      </c>
      <c r="B63" s="26" t="s">
        <v>416</v>
      </c>
      <c r="C63" s="26" t="s">
        <v>66</v>
      </c>
      <c r="D63" s="26" t="s">
        <v>203</v>
      </c>
      <c r="E63" s="27" t="s">
        <v>257</v>
      </c>
      <c r="F63" s="27" t="s">
        <v>257</v>
      </c>
      <c r="G63" s="27" t="s">
        <v>214</v>
      </c>
      <c r="H63" s="26" t="n">
        <f aca="false">Malla_2027!H20</f>
        <v>5</v>
      </c>
      <c r="I63" s="26" t="n">
        <f aca="false">H63*Parametros!$C$14</f>
        <v>50</v>
      </c>
      <c r="J63" s="26" t="n">
        <f aca="false">H63*Parametros!$C$15</f>
        <v>45</v>
      </c>
      <c r="K63" s="26" t="n">
        <f aca="false">H63*Parametros!$C$16</f>
        <v>45</v>
      </c>
      <c r="L63" s="26" t="n">
        <f aca="false">H63*Parametros!$C$17</f>
        <v>45</v>
      </c>
      <c r="M63" s="26" t="n">
        <f aca="false">SUM(I63:L63)</f>
        <v>185</v>
      </c>
      <c r="N63" s="53" t="n">
        <f aca="false">M63*Parametros!$C$29/60</f>
        <v>185</v>
      </c>
      <c r="O63" s="26" t="n">
        <f aca="false">ROUNDDOWN(M63*Parametros!$C$26,0)</f>
        <v>37</v>
      </c>
      <c r="P63" s="26" t="n">
        <f aca="false">M63-O63</f>
        <v>148</v>
      </c>
      <c r="Q63" s="26" t="s">
        <v>367</v>
      </c>
      <c r="R63" s="26" t="s">
        <v>368</v>
      </c>
    </row>
    <row r="64" customFormat="false" ht="15" hidden="false" customHeight="false" outlineLevel="0" collapsed="false">
      <c r="A64" s="26" t="n">
        <v>60</v>
      </c>
      <c r="B64" s="26" t="s">
        <v>417</v>
      </c>
      <c r="C64" s="26" t="s">
        <v>66</v>
      </c>
      <c r="D64" s="26" t="s">
        <v>203</v>
      </c>
      <c r="E64" s="27" t="s">
        <v>267</v>
      </c>
      <c r="F64" s="27" t="s">
        <v>267</v>
      </c>
      <c r="G64" s="27" t="s">
        <v>214</v>
      </c>
      <c r="H64" s="26" t="n">
        <f aca="false">Malla_2027!H24</f>
        <v>3</v>
      </c>
      <c r="I64" s="26" t="n">
        <f aca="false">H64*Parametros!$C$14</f>
        <v>30</v>
      </c>
      <c r="J64" s="26" t="n">
        <f aca="false">H64*Parametros!$C$15</f>
        <v>27</v>
      </c>
      <c r="K64" s="26" t="n">
        <f aca="false">H64*Parametros!$C$16</f>
        <v>27</v>
      </c>
      <c r="L64" s="26" t="n">
        <f aca="false">H64*Parametros!$C$17</f>
        <v>27</v>
      </c>
      <c r="M64" s="26" t="n">
        <f aca="false">SUM(I64:L64)</f>
        <v>111</v>
      </c>
      <c r="N64" s="53" t="n">
        <f aca="false">M64*Parametros!$C$29/60</f>
        <v>111</v>
      </c>
      <c r="O64" s="26" t="n">
        <f aca="false">ROUNDDOWN(M64*Parametros!$C$26,0)</f>
        <v>22</v>
      </c>
      <c r="P64" s="26" t="n">
        <f aca="false">M64-O64</f>
        <v>89</v>
      </c>
      <c r="Q64" s="26" t="s">
        <v>367</v>
      </c>
      <c r="R64" s="26" t="s">
        <v>369</v>
      </c>
    </row>
    <row r="65" customFormat="false" ht="28.35" hidden="false" customHeight="false" outlineLevel="0" collapsed="false">
      <c r="A65" s="26" t="n">
        <v>61</v>
      </c>
      <c r="B65" s="26" t="s">
        <v>418</v>
      </c>
      <c r="C65" s="26" t="s">
        <v>66</v>
      </c>
      <c r="D65" s="26" t="s">
        <v>204</v>
      </c>
      <c r="E65" s="27" t="s">
        <v>213</v>
      </c>
      <c r="F65" s="27" t="s">
        <v>213</v>
      </c>
      <c r="G65" s="27" t="s">
        <v>214</v>
      </c>
      <c r="H65" s="26" t="n">
        <f aca="false">Malla_2027!I6</f>
        <v>4</v>
      </c>
      <c r="I65" s="26" t="n">
        <f aca="false">H65*Parametros!$C$14</f>
        <v>40</v>
      </c>
      <c r="J65" s="26" t="n">
        <f aca="false">H65*Parametros!$C$15</f>
        <v>36</v>
      </c>
      <c r="K65" s="26" t="n">
        <f aca="false">H65*Parametros!$C$16</f>
        <v>36</v>
      </c>
      <c r="L65" s="26" t="n">
        <f aca="false">H65*Parametros!$C$17</f>
        <v>36</v>
      </c>
      <c r="M65" s="26" t="n">
        <f aca="false">SUM(I65:L65)</f>
        <v>148</v>
      </c>
      <c r="N65" s="53" t="n">
        <f aca="false">M65*Parametros!$C$29/60</f>
        <v>148</v>
      </c>
      <c r="O65" s="26" t="n">
        <f aca="false">ROUNDDOWN(M65*Parametros!$C$26,0)</f>
        <v>29</v>
      </c>
      <c r="P65" s="26" t="n">
        <f aca="false">M65-O65</f>
        <v>119</v>
      </c>
      <c r="Q65" s="26" t="s">
        <v>367</v>
      </c>
      <c r="R65" s="26" t="s">
        <v>368</v>
      </c>
    </row>
    <row r="66" customFormat="false" ht="28.35" hidden="false" customHeight="false" outlineLevel="0" collapsed="false">
      <c r="A66" s="26" t="n">
        <v>62</v>
      </c>
      <c r="B66" s="26" t="s">
        <v>419</v>
      </c>
      <c r="C66" s="26" t="s">
        <v>66</v>
      </c>
      <c r="D66" s="26" t="s">
        <v>204</v>
      </c>
      <c r="E66" s="27" t="s">
        <v>223</v>
      </c>
      <c r="F66" s="27" t="s">
        <v>224</v>
      </c>
      <c r="G66" s="27" t="s">
        <v>214</v>
      </c>
      <c r="H66" s="26" t="n">
        <f aca="false">Malla_2027!I9</f>
        <v>4</v>
      </c>
      <c r="I66" s="26" t="n">
        <f aca="false">H66*Parametros!$C$14</f>
        <v>40</v>
      </c>
      <c r="J66" s="26" t="n">
        <f aca="false">H66*Parametros!$C$15</f>
        <v>36</v>
      </c>
      <c r="K66" s="26" t="n">
        <f aca="false">H66*Parametros!$C$16</f>
        <v>36</v>
      </c>
      <c r="L66" s="26" t="n">
        <f aca="false">H66*Parametros!$C$17</f>
        <v>36</v>
      </c>
      <c r="M66" s="26" t="n">
        <f aca="false">SUM(I66:L66)</f>
        <v>148</v>
      </c>
      <c r="N66" s="53" t="n">
        <f aca="false">M66*Parametros!$C$29/60</f>
        <v>148</v>
      </c>
      <c r="O66" s="26" t="n">
        <f aca="false">ROUNDDOWN(M66*Parametros!$C$26,0)</f>
        <v>29</v>
      </c>
      <c r="P66" s="26" t="n">
        <f aca="false">M66-O66</f>
        <v>119</v>
      </c>
      <c r="Q66" s="26" t="s">
        <v>367</v>
      </c>
      <c r="R66" s="26" t="s">
        <v>368</v>
      </c>
    </row>
    <row r="67" customFormat="false" ht="28.35" hidden="false" customHeight="false" outlineLevel="0" collapsed="false">
      <c r="A67" s="26" t="n">
        <v>63</v>
      </c>
      <c r="B67" s="26" t="s">
        <v>420</v>
      </c>
      <c r="C67" s="26" t="s">
        <v>66</v>
      </c>
      <c r="D67" s="26" t="s">
        <v>204</v>
      </c>
      <c r="E67" s="27" t="s">
        <v>234</v>
      </c>
      <c r="F67" s="27" t="s">
        <v>235</v>
      </c>
      <c r="G67" s="27" t="s">
        <v>214</v>
      </c>
      <c r="H67" s="26" t="n">
        <f aca="false">Malla_2027!I12</f>
        <v>1</v>
      </c>
      <c r="I67" s="26" t="n">
        <f aca="false">H67*Parametros!$C$14</f>
        <v>10</v>
      </c>
      <c r="J67" s="26" t="n">
        <f aca="false">H67*Parametros!$C$15</f>
        <v>9</v>
      </c>
      <c r="K67" s="26" t="n">
        <f aca="false">H67*Parametros!$C$16</f>
        <v>9</v>
      </c>
      <c r="L67" s="26" t="n">
        <f aca="false">H67*Parametros!$C$17</f>
        <v>9</v>
      </c>
      <c r="M67" s="26" t="n">
        <f aca="false">SUM(I67:L67)</f>
        <v>37</v>
      </c>
      <c r="N67" s="53" t="n">
        <f aca="false">M67*Parametros!$C$29/60</f>
        <v>37</v>
      </c>
      <c r="O67" s="26" t="n">
        <f aca="false">ROUNDDOWN(M67*Parametros!$C$26,0)</f>
        <v>7</v>
      </c>
      <c r="P67" s="26" t="n">
        <f aca="false">M67-O67</f>
        <v>30</v>
      </c>
      <c r="Q67" s="26" t="s">
        <v>367</v>
      </c>
      <c r="R67" s="26" t="s">
        <v>368</v>
      </c>
    </row>
    <row r="68" customFormat="false" ht="28.35" hidden="false" customHeight="false" outlineLevel="0" collapsed="false">
      <c r="A68" s="26" t="n">
        <v>64</v>
      </c>
      <c r="B68" s="26" t="s">
        <v>421</v>
      </c>
      <c r="C68" s="26" t="s">
        <v>66</v>
      </c>
      <c r="D68" s="26" t="s">
        <v>204</v>
      </c>
      <c r="E68" s="27" t="s">
        <v>234</v>
      </c>
      <c r="F68" s="27" t="s">
        <v>238</v>
      </c>
      <c r="G68" s="27" t="s">
        <v>214</v>
      </c>
      <c r="H68" s="26" t="n">
        <f aca="false">Malla_2027!I13</f>
        <v>1</v>
      </c>
      <c r="I68" s="26" t="n">
        <f aca="false">H68*Parametros!$C$14</f>
        <v>10</v>
      </c>
      <c r="J68" s="26" t="n">
        <f aca="false">H68*Parametros!$C$15</f>
        <v>9</v>
      </c>
      <c r="K68" s="26" t="n">
        <f aca="false">H68*Parametros!$C$16</f>
        <v>9</v>
      </c>
      <c r="L68" s="26" t="n">
        <f aca="false">H68*Parametros!$C$17</f>
        <v>9</v>
      </c>
      <c r="M68" s="26" t="n">
        <f aca="false">SUM(I68:L68)</f>
        <v>37</v>
      </c>
      <c r="N68" s="53" t="n">
        <f aca="false">M68*Parametros!$C$29/60</f>
        <v>37</v>
      </c>
      <c r="O68" s="26" t="n">
        <f aca="false">ROUNDDOWN(M68*Parametros!$C$26,0)</f>
        <v>7</v>
      </c>
      <c r="P68" s="26" t="n">
        <f aca="false">M68-O68</f>
        <v>30</v>
      </c>
      <c r="Q68" s="26" t="s">
        <v>367</v>
      </c>
      <c r="R68" s="26" t="s">
        <v>368</v>
      </c>
    </row>
    <row r="69" customFormat="false" ht="28.35" hidden="false" customHeight="false" outlineLevel="0" collapsed="false">
      <c r="A69" s="26" t="n">
        <v>65</v>
      </c>
      <c r="B69" s="26" t="s">
        <v>422</v>
      </c>
      <c r="C69" s="26" t="s">
        <v>66</v>
      </c>
      <c r="D69" s="26" t="s">
        <v>204</v>
      </c>
      <c r="E69" s="27" t="s">
        <v>234</v>
      </c>
      <c r="F69" s="27" t="s">
        <v>240</v>
      </c>
      <c r="G69" s="27" t="s">
        <v>214</v>
      </c>
      <c r="H69" s="26" t="n">
        <f aca="false">Malla_2027!I14</f>
        <v>1</v>
      </c>
      <c r="I69" s="26" t="n">
        <f aca="false">H69*Parametros!$C$14</f>
        <v>10</v>
      </c>
      <c r="J69" s="26" t="n">
        <f aca="false">H69*Parametros!$C$15</f>
        <v>9</v>
      </c>
      <c r="K69" s="26" t="n">
        <f aca="false">H69*Parametros!$C$16</f>
        <v>9</v>
      </c>
      <c r="L69" s="26" t="n">
        <f aca="false">H69*Parametros!$C$17</f>
        <v>9</v>
      </c>
      <c r="M69" s="26" t="n">
        <f aca="false">SUM(I69:L69)</f>
        <v>37</v>
      </c>
      <c r="N69" s="53" t="n">
        <f aca="false">M69*Parametros!$C$29/60</f>
        <v>37</v>
      </c>
      <c r="O69" s="26" t="n">
        <f aca="false">ROUNDDOWN(M69*Parametros!$C$26,0)</f>
        <v>7</v>
      </c>
      <c r="P69" s="26" t="n">
        <f aca="false">M69-O69</f>
        <v>30</v>
      </c>
      <c r="Q69" s="26" t="s">
        <v>367</v>
      </c>
      <c r="R69" s="26" t="s">
        <v>368</v>
      </c>
    </row>
    <row r="70" customFormat="false" ht="28.35" hidden="false" customHeight="false" outlineLevel="0" collapsed="false">
      <c r="A70" s="26" t="n">
        <v>66</v>
      </c>
      <c r="B70" s="26" t="s">
        <v>423</v>
      </c>
      <c r="C70" s="26" t="s">
        <v>66</v>
      </c>
      <c r="D70" s="26" t="s">
        <v>204</v>
      </c>
      <c r="E70" s="27" t="s">
        <v>242</v>
      </c>
      <c r="F70" s="27" t="s">
        <v>243</v>
      </c>
      <c r="G70" s="27" t="s">
        <v>214</v>
      </c>
      <c r="H70" s="26" t="n">
        <f aca="false">Malla_2027!I15</f>
        <v>1</v>
      </c>
      <c r="I70" s="26" t="n">
        <f aca="false">H70*Parametros!$C$14</f>
        <v>10</v>
      </c>
      <c r="J70" s="26" t="n">
        <f aca="false">H70*Parametros!$C$15</f>
        <v>9</v>
      </c>
      <c r="K70" s="26" t="n">
        <f aca="false">H70*Parametros!$C$16</f>
        <v>9</v>
      </c>
      <c r="L70" s="26" t="n">
        <f aca="false">H70*Parametros!$C$17</f>
        <v>9</v>
      </c>
      <c r="M70" s="26" t="n">
        <f aca="false">SUM(I70:L70)</f>
        <v>37</v>
      </c>
      <c r="N70" s="53" t="n">
        <f aca="false">M70*Parametros!$C$29/60</f>
        <v>37</v>
      </c>
      <c r="O70" s="26" t="n">
        <f aca="false">ROUNDDOWN(M70*Parametros!$C$26,0)</f>
        <v>7</v>
      </c>
      <c r="P70" s="26" t="n">
        <f aca="false">M70-O70</f>
        <v>30</v>
      </c>
      <c r="Q70" s="26" t="s">
        <v>367</v>
      </c>
      <c r="R70" s="26" t="s">
        <v>368</v>
      </c>
    </row>
    <row r="71" customFormat="false" ht="28.35" hidden="false" customHeight="false" outlineLevel="0" collapsed="false">
      <c r="A71" s="26" t="n">
        <v>67</v>
      </c>
      <c r="B71" s="26" t="s">
        <v>424</v>
      </c>
      <c r="C71" s="26" t="s">
        <v>66</v>
      </c>
      <c r="D71" s="26" t="s">
        <v>204</v>
      </c>
      <c r="E71" s="27" t="s">
        <v>246</v>
      </c>
      <c r="F71" s="27" t="s">
        <v>246</v>
      </c>
      <c r="G71" s="27" t="s">
        <v>214</v>
      </c>
      <c r="H71" s="26" t="n">
        <f aca="false">Malla_2027!I16</f>
        <v>2</v>
      </c>
      <c r="I71" s="26" t="n">
        <f aca="false">H71*Parametros!$C$14</f>
        <v>20</v>
      </c>
      <c r="J71" s="26" t="n">
        <f aca="false">H71*Parametros!$C$15</f>
        <v>18</v>
      </c>
      <c r="K71" s="26" t="n">
        <f aca="false">H71*Parametros!$C$16</f>
        <v>18</v>
      </c>
      <c r="L71" s="26" t="n">
        <f aca="false">H71*Parametros!$C$17</f>
        <v>18</v>
      </c>
      <c r="M71" s="26" t="n">
        <f aca="false">SUM(I71:L71)</f>
        <v>74</v>
      </c>
      <c r="N71" s="53" t="n">
        <f aca="false">M71*Parametros!$C$29/60</f>
        <v>74</v>
      </c>
      <c r="O71" s="26" t="n">
        <f aca="false">ROUNDDOWN(M71*Parametros!$C$26,0)</f>
        <v>14</v>
      </c>
      <c r="P71" s="26" t="n">
        <f aca="false">M71-O71</f>
        <v>60</v>
      </c>
      <c r="Q71" s="26" t="s">
        <v>367</v>
      </c>
      <c r="R71" s="26" t="s">
        <v>368</v>
      </c>
    </row>
    <row r="72" customFormat="false" ht="28.35" hidden="false" customHeight="false" outlineLevel="0" collapsed="false">
      <c r="A72" s="26" t="n">
        <v>68</v>
      </c>
      <c r="B72" s="26" t="s">
        <v>425</v>
      </c>
      <c r="C72" s="26" t="s">
        <v>66</v>
      </c>
      <c r="D72" s="26" t="s">
        <v>204</v>
      </c>
      <c r="E72" s="27" t="s">
        <v>249</v>
      </c>
      <c r="F72" s="27" t="s">
        <v>250</v>
      </c>
      <c r="G72" s="27" t="s">
        <v>214</v>
      </c>
      <c r="H72" s="26" t="n">
        <f aca="false">Malla_2027!I17</f>
        <v>3</v>
      </c>
      <c r="I72" s="26" t="n">
        <f aca="false">H72*Parametros!$C$14</f>
        <v>30</v>
      </c>
      <c r="J72" s="26" t="n">
        <f aca="false">H72*Parametros!$C$15</f>
        <v>27</v>
      </c>
      <c r="K72" s="26" t="n">
        <f aca="false">H72*Parametros!$C$16</f>
        <v>27</v>
      </c>
      <c r="L72" s="26" t="n">
        <f aca="false">H72*Parametros!$C$17</f>
        <v>27</v>
      </c>
      <c r="M72" s="26" t="n">
        <f aca="false">SUM(I72:L72)</f>
        <v>111</v>
      </c>
      <c r="N72" s="53" t="n">
        <f aca="false">M72*Parametros!$C$29/60</f>
        <v>111</v>
      </c>
      <c r="O72" s="26" t="n">
        <f aca="false">ROUNDDOWN(M72*Parametros!$C$26,0)</f>
        <v>22</v>
      </c>
      <c r="P72" s="26" t="n">
        <f aca="false">M72-O72</f>
        <v>89</v>
      </c>
      <c r="Q72" s="26" t="s">
        <v>367</v>
      </c>
      <c r="R72" s="26" t="s">
        <v>368</v>
      </c>
    </row>
    <row r="73" customFormat="false" ht="28.35" hidden="false" customHeight="false" outlineLevel="0" collapsed="false">
      <c r="A73" s="26" t="n">
        <v>69</v>
      </c>
      <c r="B73" s="26" t="s">
        <v>426</v>
      </c>
      <c r="C73" s="26" t="s">
        <v>66</v>
      </c>
      <c r="D73" s="26" t="s">
        <v>204</v>
      </c>
      <c r="E73" s="27" t="s">
        <v>252</v>
      </c>
      <c r="F73" s="27" t="s">
        <v>253</v>
      </c>
      <c r="G73" s="27" t="s">
        <v>214</v>
      </c>
      <c r="H73" s="26" t="n">
        <f aca="false">Malla_2027!I18</f>
        <v>5</v>
      </c>
      <c r="I73" s="26" t="n">
        <f aca="false">H73*Parametros!$C$14</f>
        <v>50</v>
      </c>
      <c r="J73" s="26" t="n">
        <f aca="false">H73*Parametros!$C$15</f>
        <v>45</v>
      </c>
      <c r="K73" s="26" t="n">
        <f aca="false">H73*Parametros!$C$16</f>
        <v>45</v>
      </c>
      <c r="L73" s="26" t="n">
        <f aca="false">H73*Parametros!$C$17</f>
        <v>45</v>
      </c>
      <c r="M73" s="26" t="n">
        <f aca="false">SUM(I73:L73)</f>
        <v>185</v>
      </c>
      <c r="N73" s="53" t="n">
        <f aca="false">M73*Parametros!$C$29/60</f>
        <v>185</v>
      </c>
      <c r="O73" s="26" t="n">
        <f aca="false">ROUNDDOWN(M73*Parametros!$C$26,0)</f>
        <v>37</v>
      </c>
      <c r="P73" s="26" t="n">
        <f aca="false">M73-O73</f>
        <v>148</v>
      </c>
      <c r="Q73" s="26" t="s">
        <v>367</v>
      </c>
      <c r="R73" s="26" t="s">
        <v>368</v>
      </c>
    </row>
    <row r="74" customFormat="false" ht="28.35" hidden="false" customHeight="false" outlineLevel="0" collapsed="false">
      <c r="A74" s="26" t="n">
        <v>70</v>
      </c>
      <c r="B74" s="26" t="s">
        <v>427</v>
      </c>
      <c r="C74" s="26" t="s">
        <v>66</v>
      </c>
      <c r="D74" s="26" t="s">
        <v>204</v>
      </c>
      <c r="E74" s="27" t="s">
        <v>252</v>
      </c>
      <c r="F74" s="27" t="s">
        <v>255</v>
      </c>
      <c r="G74" s="27" t="s">
        <v>214</v>
      </c>
      <c r="H74" s="26" t="n">
        <f aca="false">Malla_2027!I19</f>
        <v>4</v>
      </c>
      <c r="I74" s="26" t="n">
        <f aca="false">H74*Parametros!$C$14</f>
        <v>40</v>
      </c>
      <c r="J74" s="26" t="n">
        <f aca="false">H74*Parametros!$C$15</f>
        <v>36</v>
      </c>
      <c r="K74" s="26" t="n">
        <f aca="false">H74*Parametros!$C$16</f>
        <v>36</v>
      </c>
      <c r="L74" s="26" t="n">
        <f aca="false">H74*Parametros!$C$17</f>
        <v>36</v>
      </c>
      <c r="M74" s="26" t="n">
        <f aca="false">SUM(I74:L74)</f>
        <v>148</v>
      </c>
      <c r="N74" s="53" t="n">
        <f aca="false">M74*Parametros!$C$29/60</f>
        <v>148</v>
      </c>
      <c r="O74" s="26" t="n">
        <f aca="false">ROUNDDOWN(M74*Parametros!$C$26,0)</f>
        <v>29</v>
      </c>
      <c r="P74" s="26" t="n">
        <f aca="false">M74-O74</f>
        <v>119</v>
      </c>
      <c r="Q74" s="26" t="s">
        <v>367</v>
      </c>
      <c r="R74" s="26" t="s">
        <v>368</v>
      </c>
    </row>
    <row r="75" customFormat="false" ht="28.35" hidden="false" customHeight="false" outlineLevel="0" collapsed="false">
      <c r="A75" s="26" t="n">
        <v>71</v>
      </c>
      <c r="B75" s="26" t="s">
        <v>428</v>
      </c>
      <c r="C75" s="26" t="s">
        <v>66</v>
      </c>
      <c r="D75" s="26" t="s">
        <v>204</v>
      </c>
      <c r="E75" s="27" t="s">
        <v>257</v>
      </c>
      <c r="F75" s="27" t="s">
        <v>257</v>
      </c>
      <c r="G75" s="27" t="s">
        <v>214</v>
      </c>
      <c r="H75" s="26" t="n">
        <f aca="false">Malla_2027!I20</f>
        <v>5</v>
      </c>
      <c r="I75" s="26" t="n">
        <f aca="false">H75*Parametros!$C$14</f>
        <v>50</v>
      </c>
      <c r="J75" s="26" t="n">
        <f aca="false">H75*Parametros!$C$15</f>
        <v>45</v>
      </c>
      <c r="K75" s="26" t="n">
        <f aca="false">H75*Parametros!$C$16</f>
        <v>45</v>
      </c>
      <c r="L75" s="26" t="n">
        <f aca="false">H75*Parametros!$C$17</f>
        <v>45</v>
      </c>
      <c r="M75" s="26" t="n">
        <f aca="false">SUM(I75:L75)</f>
        <v>185</v>
      </c>
      <c r="N75" s="53" t="n">
        <f aca="false">M75*Parametros!$C$29/60</f>
        <v>185</v>
      </c>
      <c r="O75" s="26" t="n">
        <f aca="false">ROUNDDOWN(M75*Parametros!$C$26,0)</f>
        <v>37</v>
      </c>
      <c r="P75" s="26" t="n">
        <f aca="false">M75-O75</f>
        <v>148</v>
      </c>
      <c r="Q75" s="26" t="s">
        <v>367</v>
      </c>
      <c r="R75" s="26" t="s">
        <v>368</v>
      </c>
    </row>
    <row r="76" customFormat="false" ht="15" hidden="false" customHeight="false" outlineLevel="0" collapsed="false">
      <c r="A76" s="26" t="n">
        <v>72</v>
      </c>
      <c r="B76" s="26" t="s">
        <v>429</v>
      </c>
      <c r="C76" s="26" t="s">
        <v>66</v>
      </c>
      <c r="D76" s="26" t="s">
        <v>204</v>
      </c>
      <c r="E76" s="27" t="s">
        <v>267</v>
      </c>
      <c r="F76" s="27" t="s">
        <v>267</v>
      </c>
      <c r="G76" s="27" t="s">
        <v>214</v>
      </c>
      <c r="H76" s="26" t="n">
        <f aca="false">Malla_2027!I24</f>
        <v>3</v>
      </c>
      <c r="I76" s="26" t="n">
        <f aca="false">H76*Parametros!$C$14</f>
        <v>30</v>
      </c>
      <c r="J76" s="26" t="n">
        <f aca="false">H76*Parametros!$C$15</f>
        <v>27</v>
      </c>
      <c r="K76" s="26" t="n">
        <f aca="false">H76*Parametros!$C$16</f>
        <v>27</v>
      </c>
      <c r="L76" s="26" t="n">
        <f aca="false">H76*Parametros!$C$17</f>
        <v>27</v>
      </c>
      <c r="M76" s="26" t="n">
        <f aca="false">SUM(I76:L76)</f>
        <v>111</v>
      </c>
      <c r="N76" s="53" t="n">
        <f aca="false">M76*Parametros!$C$29/60</f>
        <v>111</v>
      </c>
      <c r="O76" s="26" t="n">
        <f aca="false">ROUNDDOWN(M76*Parametros!$C$26,0)</f>
        <v>22</v>
      </c>
      <c r="P76" s="26" t="n">
        <f aca="false">M76-O76</f>
        <v>89</v>
      </c>
      <c r="Q76" s="26" t="s">
        <v>367</v>
      </c>
      <c r="R76" s="26" t="s">
        <v>369</v>
      </c>
    </row>
    <row r="77" customFormat="false" ht="28.35" hidden="false" customHeight="false" outlineLevel="0" collapsed="false">
      <c r="A77" s="26" t="n">
        <v>73</v>
      </c>
      <c r="B77" s="26" t="s">
        <v>430</v>
      </c>
      <c r="C77" s="26" t="s">
        <v>334</v>
      </c>
      <c r="D77" s="26" t="s">
        <v>205</v>
      </c>
      <c r="E77" s="27" t="s">
        <v>213</v>
      </c>
      <c r="F77" s="27" t="s">
        <v>213</v>
      </c>
      <c r="G77" s="27" t="s">
        <v>214</v>
      </c>
      <c r="H77" s="26" t="n">
        <f aca="false">Malla_2027!J6</f>
        <v>4</v>
      </c>
      <c r="I77" s="26" t="n">
        <f aca="false">H77*Parametros!$C$14</f>
        <v>40</v>
      </c>
      <c r="J77" s="26" t="n">
        <f aca="false">H77*Parametros!$C$15</f>
        <v>36</v>
      </c>
      <c r="K77" s="26" t="n">
        <f aca="false">H77*Parametros!$C$16</f>
        <v>36</v>
      </c>
      <c r="L77" s="26" t="n">
        <f aca="false">H77*Parametros!$C$17</f>
        <v>36</v>
      </c>
      <c r="M77" s="26" t="n">
        <f aca="false">SUM(I77:L77)</f>
        <v>148</v>
      </c>
      <c r="N77" s="53" t="n">
        <f aca="false">M77*Parametros!$C$29/60</f>
        <v>148</v>
      </c>
      <c r="O77" s="26" t="n">
        <f aca="false">ROUNDDOWN(M77*Parametros!$C$26,0)</f>
        <v>29</v>
      </c>
      <c r="P77" s="26" t="n">
        <f aca="false">M77-O77</f>
        <v>119</v>
      </c>
      <c r="Q77" s="26" t="s">
        <v>367</v>
      </c>
      <c r="R77" s="26" t="s">
        <v>368</v>
      </c>
    </row>
    <row r="78" customFormat="false" ht="28.35" hidden="false" customHeight="false" outlineLevel="0" collapsed="false">
      <c r="A78" s="26" t="n">
        <v>74</v>
      </c>
      <c r="B78" s="26" t="s">
        <v>431</v>
      </c>
      <c r="C78" s="26" t="s">
        <v>334</v>
      </c>
      <c r="D78" s="26" t="s">
        <v>205</v>
      </c>
      <c r="E78" s="27" t="s">
        <v>223</v>
      </c>
      <c r="F78" s="27" t="s">
        <v>224</v>
      </c>
      <c r="G78" s="27" t="s">
        <v>214</v>
      </c>
      <c r="H78" s="26" t="n">
        <f aca="false">Malla_2027!J9</f>
        <v>5</v>
      </c>
      <c r="I78" s="26" t="n">
        <f aca="false">H78*Parametros!$C$14</f>
        <v>50</v>
      </c>
      <c r="J78" s="26" t="n">
        <f aca="false">H78*Parametros!$C$15</f>
        <v>45</v>
      </c>
      <c r="K78" s="26" t="n">
        <f aca="false">H78*Parametros!$C$16</f>
        <v>45</v>
      </c>
      <c r="L78" s="26" t="n">
        <f aca="false">H78*Parametros!$C$17</f>
        <v>45</v>
      </c>
      <c r="M78" s="26" t="n">
        <f aca="false">SUM(I78:L78)</f>
        <v>185</v>
      </c>
      <c r="N78" s="53" t="n">
        <f aca="false">M78*Parametros!$C$29/60</f>
        <v>185</v>
      </c>
      <c r="O78" s="26" t="n">
        <f aca="false">ROUNDDOWN(M78*Parametros!$C$26,0)</f>
        <v>37</v>
      </c>
      <c r="P78" s="26" t="n">
        <f aca="false">M78-O78</f>
        <v>148</v>
      </c>
      <c r="Q78" s="26" t="s">
        <v>367</v>
      </c>
      <c r="R78" s="26" t="s">
        <v>368</v>
      </c>
    </row>
    <row r="79" customFormat="false" ht="28.35" hidden="false" customHeight="false" outlineLevel="0" collapsed="false">
      <c r="A79" s="26" t="n">
        <v>75</v>
      </c>
      <c r="B79" s="26" t="s">
        <v>432</v>
      </c>
      <c r="C79" s="26" t="s">
        <v>334</v>
      </c>
      <c r="D79" s="26" t="s">
        <v>205</v>
      </c>
      <c r="E79" s="27" t="s">
        <v>234</v>
      </c>
      <c r="F79" s="27" t="s">
        <v>235</v>
      </c>
      <c r="G79" s="27" t="s">
        <v>214</v>
      </c>
      <c r="H79" s="26" t="n">
        <f aca="false">Malla_2027!J12</f>
        <v>1</v>
      </c>
      <c r="I79" s="26" t="n">
        <f aca="false">H79*Parametros!$C$14</f>
        <v>10</v>
      </c>
      <c r="J79" s="26" t="n">
        <f aca="false">H79*Parametros!$C$15</f>
        <v>9</v>
      </c>
      <c r="K79" s="26" t="n">
        <f aca="false">H79*Parametros!$C$16</f>
        <v>9</v>
      </c>
      <c r="L79" s="26" t="n">
        <f aca="false">H79*Parametros!$C$17</f>
        <v>9</v>
      </c>
      <c r="M79" s="26" t="n">
        <f aca="false">SUM(I79:L79)</f>
        <v>37</v>
      </c>
      <c r="N79" s="53" t="n">
        <f aca="false">M79*Parametros!$C$29/60</f>
        <v>37</v>
      </c>
      <c r="O79" s="26" t="n">
        <f aca="false">ROUNDDOWN(M79*Parametros!$C$26,0)</f>
        <v>7</v>
      </c>
      <c r="P79" s="26" t="n">
        <f aca="false">M79-O79</f>
        <v>30</v>
      </c>
      <c r="Q79" s="26" t="s">
        <v>367</v>
      </c>
      <c r="R79" s="26" t="s">
        <v>368</v>
      </c>
    </row>
    <row r="80" customFormat="false" ht="28.35" hidden="false" customHeight="false" outlineLevel="0" collapsed="false">
      <c r="A80" s="26" t="n">
        <v>76</v>
      </c>
      <c r="B80" s="26" t="s">
        <v>433</v>
      </c>
      <c r="C80" s="26" t="s">
        <v>334</v>
      </c>
      <c r="D80" s="26" t="s">
        <v>205</v>
      </c>
      <c r="E80" s="27" t="s">
        <v>234</v>
      </c>
      <c r="F80" s="27" t="s">
        <v>238</v>
      </c>
      <c r="G80" s="27" t="s">
        <v>214</v>
      </c>
      <c r="H80" s="26" t="n">
        <f aca="false">Malla_2027!J13</f>
        <v>1</v>
      </c>
      <c r="I80" s="26" t="n">
        <f aca="false">H80*Parametros!$C$14</f>
        <v>10</v>
      </c>
      <c r="J80" s="26" t="n">
        <f aca="false">H80*Parametros!$C$15</f>
        <v>9</v>
      </c>
      <c r="K80" s="26" t="n">
        <f aca="false">H80*Parametros!$C$16</f>
        <v>9</v>
      </c>
      <c r="L80" s="26" t="n">
        <f aca="false">H80*Parametros!$C$17</f>
        <v>9</v>
      </c>
      <c r="M80" s="26" t="n">
        <f aca="false">SUM(I80:L80)</f>
        <v>37</v>
      </c>
      <c r="N80" s="53" t="n">
        <f aca="false">M80*Parametros!$C$29/60</f>
        <v>37</v>
      </c>
      <c r="O80" s="26" t="n">
        <f aca="false">ROUNDDOWN(M80*Parametros!$C$26,0)</f>
        <v>7</v>
      </c>
      <c r="P80" s="26" t="n">
        <f aca="false">M80-O80</f>
        <v>30</v>
      </c>
      <c r="Q80" s="26" t="s">
        <v>367</v>
      </c>
      <c r="R80" s="26" t="s">
        <v>368</v>
      </c>
    </row>
    <row r="81" customFormat="false" ht="28.35" hidden="false" customHeight="false" outlineLevel="0" collapsed="false">
      <c r="A81" s="26" t="n">
        <v>77</v>
      </c>
      <c r="B81" s="26" t="s">
        <v>434</v>
      </c>
      <c r="C81" s="26" t="s">
        <v>334</v>
      </c>
      <c r="D81" s="26" t="s">
        <v>205</v>
      </c>
      <c r="E81" s="27" t="s">
        <v>234</v>
      </c>
      <c r="F81" s="27" t="s">
        <v>240</v>
      </c>
      <c r="G81" s="27" t="s">
        <v>214</v>
      </c>
      <c r="H81" s="26" t="n">
        <f aca="false">Malla_2027!J14</f>
        <v>1</v>
      </c>
      <c r="I81" s="26" t="n">
        <f aca="false">H81*Parametros!$C$14</f>
        <v>10</v>
      </c>
      <c r="J81" s="26" t="n">
        <f aca="false">H81*Parametros!$C$15</f>
        <v>9</v>
      </c>
      <c r="K81" s="26" t="n">
        <f aca="false">H81*Parametros!$C$16</f>
        <v>9</v>
      </c>
      <c r="L81" s="26" t="n">
        <f aca="false">H81*Parametros!$C$17</f>
        <v>9</v>
      </c>
      <c r="M81" s="26" t="n">
        <f aca="false">SUM(I81:L81)</f>
        <v>37</v>
      </c>
      <c r="N81" s="53" t="n">
        <f aca="false">M81*Parametros!$C$29/60</f>
        <v>37</v>
      </c>
      <c r="O81" s="26" t="n">
        <f aca="false">ROUNDDOWN(M81*Parametros!$C$26,0)</f>
        <v>7</v>
      </c>
      <c r="P81" s="26" t="n">
        <f aca="false">M81-O81</f>
        <v>30</v>
      </c>
      <c r="Q81" s="26" t="s">
        <v>367</v>
      </c>
      <c r="R81" s="26" t="s">
        <v>368</v>
      </c>
    </row>
    <row r="82" customFormat="false" ht="28.35" hidden="false" customHeight="false" outlineLevel="0" collapsed="false">
      <c r="A82" s="26" t="n">
        <v>78</v>
      </c>
      <c r="B82" s="26" t="s">
        <v>435</v>
      </c>
      <c r="C82" s="26" t="s">
        <v>334</v>
      </c>
      <c r="D82" s="26" t="s">
        <v>205</v>
      </c>
      <c r="E82" s="27" t="s">
        <v>242</v>
      </c>
      <c r="F82" s="27" t="s">
        <v>243</v>
      </c>
      <c r="G82" s="27" t="s">
        <v>214</v>
      </c>
      <c r="H82" s="26" t="n">
        <f aca="false">Malla_2027!J15</f>
        <v>1</v>
      </c>
      <c r="I82" s="26" t="n">
        <f aca="false">H82*Parametros!$C$14</f>
        <v>10</v>
      </c>
      <c r="J82" s="26" t="n">
        <f aca="false">H82*Parametros!$C$15</f>
        <v>9</v>
      </c>
      <c r="K82" s="26" t="n">
        <f aca="false">H82*Parametros!$C$16</f>
        <v>9</v>
      </c>
      <c r="L82" s="26" t="n">
        <f aca="false">H82*Parametros!$C$17</f>
        <v>9</v>
      </c>
      <c r="M82" s="26" t="n">
        <f aca="false">SUM(I82:L82)</f>
        <v>37</v>
      </c>
      <c r="N82" s="53" t="n">
        <f aca="false">M82*Parametros!$C$29/60</f>
        <v>37</v>
      </c>
      <c r="O82" s="26" t="n">
        <f aca="false">ROUNDDOWN(M82*Parametros!$C$26,0)</f>
        <v>7</v>
      </c>
      <c r="P82" s="26" t="n">
        <f aca="false">M82-O82</f>
        <v>30</v>
      </c>
      <c r="Q82" s="26" t="s">
        <v>367</v>
      </c>
      <c r="R82" s="26" t="s">
        <v>368</v>
      </c>
    </row>
    <row r="83" customFormat="false" ht="28.35" hidden="false" customHeight="false" outlineLevel="0" collapsed="false">
      <c r="A83" s="26" t="n">
        <v>79</v>
      </c>
      <c r="B83" s="26" t="s">
        <v>436</v>
      </c>
      <c r="C83" s="26" t="s">
        <v>334</v>
      </c>
      <c r="D83" s="26" t="s">
        <v>205</v>
      </c>
      <c r="E83" s="27" t="s">
        <v>246</v>
      </c>
      <c r="F83" s="27" t="s">
        <v>246</v>
      </c>
      <c r="G83" s="27" t="s">
        <v>214</v>
      </c>
      <c r="H83" s="26" t="n">
        <f aca="false">Malla_2027!J16</f>
        <v>2</v>
      </c>
      <c r="I83" s="26" t="n">
        <f aca="false">H83*Parametros!$C$14</f>
        <v>20</v>
      </c>
      <c r="J83" s="26" t="n">
        <f aca="false">H83*Parametros!$C$15</f>
        <v>18</v>
      </c>
      <c r="K83" s="26" t="n">
        <f aca="false">H83*Parametros!$C$16</f>
        <v>18</v>
      </c>
      <c r="L83" s="26" t="n">
        <f aca="false">H83*Parametros!$C$17</f>
        <v>18</v>
      </c>
      <c r="M83" s="26" t="n">
        <f aca="false">SUM(I83:L83)</f>
        <v>74</v>
      </c>
      <c r="N83" s="53" t="n">
        <f aca="false">M83*Parametros!$C$29/60</f>
        <v>74</v>
      </c>
      <c r="O83" s="26" t="n">
        <f aca="false">ROUNDDOWN(M83*Parametros!$C$26,0)</f>
        <v>14</v>
      </c>
      <c r="P83" s="26" t="n">
        <f aca="false">M83-O83</f>
        <v>60</v>
      </c>
      <c r="Q83" s="26" t="s">
        <v>367</v>
      </c>
      <c r="R83" s="26" t="s">
        <v>368</v>
      </c>
    </row>
    <row r="84" customFormat="false" ht="28.35" hidden="false" customHeight="false" outlineLevel="0" collapsed="false">
      <c r="A84" s="26" t="n">
        <v>80</v>
      </c>
      <c r="B84" s="26" t="s">
        <v>437</v>
      </c>
      <c r="C84" s="26" t="s">
        <v>334</v>
      </c>
      <c r="D84" s="26" t="s">
        <v>205</v>
      </c>
      <c r="E84" s="27" t="s">
        <v>249</v>
      </c>
      <c r="F84" s="27" t="s">
        <v>250</v>
      </c>
      <c r="G84" s="27" t="s">
        <v>214</v>
      </c>
      <c r="H84" s="26" t="n">
        <f aca="false">Malla_2027!J17</f>
        <v>3</v>
      </c>
      <c r="I84" s="26" t="n">
        <f aca="false">H84*Parametros!$C$14</f>
        <v>30</v>
      </c>
      <c r="J84" s="26" t="n">
        <f aca="false">H84*Parametros!$C$15</f>
        <v>27</v>
      </c>
      <c r="K84" s="26" t="n">
        <f aca="false">H84*Parametros!$C$16</f>
        <v>27</v>
      </c>
      <c r="L84" s="26" t="n">
        <f aca="false">H84*Parametros!$C$17</f>
        <v>27</v>
      </c>
      <c r="M84" s="26" t="n">
        <f aca="false">SUM(I84:L84)</f>
        <v>111</v>
      </c>
      <c r="N84" s="53" t="n">
        <f aca="false">M84*Parametros!$C$29/60</f>
        <v>111</v>
      </c>
      <c r="O84" s="26" t="n">
        <f aca="false">ROUNDDOWN(M84*Parametros!$C$26,0)</f>
        <v>22</v>
      </c>
      <c r="P84" s="26" t="n">
        <f aca="false">M84-O84</f>
        <v>89</v>
      </c>
      <c r="Q84" s="26" t="s">
        <v>367</v>
      </c>
      <c r="R84" s="26" t="s">
        <v>368</v>
      </c>
    </row>
    <row r="85" customFormat="false" ht="28.35" hidden="false" customHeight="false" outlineLevel="0" collapsed="false">
      <c r="A85" s="26" t="n">
        <v>81</v>
      </c>
      <c r="B85" s="26" t="s">
        <v>438</v>
      </c>
      <c r="C85" s="26" t="s">
        <v>334</v>
      </c>
      <c r="D85" s="26" t="s">
        <v>205</v>
      </c>
      <c r="E85" s="27" t="s">
        <v>252</v>
      </c>
      <c r="F85" s="27" t="s">
        <v>253</v>
      </c>
      <c r="G85" s="27" t="s">
        <v>214</v>
      </c>
      <c r="H85" s="26" t="n">
        <f aca="false">Malla_2027!J18</f>
        <v>5</v>
      </c>
      <c r="I85" s="26" t="n">
        <f aca="false">H85*Parametros!$C$14</f>
        <v>50</v>
      </c>
      <c r="J85" s="26" t="n">
        <f aca="false">H85*Parametros!$C$15</f>
        <v>45</v>
      </c>
      <c r="K85" s="26" t="n">
        <f aca="false">H85*Parametros!$C$16</f>
        <v>45</v>
      </c>
      <c r="L85" s="26" t="n">
        <f aca="false">H85*Parametros!$C$17</f>
        <v>45</v>
      </c>
      <c r="M85" s="26" t="n">
        <f aca="false">SUM(I85:L85)</f>
        <v>185</v>
      </c>
      <c r="N85" s="53" t="n">
        <f aca="false">M85*Parametros!$C$29/60</f>
        <v>185</v>
      </c>
      <c r="O85" s="26" t="n">
        <f aca="false">ROUNDDOWN(M85*Parametros!$C$26,0)</f>
        <v>37</v>
      </c>
      <c r="P85" s="26" t="n">
        <f aca="false">M85-O85</f>
        <v>148</v>
      </c>
      <c r="Q85" s="26" t="s">
        <v>367</v>
      </c>
      <c r="R85" s="26" t="s">
        <v>368</v>
      </c>
    </row>
    <row r="86" customFormat="false" ht="28.35" hidden="false" customHeight="false" outlineLevel="0" collapsed="false">
      <c r="A86" s="26" t="n">
        <v>82</v>
      </c>
      <c r="B86" s="26" t="s">
        <v>439</v>
      </c>
      <c r="C86" s="26" t="s">
        <v>334</v>
      </c>
      <c r="D86" s="26" t="s">
        <v>205</v>
      </c>
      <c r="E86" s="27" t="s">
        <v>252</v>
      </c>
      <c r="F86" s="27" t="s">
        <v>255</v>
      </c>
      <c r="G86" s="27" t="s">
        <v>214</v>
      </c>
      <c r="H86" s="26" t="n">
        <f aca="false">Malla_2027!J19</f>
        <v>4</v>
      </c>
      <c r="I86" s="26" t="n">
        <f aca="false">H86*Parametros!$C$14</f>
        <v>40</v>
      </c>
      <c r="J86" s="26" t="n">
        <f aca="false">H86*Parametros!$C$15</f>
        <v>36</v>
      </c>
      <c r="K86" s="26" t="n">
        <f aca="false">H86*Parametros!$C$16</f>
        <v>36</v>
      </c>
      <c r="L86" s="26" t="n">
        <f aca="false">H86*Parametros!$C$17</f>
        <v>36</v>
      </c>
      <c r="M86" s="26" t="n">
        <f aca="false">SUM(I86:L86)</f>
        <v>148</v>
      </c>
      <c r="N86" s="53" t="n">
        <f aca="false">M86*Parametros!$C$29/60</f>
        <v>148</v>
      </c>
      <c r="O86" s="26" t="n">
        <f aca="false">ROUNDDOWN(M86*Parametros!$C$26,0)</f>
        <v>29</v>
      </c>
      <c r="P86" s="26" t="n">
        <f aca="false">M86-O86</f>
        <v>119</v>
      </c>
      <c r="Q86" s="26" t="s">
        <v>367</v>
      </c>
      <c r="R86" s="26" t="s">
        <v>368</v>
      </c>
    </row>
    <row r="87" customFormat="false" ht="28.35" hidden="false" customHeight="false" outlineLevel="0" collapsed="false">
      <c r="A87" s="26" t="n">
        <v>83</v>
      </c>
      <c r="B87" s="26" t="s">
        <v>440</v>
      </c>
      <c r="C87" s="26" t="s">
        <v>334</v>
      </c>
      <c r="D87" s="26" t="s">
        <v>205</v>
      </c>
      <c r="E87" s="27" t="s">
        <v>257</v>
      </c>
      <c r="F87" s="27" t="s">
        <v>257</v>
      </c>
      <c r="G87" s="27" t="s">
        <v>214</v>
      </c>
      <c r="H87" s="26" t="n">
        <f aca="false">Malla_2027!J20</f>
        <v>5</v>
      </c>
      <c r="I87" s="26" t="n">
        <f aca="false">H87*Parametros!$C$14</f>
        <v>50</v>
      </c>
      <c r="J87" s="26" t="n">
        <f aca="false">H87*Parametros!$C$15</f>
        <v>45</v>
      </c>
      <c r="K87" s="26" t="n">
        <f aca="false">H87*Parametros!$C$16</f>
        <v>45</v>
      </c>
      <c r="L87" s="26" t="n">
        <f aca="false">H87*Parametros!$C$17</f>
        <v>45</v>
      </c>
      <c r="M87" s="26" t="n">
        <f aca="false">SUM(I87:L87)</f>
        <v>185</v>
      </c>
      <c r="N87" s="53" t="n">
        <f aca="false">M87*Parametros!$C$29/60</f>
        <v>185</v>
      </c>
      <c r="O87" s="26" t="n">
        <f aca="false">ROUNDDOWN(M87*Parametros!$C$26,0)</f>
        <v>37</v>
      </c>
      <c r="P87" s="26" t="n">
        <f aca="false">M87-O87</f>
        <v>148</v>
      </c>
      <c r="Q87" s="26" t="s">
        <v>367</v>
      </c>
      <c r="R87" s="26" t="s">
        <v>368</v>
      </c>
    </row>
    <row r="88" customFormat="false" ht="15" hidden="false" customHeight="false" outlineLevel="0" collapsed="false">
      <c r="A88" s="26" t="n">
        <v>84</v>
      </c>
      <c r="B88" s="26" t="s">
        <v>441</v>
      </c>
      <c r="C88" s="26" t="s">
        <v>334</v>
      </c>
      <c r="D88" s="26" t="s">
        <v>205</v>
      </c>
      <c r="E88" s="27" t="s">
        <v>267</v>
      </c>
      <c r="F88" s="27" t="s">
        <v>267</v>
      </c>
      <c r="G88" s="27" t="s">
        <v>214</v>
      </c>
      <c r="H88" s="26" t="n">
        <f aca="false">Malla_2027!J24</f>
        <v>3</v>
      </c>
      <c r="I88" s="26" t="n">
        <f aca="false">H88*Parametros!$C$14</f>
        <v>30</v>
      </c>
      <c r="J88" s="26" t="n">
        <f aca="false">H88*Parametros!$C$15</f>
        <v>27</v>
      </c>
      <c r="K88" s="26" t="n">
        <f aca="false">H88*Parametros!$C$16</f>
        <v>27</v>
      </c>
      <c r="L88" s="26" t="n">
        <f aca="false">H88*Parametros!$C$17</f>
        <v>27</v>
      </c>
      <c r="M88" s="26" t="n">
        <f aca="false">SUM(I88:L88)</f>
        <v>111</v>
      </c>
      <c r="N88" s="53" t="n">
        <f aca="false">M88*Parametros!$C$29/60</f>
        <v>111</v>
      </c>
      <c r="O88" s="26" t="n">
        <f aca="false">ROUNDDOWN(M88*Parametros!$C$26,0)</f>
        <v>22</v>
      </c>
      <c r="P88" s="26" t="n">
        <f aca="false">M88-O88</f>
        <v>89</v>
      </c>
      <c r="Q88" s="26" t="s">
        <v>367</v>
      </c>
      <c r="R88" s="26" t="s">
        <v>369</v>
      </c>
    </row>
    <row r="89" customFormat="false" ht="28.35" hidden="false" customHeight="false" outlineLevel="0" collapsed="false">
      <c r="A89" s="26" t="n">
        <v>85</v>
      </c>
      <c r="B89" s="26" t="s">
        <v>442</v>
      </c>
      <c r="C89" s="26" t="s">
        <v>334</v>
      </c>
      <c r="D89" s="26" t="s">
        <v>206</v>
      </c>
      <c r="E89" s="27" t="s">
        <v>213</v>
      </c>
      <c r="F89" s="27" t="s">
        <v>213</v>
      </c>
      <c r="G89" s="27" t="s">
        <v>214</v>
      </c>
      <c r="H89" s="26" t="n">
        <f aca="false">Malla_2027!K6</f>
        <v>4</v>
      </c>
      <c r="I89" s="26" t="n">
        <f aca="false">H89*Parametros!$C$14</f>
        <v>40</v>
      </c>
      <c r="J89" s="26" t="n">
        <f aca="false">H89*Parametros!$C$15</f>
        <v>36</v>
      </c>
      <c r="K89" s="26" t="n">
        <f aca="false">H89*Parametros!$C$16</f>
        <v>36</v>
      </c>
      <c r="L89" s="26" t="n">
        <f aca="false">H89*Parametros!$C$17</f>
        <v>36</v>
      </c>
      <c r="M89" s="26" t="n">
        <f aca="false">SUM(I89:L89)</f>
        <v>148</v>
      </c>
      <c r="N89" s="53" t="n">
        <f aca="false">M89*Parametros!$C$29/60</f>
        <v>148</v>
      </c>
      <c r="O89" s="26" t="n">
        <f aca="false">ROUNDDOWN(M89*Parametros!$C$26,0)</f>
        <v>29</v>
      </c>
      <c r="P89" s="26" t="n">
        <f aca="false">M89-O89</f>
        <v>119</v>
      </c>
      <c r="Q89" s="26" t="s">
        <v>367</v>
      </c>
      <c r="R89" s="26" t="s">
        <v>368</v>
      </c>
    </row>
    <row r="90" customFormat="false" ht="28.35" hidden="false" customHeight="false" outlineLevel="0" collapsed="false">
      <c r="A90" s="26" t="n">
        <v>86</v>
      </c>
      <c r="B90" s="26" t="s">
        <v>443</v>
      </c>
      <c r="C90" s="26" t="s">
        <v>334</v>
      </c>
      <c r="D90" s="26" t="s">
        <v>206</v>
      </c>
      <c r="E90" s="27" t="s">
        <v>223</v>
      </c>
      <c r="F90" s="27" t="s">
        <v>224</v>
      </c>
      <c r="G90" s="27" t="s">
        <v>214</v>
      </c>
      <c r="H90" s="26" t="n">
        <f aca="false">Malla_2027!K9</f>
        <v>5</v>
      </c>
      <c r="I90" s="26" t="n">
        <f aca="false">H90*Parametros!$C$14</f>
        <v>50</v>
      </c>
      <c r="J90" s="26" t="n">
        <f aca="false">H90*Parametros!$C$15</f>
        <v>45</v>
      </c>
      <c r="K90" s="26" t="n">
        <f aca="false">H90*Parametros!$C$16</f>
        <v>45</v>
      </c>
      <c r="L90" s="26" t="n">
        <f aca="false">H90*Parametros!$C$17</f>
        <v>45</v>
      </c>
      <c r="M90" s="26" t="n">
        <f aca="false">SUM(I90:L90)</f>
        <v>185</v>
      </c>
      <c r="N90" s="53" t="n">
        <f aca="false">M90*Parametros!$C$29/60</f>
        <v>185</v>
      </c>
      <c r="O90" s="26" t="n">
        <f aca="false">ROUNDDOWN(M90*Parametros!$C$26,0)</f>
        <v>37</v>
      </c>
      <c r="P90" s="26" t="n">
        <f aca="false">M90-O90</f>
        <v>148</v>
      </c>
      <c r="Q90" s="26" t="s">
        <v>367</v>
      </c>
      <c r="R90" s="26" t="s">
        <v>368</v>
      </c>
    </row>
    <row r="91" customFormat="false" ht="28.35" hidden="false" customHeight="false" outlineLevel="0" collapsed="false">
      <c r="A91" s="26" t="n">
        <v>87</v>
      </c>
      <c r="B91" s="26" t="s">
        <v>444</v>
      </c>
      <c r="C91" s="26" t="s">
        <v>334</v>
      </c>
      <c r="D91" s="26" t="s">
        <v>206</v>
      </c>
      <c r="E91" s="27" t="s">
        <v>234</v>
      </c>
      <c r="F91" s="27" t="s">
        <v>235</v>
      </c>
      <c r="G91" s="27" t="s">
        <v>214</v>
      </c>
      <c r="H91" s="26" t="n">
        <f aca="false">Malla_2027!K12</f>
        <v>1</v>
      </c>
      <c r="I91" s="26" t="n">
        <f aca="false">H91*Parametros!$C$14</f>
        <v>10</v>
      </c>
      <c r="J91" s="26" t="n">
        <f aca="false">H91*Parametros!$C$15</f>
        <v>9</v>
      </c>
      <c r="K91" s="26" t="n">
        <f aca="false">H91*Parametros!$C$16</f>
        <v>9</v>
      </c>
      <c r="L91" s="26" t="n">
        <f aca="false">H91*Parametros!$C$17</f>
        <v>9</v>
      </c>
      <c r="M91" s="26" t="n">
        <f aca="false">SUM(I91:L91)</f>
        <v>37</v>
      </c>
      <c r="N91" s="53" t="n">
        <f aca="false">M91*Parametros!$C$29/60</f>
        <v>37</v>
      </c>
      <c r="O91" s="26" t="n">
        <f aca="false">ROUNDDOWN(M91*Parametros!$C$26,0)</f>
        <v>7</v>
      </c>
      <c r="P91" s="26" t="n">
        <f aca="false">M91-O91</f>
        <v>30</v>
      </c>
      <c r="Q91" s="26" t="s">
        <v>367</v>
      </c>
      <c r="R91" s="26" t="s">
        <v>368</v>
      </c>
    </row>
    <row r="92" customFormat="false" ht="28.35" hidden="false" customHeight="false" outlineLevel="0" collapsed="false">
      <c r="A92" s="26" t="n">
        <v>88</v>
      </c>
      <c r="B92" s="26" t="s">
        <v>445</v>
      </c>
      <c r="C92" s="26" t="s">
        <v>334</v>
      </c>
      <c r="D92" s="26" t="s">
        <v>206</v>
      </c>
      <c r="E92" s="27" t="s">
        <v>234</v>
      </c>
      <c r="F92" s="27" t="s">
        <v>238</v>
      </c>
      <c r="G92" s="27" t="s">
        <v>214</v>
      </c>
      <c r="H92" s="26" t="n">
        <f aca="false">Malla_2027!K13</f>
        <v>1</v>
      </c>
      <c r="I92" s="26" t="n">
        <f aca="false">H92*Parametros!$C$14</f>
        <v>10</v>
      </c>
      <c r="J92" s="26" t="n">
        <f aca="false">H92*Parametros!$C$15</f>
        <v>9</v>
      </c>
      <c r="K92" s="26" t="n">
        <f aca="false">H92*Parametros!$C$16</f>
        <v>9</v>
      </c>
      <c r="L92" s="26" t="n">
        <f aca="false">H92*Parametros!$C$17</f>
        <v>9</v>
      </c>
      <c r="M92" s="26" t="n">
        <f aca="false">SUM(I92:L92)</f>
        <v>37</v>
      </c>
      <c r="N92" s="53" t="n">
        <f aca="false">M92*Parametros!$C$29/60</f>
        <v>37</v>
      </c>
      <c r="O92" s="26" t="n">
        <f aca="false">ROUNDDOWN(M92*Parametros!$C$26,0)</f>
        <v>7</v>
      </c>
      <c r="P92" s="26" t="n">
        <f aca="false">M92-O92</f>
        <v>30</v>
      </c>
      <c r="Q92" s="26" t="s">
        <v>367</v>
      </c>
      <c r="R92" s="26" t="s">
        <v>368</v>
      </c>
    </row>
    <row r="93" customFormat="false" ht="28.35" hidden="false" customHeight="false" outlineLevel="0" collapsed="false">
      <c r="A93" s="26" t="n">
        <v>89</v>
      </c>
      <c r="B93" s="26" t="s">
        <v>446</v>
      </c>
      <c r="C93" s="26" t="s">
        <v>334</v>
      </c>
      <c r="D93" s="26" t="s">
        <v>206</v>
      </c>
      <c r="E93" s="27" t="s">
        <v>234</v>
      </c>
      <c r="F93" s="27" t="s">
        <v>240</v>
      </c>
      <c r="G93" s="27" t="s">
        <v>214</v>
      </c>
      <c r="H93" s="26" t="n">
        <f aca="false">Malla_2027!K14</f>
        <v>1</v>
      </c>
      <c r="I93" s="26" t="n">
        <f aca="false">H93*Parametros!$C$14</f>
        <v>10</v>
      </c>
      <c r="J93" s="26" t="n">
        <f aca="false">H93*Parametros!$C$15</f>
        <v>9</v>
      </c>
      <c r="K93" s="26" t="n">
        <f aca="false">H93*Parametros!$C$16</f>
        <v>9</v>
      </c>
      <c r="L93" s="26" t="n">
        <f aca="false">H93*Parametros!$C$17</f>
        <v>9</v>
      </c>
      <c r="M93" s="26" t="n">
        <f aca="false">SUM(I93:L93)</f>
        <v>37</v>
      </c>
      <c r="N93" s="53" t="n">
        <f aca="false">M93*Parametros!$C$29/60</f>
        <v>37</v>
      </c>
      <c r="O93" s="26" t="n">
        <f aca="false">ROUNDDOWN(M93*Parametros!$C$26,0)</f>
        <v>7</v>
      </c>
      <c r="P93" s="26" t="n">
        <f aca="false">M93-O93</f>
        <v>30</v>
      </c>
      <c r="Q93" s="26" t="s">
        <v>367</v>
      </c>
      <c r="R93" s="26" t="s">
        <v>368</v>
      </c>
    </row>
    <row r="94" customFormat="false" ht="28.35" hidden="false" customHeight="false" outlineLevel="0" collapsed="false">
      <c r="A94" s="26" t="n">
        <v>90</v>
      </c>
      <c r="B94" s="26" t="s">
        <v>447</v>
      </c>
      <c r="C94" s="26" t="s">
        <v>334</v>
      </c>
      <c r="D94" s="26" t="s">
        <v>206</v>
      </c>
      <c r="E94" s="27" t="s">
        <v>242</v>
      </c>
      <c r="F94" s="27" t="s">
        <v>243</v>
      </c>
      <c r="G94" s="27" t="s">
        <v>214</v>
      </c>
      <c r="H94" s="26" t="n">
        <f aca="false">Malla_2027!K15</f>
        <v>1</v>
      </c>
      <c r="I94" s="26" t="n">
        <f aca="false">H94*Parametros!$C$14</f>
        <v>10</v>
      </c>
      <c r="J94" s="26" t="n">
        <f aca="false">H94*Parametros!$C$15</f>
        <v>9</v>
      </c>
      <c r="K94" s="26" t="n">
        <f aca="false">H94*Parametros!$C$16</f>
        <v>9</v>
      </c>
      <c r="L94" s="26" t="n">
        <f aca="false">H94*Parametros!$C$17</f>
        <v>9</v>
      </c>
      <c r="M94" s="26" t="n">
        <f aca="false">SUM(I94:L94)</f>
        <v>37</v>
      </c>
      <c r="N94" s="53" t="n">
        <f aca="false">M94*Parametros!$C$29/60</f>
        <v>37</v>
      </c>
      <c r="O94" s="26" t="n">
        <f aca="false">ROUNDDOWN(M94*Parametros!$C$26,0)</f>
        <v>7</v>
      </c>
      <c r="P94" s="26" t="n">
        <f aca="false">M94-O94</f>
        <v>30</v>
      </c>
      <c r="Q94" s="26" t="s">
        <v>367</v>
      </c>
      <c r="R94" s="26" t="s">
        <v>368</v>
      </c>
    </row>
    <row r="95" customFormat="false" ht="28.35" hidden="false" customHeight="false" outlineLevel="0" collapsed="false">
      <c r="A95" s="26" t="n">
        <v>91</v>
      </c>
      <c r="B95" s="26" t="s">
        <v>448</v>
      </c>
      <c r="C95" s="26" t="s">
        <v>334</v>
      </c>
      <c r="D95" s="26" t="s">
        <v>206</v>
      </c>
      <c r="E95" s="27" t="s">
        <v>246</v>
      </c>
      <c r="F95" s="27" t="s">
        <v>246</v>
      </c>
      <c r="G95" s="27" t="s">
        <v>214</v>
      </c>
      <c r="H95" s="26" t="n">
        <f aca="false">Malla_2027!K16</f>
        <v>2</v>
      </c>
      <c r="I95" s="26" t="n">
        <f aca="false">H95*Parametros!$C$14</f>
        <v>20</v>
      </c>
      <c r="J95" s="26" t="n">
        <f aca="false">H95*Parametros!$C$15</f>
        <v>18</v>
      </c>
      <c r="K95" s="26" t="n">
        <f aca="false">H95*Parametros!$C$16</f>
        <v>18</v>
      </c>
      <c r="L95" s="26" t="n">
        <f aca="false">H95*Parametros!$C$17</f>
        <v>18</v>
      </c>
      <c r="M95" s="26" t="n">
        <f aca="false">SUM(I95:L95)</f>
        <v>74</v>
      </c>
      <c r="N95" s="53" t="n">
        <f aca="false">M95*Parametros!$C$29/60</f>
        <v>74</v>
      </c>
      <c r="O95" s="26" t="n">
        <f aca="false">ROUNDDOWN(M95*Parametros!$C$26,0)</f>
        <v>14</v>
      </c>
      <c r="P95" s="26" t="n">
        <f aca="false">M95-O95</f>
        <v>60</v>
      </c>
      <c r="Q95" s="26" t="s">
        <v>367</v>
      </c>
      <c r="R95" s="26" t="s">
        <v>368</v>
      </c>
    </row>
    <row r="96" customFormat="false" ht="28.35" hidden="false" customHeight="false" outlineLevel="0" collapsed="false">
      <c r="A96" s="26" t="n">
        <v>92</v>
      </c>
      <c r="B96" s="26" t="s">
        <v>449</v>
      </c>
      <c r="C96" s="26" t="s">
        <v>334</v>
      </c>
      <c r="D96" s="26" t="s">
        <v>206</v>
      </c>
      <c r="E96" s="27" t="s">
        <v>249</v>
      </c>
      <c r="F96" s="27" t="s">
        <v>250</v>
      </c>
      <c r="G96" s="27" t="s">
        <v>214</v>
      </c>
      <c r="H96" s="26" t="n">
        <f aca="false">Malla_2027!K17</f>
        <v>3</v>
      </c>
      <c r="I96" s="26" t="n">
        <f aca="false">H96*Parametros!$C$14</f>
        <v>30</v>
      </c>
      <c r="J96" s="26" t="n">
        <f aca="false">H96*Parametros!$C$15</f>
        <v>27</v>
      </c>
      <c r="K96" s="26" t="n">
        <f aca="false">H96*Parametros!$C$16</f>
        <v>27</v>
      </c>
      <c r="L96" s="26" t="n">
        <f aca="false">H96*Parametros!$C$17</f>
        <v>27</v>
      </c>
      <c r="M96" s="26" t="n">
        <f aca="false">SUM(I96:L96)</f>
        <v>111</v>
      </c>
      <c r="N96" s="53" t="n">
        <f aca="false">M96*Parametros!$C$29/60</f>
        <v>111</v>
      </c>
      <c r="O96" s="26" t="n">
        <f aca="false">ROUNDDOWN(M96*Parametros!$C$26,0)</f>
        <v>22</v>
      </c>
      <c r="P96" s="26" t="n">
        <f aca="false">M96-O96</f>
        <v>89</v>
      </c>
      <c r="Q96" s="26" t="s">
        <v>367</v>
      </c>
      <c r="R96" s="26" t="s">
        <v>368</v>
      </c>
    </row>
    <row r="97" customFormat="false" ht="28.35" hidden="false" customHeight="false" outlineLevel="0" collapsed="false">
      <c r="A97" s="26" t="n">
        <v>93</v>
      </c>
      <c r="B97" s="26" t="s">
        <v>450</v>
      </c>
      <c r="C97" s="26" t="s">
        <v>334</v>
      </c>
      <c r="D97" s="26" t="s">
        <v>206</v>
      </c>
      <c r="E97" s="27" t="s">
        <v>252</v>
      </c>
      <c r="F97" s="27" t="s">
        <v>253</v>
      </c>
      <c r="G97" s="27" t="s">
        <v>214</v>
      </c>
      <c r="H97" s="26" t="n">
        <f aca="false">Malla_2027!K18</f>
        <v>5</v>
      </c>
      <c r="I97" s="26" t="n">
        <f aca="false">H97*Parametros!$C$14</f>
        <v>50</v>
      </c>
      <c r="J97" s="26" t="n">
        <f aca="false">H97*Parametros!$C$15</f>
        <v>45</v>
      </c>
      <c r="K97" s="26" t="n">
        <f aca="false">H97*Parametros!$C$16</f>
        <v>45</v>
      </c>
      <c r="L97" s="26" t="n">
        <f aca="false">H97*Parametros!$C$17</f>
        <v>45</v>
      </c>
      <c r="M97" s="26" t="n">
        <f aca="false">SUM(I97:L97)</f>
        <v>185</v>
      </c>
      <c r="N97" s="53" t="n">
        <f aca="false">M97*Parametros!$C$29/60</f>
        <v>185</v>
      </c>
      <c r="O97" s="26" t="n">
        <f aca="false">ROUNDDOWN(M97*Parametros!$C$26,0)</f>
        <v>37</v>
      </c>
      <c r="P97" s="26" t="n">
        <f aca="false">M97-O97</f>
        <v>148</v>
      </c>
      <c r="Q97" s="26" t="s">
        <v>367</v>
      </c>
      <c r="R97" s="26" t="s">
        <v>368</v>
      </c>
    </row>
    <row r="98" customFormat="false" ht="28.35" hidden="false" customHeight="false" outlineLevel="0" collapsed="false">
      <c r="A98" s="26" t="n">
        <v>94</v>
      </c>
      <c r="B98" s="26" t="s">
        <v>451</v>
      </c>
      <c r="C98" s="26" t="s">
        <v>334</v>
      </c>
      <c r="D98" s="26" t="s">
        <v>206</v>
      </c>
      <c r="E98" s="27" t="s">
        <v>252</v>
      </c>
      <c r="F98" s="27" t="s">
        <v>255</v>
      </c>
      <c r="G98" s="27" t="s">
        <v>214</v>
      </c>
      <c r="H98" s="26" t="n">
        <f aca="false">Malla_2027!K19</f>
        <v>4</v>
      </c>
      <c r="I98" s="26" t="n">
        <f aca="false">H98*Parametros!$C$14</f>
        <v>40</v>
      </c>
      <c r="J98" s="26" t="n">
        <f aca="false">H98*Parametros!$C$15</f>
        <v>36</v>
      </c>
      <c r="K98" s="26" t="n">
        <f aca="false">H98*Parametros!$C$16</f>
        <v>36</v>
      </c>
      <c r="L98" s="26" t="n">
        <f aca="false">H98*Parametros!$C$17</f>
        <v>36</v>
      </c>
      <c r="M98" s="26" t="n">
        <f aca="false">SUM(I98:L98)</f>
        <v>148</v>
      </c>
      <c r="N98" s="53" t="n">
        <f aca="false">M98*Parametros!$C$29/60</f>
        <v>148</v>
      </c>
      <c r="O98" s="26" t="n">
        <f aca="false">ROUNDDOWN(M98*Parametros!$C$26,0)</f>
        <v>29</v>
      </c>
      <c r="P98" s="26" t="n">
        <f aca="false">M98-O98</f>
        <v>119</v>
      </c>
      <c r="Q98" s="26" t="s">
        <v>367</v>
      </c>
      <c r="R98" s="26" t="s">
        <v>368</v>
      </c>
    </row>
    <row r="99" customFormat="false" ht="28.35" hidden="false" customHeight="false" outlineLevel="0" collapsed="false">
      <c r="A99" s="26" t="n">
        <v>95</v>
      </c>
      <c r="B99" s="26" t="s">
        <v>452</v>
      </c>
      <c r="C99" s="26" t="s">
        <v>334</v>
      </c>
      <c r="D99" s="26" t="s">
        <v>206</v>
      </c>
      <c r="E99" s="27" t="s">
        <v>257</v>
      </c>
      <c r="F99" s="27" t="s">
        <v>257</v>
      </c>
      <c r="G99" s="27" t="s">
        <v>214</v>
      </c>
      <c r="H99" s="26" t="n">
        <f aca="false">Malla_2027!K20</f>
        <v>5</v>
      </c>
      <c r="I99" s="26" t="n">
        <f aca="false">H99*Parametros!$C$14</f>
        <v>50</v>
      </c>
      <c r="J99" s="26" t="n">
        <f aca="false">H99*Parametros!$C$15</f>
        <v>45</v>
      </c>
      <c r="K99" s="26" t="n">
        <f aca="false">H99*Parametros!$C$16</f>
        <v>45</v>
      </c>
      <c r="L99" s="26" t="n">
        <f aca="false">H99*Parametros!$C$17</f>
        <v>45</v>
      </c>
      <c r="M99" s="26" t="n">
        <f aca="false">SUM(I99:L99)</f>
        <v>185</v>
      </c>
      <c r="N99" s="53" t="n">
        <f aca="false">M99*Parametros!$C$29/60</f>
        <v>185</v>
      </c>
      <c r="O99" s="26" t="n">
        <f aca="false">ROUNDDOWN(M99*Parametros!$C$26,0)</f>
        <v>37</v>
      </c>
      <c r="P99" s="26" t="n">
        <f aca="false">M99-O99</f>
        <v>148</v>
      </c>
      <c r="Q99" s="26" t="s">
        <v>367</v>
      </c>
      <c r="R99" s="26" t="s">
        <v>368</v>
      </c>
    </row>
    <row r="100" customFormat="false" ht="15" hidden="false" customHeight="false" outlineLevel="0" collapsed="false">
      <c r="A100" s="26" t="n">
        <v>96</v>
      </c>
      <c r="B100" s="26" t="s">
        <v>453</v>
      </c>
      <c r="C100" s="26" t="s">
        <v>334</v>
      </c>
      <c r="D100" s="26" t="s">
        <v>206</v>
      </c>
      <c r="E100" s="27" t="s">
        <v>267</v>
      </c>
      <c r="F100" s="27" t="s">
        <v>267</v>
      </c>
      <c r="G100" s="27" t="s">
        <v>214</v>
      </c>
      <c r="H100" s="26" t="n">
        <f aca="false">Malla_2027!K24</f>
        <v>3</v>
      </c>
      <c r="I100" s="26" t="n">
        <f aca="false">H100*Parametros!$C$14</f>
        <v>30</v>
      </c>
      <c r="J100" s="26" t="n">
        <f aca="false">H100*Parametros!$C$15</f>
        <v>27</v>
      </c>
      <c r="K100" s="26" t="n">
        <f aca="false">H100*Parametros!$C$16</f>
        <v>27</v>
      </c>
      <c r="L100" s="26" t="n">
        <f aca="false">H100*Parametros!$C$17</f>
        <v>27</v>
      </c>
      <c r="M100" s="26" t="n">
        <f aca="false">SUM(I100:L100)</f>
        <v>111</v>
      </c>
      <c r="N100" s="53" t="n">
        <f aca="false">M100*Parametros!$C$29/60</f>
        <v>111</v>
      </c>
      <c r="O100" s="26" t="n">
        <f aca="false">ROUNDDOWN(M100*Parametros!$C$26,0)</f>
        <v>22</v>
      </c>
      <c r="P100" s="26" t="n">
        <f aca="false">M100-O100</f>
        <v>89</v>
      </c>
      <c r="Q100" s="26" t="s">
        <v>367</v>
      </c>
      <c r="R100" s="26" t="s">
        <v>369</v>
      </c>
    </row>
    <row r="101" customFormat="false" ht="28.35" hidden="false" customHeight="false" outlineLevel="0" collapsed="false">
      <c r="A101" s="26" t="n">
        <v>97</v>
      </c>
      <c r="B101" s="26" t="s">
        <v>454</v>
      </c>
      <c r="C101" s="26" t="s">
        <v>334</v>
      </c>
      <c r="D101" s="26" t="s">
        <v>207</v>
      </c>
      <c r="E101" s="27" t="s">
        <v>213</v>
      </c>
      <c r="F101" s="27" t="s">
        <v>213</v>
      </c>
      <c r="G101" s="27" t="s">
        <v>214</v>
      </c>
      <c r="H101" s="26" t="n">
        <f aca="false">Malla_2027!L6</f>
        <v>4</v>
      </c>
      <c r="I101" s="26" t="n">
        <f aca="false">H101*Parametros!$C$14</f>
        <v>40</v>
      </c>
      <c r="J101" s="26" t="n">
        <f aca="false">H101*Parametros!$C$15</f>
        <v>36</v>
      </c>
      <c r="K101" s="26" t="n">
        <f aca="false">H101*Parametros!$C$16</f>
        <v>36</v>
      </c>
      <c r="L101" s="26" t="n">
        <f aca="false">H101*Parametros!$C$17</f>
        <v>36</v>
      </c>
      <c r="M101" s="26" t="n">
        <f aca="false">SUM(I101:L101)</f>
        <v>148</v>
      </c>
      <c r="N101" s="53" t="n">
        <f aca="false">M101*Parametros!$C$29/60</f>
        <v>148</v>
      </c>
      <c r="O101" s="26" t="n">
        <f aca="false">ROUNDDOWN(M101*Parametros!$C$26,0)</f>
        <v>29</v>
      </c>
      <c r="P101" s="26" t="n">
        <f aca="false">M101-O101</f>
        <v>119</v>
      </c>
      <c r="Q101" s="26" t="s">
        <v>367</v>
      </c>
      <c r="R101" s="26" t="s">
        <v>368</v>
      </c>
    </row>
    <row r="102" customFormat="false" ht="28.35" hidden="false" customHeight="false" outlineLevel="0" collapsed="false">
      <c r="A102" s="26" t="n">
        <v>98</v>
      </c>
      <c r="B102" s="26" t="s">
        <v>455</v>
      </c>
      <c r="C102" s="26" t="s">
        <v>334</v>
      </c>
      <c r="D102" s="26" t="s">
        <v>207</v>
      </c>
      <c r="E102" s="27" t="s">
        <v>223</v>
      </c>
      <c r="F102" s="27" t="s">
        <v>224</v>
      </c>
      <c r="G102" s="27" t="s">
        <v>214</v>
      </c>
      <c r="H102" s="26" t="n">
        <f aca="false">Malla_2027!L9</f>
        <v>5</v>
      </c>
      <c r="I102" s="26" t="n">
        <f aca="false">H102*Parametros!$C$14</f>
        <v>50</v>
      </c>
      <c r="J102" s="26" t="n">
        <f aca="false">H102*Parametros!$C$15</f>
        <v>45</v>
      </c>
      <c r="K102" s="26" t="n">
        <f aca="false">H102*Parametros!$C$16</f>
        <v>45</v>
      </c>
      <c r="L102" s="26" t="n">
        <f aca="false">H102*Parametros!$C$17</f>
        <v>45</v>
      </c>
      <c r="M102" s="26" t="n">
        <f aca="false">SUM(I102:L102)</f>
        <v>185</v>
      </c>
      <c r="N102" s="53" t="n">
        <f aca="false">M102*Parametros!$C$29/60</f>
        <v>185</v>
      </c>
      <c r="O102" s="26" t="n">
        <f aca="false">ROUNDDOWN(M102*Parametros!$C$26,0)</f>
        <v>37</v>
      </c>
      <c r="P102" s="26" t="n">
        <f aca="false">M102-O102</f>
        <v>148</v>
      </c>
      <c r="Q102" s="26" t="s">
        <v>367</v>
      </c>
      <c r="R102" s="26" t="s">
        <v>368</v>
      </c>
    </row>
    <row r="103" customFormat="false" ht="28.35" hidden="false" customHeight="false" outlineLevel="0" collapsed="false">
      <c r="A103" s="26" t="n">
        <v>99</v>
      </c>
      <c r="B103" s="26" t="s">
        <v>456</v>
      </c>
      <c r="C103" s="26" t="s">
        <v>334</v>
      </c>
      <c r="D103" s="26" t="s">
        <v>207</v>
      </c>
      <c r="E103" s="27" t="s">
        <v>234</v>
      </c>
      <c r="F103" s="27" t="s">
        <v>235</v>
      </c>
      <c r="G103" s="27" t="s">
        <v>214</v>
      </c>
      <c r="H103" s="26" t="n">
        <f aca="false">Malla_2027!L12</f>
        <v>1</v>
      </c>
      <c r="I103" s="26" t="n">
        <f aca="false">H103*Parametros!$C$14</f>
        <v>10</v>
      </c>
      <c r="J103" s="26" t="n">
        <f aca="false">H103*Parametros!$C$15</f>
        <v>9</v>
      </c>
      <c r="K103" s="26" t="n">
        <f aca="false">H103*Parametros!$C$16</f>
        <v>9</v>
      </c>
      <c r="L103" s="26" t="n">
        <f aca="false">H103*Parametros!$C$17</f>
        <v>9</v>
      </c>
      <c r="M103" s="26" t="n">
        <f aca="false">SUM(I103:L103)</f>
        <v>37</v>
      </c>
      <c r="N103" s="53" t="n">
        <f aca="false">M103*Parametros!$C$29/60</f>
        <v>37</v>
      </c>
      <c r="O103" s="26" t="n">
        <f aca="false">ROUNDDOWN(M103*Parametros!$C$26,0)</f>
        <v>7</v>
      </c>
      <c r="P103" s="26" t="n">
        <f aca="false">M103-O103</f>
        <v>30</v>
      </c>
      <c r="Q103" s="26" t="s">
        <v>367</v>
      </c>
      <c r="R103" s="26" t="s">
        <v>368</v>
      </c>
    </row>
    <row r="104" customFormat="false" ht="28.35" hidden="false" customHeight="false" outlineLevel="0" collapsed="false">
      <c r="A104" s="26" t="n">
        <v>100</v>
      </c>
      <c r="B104" s="26" t="s">
        <v>457</v>
      </c>
      <c r="C104" s="26" t="s">
        <v>334</v>
      </c>
      <c r="D104" s="26" t="s">
        <v>207</v>
      </c>
      <c r="E104" s="27" t="s">
        <v>234</v>
      </c>
      <c r="F104" s="27" t="s">
        <v>238</v>
      </c>
      <c r="G104" s="27" t="s">
        <v>214</v>
      </c>
      <c r="H104" s="26" t="n">
        <f aca="false">Malla_2027!L13</f>
        <v>1</v>
      </c>
      <c r="I104" s="26" t="n">
        <f aca="false">H104*Parametros!$C$14</f>
        <v>10</v>
      </c>
      <c r="J104" s="26" t="n">
        <f aca="false">H104*Parametros!$C$15</f>
        <v>9</v>
      </c>
      <c r="K104" s="26" t="n">
        <f aca="false">H104*Parametros!$C$16</f>
        <v>9</v>
      </c>
      <c r="L104" s="26" t="n">
        <f aca="false">H104*Parametros!$C$17</f>
        <v>9</v>
      </c>
      <c r="M104" s="26" t="n">
        <f aca="false">SUM(I104:L104)</f>
        <v>37</v>
      </c>
      <c r="N104" s="53" t="n">
        <f aca="false">M104*Parametros!$C$29/60</f>
        <v>37</v>
      </c>
      <c r="O104" s="26" t="n">
        <f aca="false">ROUNDDOWN(M104*Parametros!$C$26,0)</f>
        <v>7</v>
      </c>
      <c r="P104" s="26" t="n">
        <f aca="false">M104-O104</f>
        <v>30</v>
      </c>
      <c r="Q104" s="26" t="s">
        <v>367</v>
      </c>
      <c r="R104" s="26" t="s">
        <v>368</v>
      </c>
    </row>
    <row r="105" customFormat="false" ht="28.35" hidden="false" customHeight="false" outlineLevel="0" collapsed="false">
      <c r="A105" s="26" t="n">
        <v>101</v>
      </c>
      <c r="B105" s="26" t="s">
        <v>458</v>
      </c>
      <c r="C105" s="26" t="s">
        <v>334</v>
      </c>
      <c r="D105" s="26" t="s">
        <v>207</v>
      </c>
      <c r="E105" s="27" t="s">
        <v>234</v>
      </c>
      <c r="F105" s="27" t="s">
        <v>240</v>
      </c>
      <c r="G105" s="27" t="s">
        <v>214</v>
      </c>
      <c r="H105" s="26" t="n">
        <f aca="false">Malla_2027!L14</f>
        <v>1</v>
      </c>
      <c r="I105" s="26" t="n">
        <f aca="false">H105*Parametros!$C$14</f>
        <v>10</v>
      </c>
      <c r="J105" s="26" t="n">
        <f aca="false">H105*Parametros!$C$15</f>
        <v>9</v>
      </c>
      <c r="K105" s="26" t="n">
        <f aca="false">H105*Parametros!$C$16</f>
        <v>9</v>
      </c>
      <c r="L105" s="26" t="n">
        <f aca="false">H105*Parametros!$C$17</f>
        <v>9</v>
      </c>
      <c r="M105" s="26" t="n">
        <f aca="false">SUM(I105:L105)</f>
        <v>37</v>
      </c>
      <c r="N105" s="53" t="n">
        <f aca="false">M105*Parametros!$C$29/60</f>
        <v>37</v>
      </c>
      <c r="O105" s="26" t="n">
        <f aca="false">ROUNDDOWN(M105*Parametros!$C$26,0)</f>
        <v>7</v>
      </c>
      <c r="P105" s="26" t="n">
        <f aca="false">M105-O105</f>
        <v>30</v>
      </c>
      <c r="Q105" s="26" t="s">
        <v>367</v>
      </c>
      <c r="R105" s="26" t="s">
        <v>368</v>
      </c>
    </row>
    <row r="106" customFormat="false" ht="28.35" hidden="false" customHeight="false" outlineLevel="0" collapsed="false">
      <c r="A106" s="26" t="n">
        <v>102</v>
      </c>
      <c r="B106" s="26" t="s">
        <v>459</v>
      </c>
      <c r="C106" s="26" t="s">
        <v>334</v>
      </c>
      <c r="D106" s="26" t="s">
        <v>207</v>
      </c>
      <c r="E106" s="27" t="s">
        <v>242</v>
      </c>
      <c r="F106" s="27" t="s">
        <v>243</v>
      </c>
      <c r="G106" s="27" t="s">
        <v>214</v>
      </c>
      <c r="H106" s="26" t="n">
        <f aca="false">Malla_2027!L15</f>
        <v>1</v>
      </c>
      <c r="I106" s="26" t="n">
        <f aca="false">H106*Parametros!$C$14</f>
        <v>10</v>
      </c>
      <c r="J106" s="26" t="n">
        <f aca="false">H106*Parametros!$C$15</f>
        <v>9</v>
      </c>
      <c r="K106" s="26" t="n">
        <f aca="false">H106*Parametros!$C$16</f>
        <v>9</v>
      </c>
      <c r="L106" s="26" t="n">
        <f aca="false">H106*Parametros!$C$17</f>
        <v>9</v>
      </c>
      <c r="M106" s="26" t="n">
        <f aca="false">SUM(I106:L106)</f>
        <v>37</v>
      </c>
      <c r="N106" s="53" t="n">
        <f aca="false">M106*Parametros!$C$29/60</f>
        <v>37</v>
      </c>
      <c r="O106" s="26" t="n">
        <f aca="false">ROUNDDOWN(M106*Parametros!$C$26,0)</f>
        <v>7</v>
      </c>
      <c r="P106" s="26" t="n">
        <f aca="false">M106-O106</f>
        <v>30</v>
      </c>
      <c r="Q106" s="26" t="s">
        <v>367</v>
      </c>
      <c r="R106" s="26" t="s">
        <v>368</v>
      </c>
    </row>
    <row r="107" customFormat="false" ht="28.35" hidden="false" customHeight="false" outlineLevel="0" collapsed="false">
      <c r="A107" s="26" t="n">
        <v>103</v>
      </c>
      <c r="B107" s="26" t="s">
        <v>460</v>
      </c>
      <c r="C107" s="26" t="s">
        <v>334</v>
      </c>
      <c r="D107" s="26" t="s">
        <v>207</v>
      </c>
      <c r="E107" s="27" t="s">
        <v>246</v>
      </c>
      <c r="F107" s="27" t="s">
        <v>246</v>
      </c>
      <c r="G107" s="27" t="s">
        <v>214</v>
      </c>
      <c r="H107" s="26" t="n">
        <f aca="false">Malla_2027!L16</f>
        <v>2</v>
      </c>
      <c r="I107" s="26" t="n">
        <f aca="false">H107*Parametros!$C$14</f>
        <v>20</v>
      </c>
      <c r="J107" s="26" t="n">
        <f aca="false">H107*Parametros!$C$15</f>
        <v>18</v>
      </c>
      <c r="K107" s="26" t="n">
        <f aca="false">H107*Parametros!$C$16</f>
        <v>18</v>
      </c>
      <c r="L107" s="26" t="n">
        <f aca="false">H107*Parametros!$C$17</f>
        <v>18</v>
      </c>
      <c r="M107" s="26" t="n">
        <f aca="false">SUM(I107:L107)</f>
        <v>74</v>
      </c>
      <c r="N107" s="53" t="n">
        <f aca="false">M107*Parametros!$C$29/60</f>
        <v>74</v>
      </c>
      <c r="O107" s="26" t="n">
        <f aca="false">ROUNDDOWN(M107*Parametros!$C$26,0)</f>
        <v>14</v>
      </c>
      <c r="P107" s="26" t="n">
        <f aca="false">M107-O107</f>
        <v>60</v>
      </c>
      <c r="Q107" s="26" t="s">
        <v>367</v>
      </c>
      <c r="R107" s="26" t="s">
        <v>368</v>
      </c>
    </row>
    <row r="108" customFormat="false" ht="28.35" hidden="false" customHeight="false" outlineLevel="0" collapsed="false">
      <c r="A108" s="26" t="n">
        <v>104</v>
      </c>
      <c r="B108" s="26" t="s">
        <v>461</v>
      </c>
      <c r="C108" s="26" t="s">
        <v>334</v>
      </c>
      <c r="D108" s="26" t="s">
        <v>207</v>
      </c>
      <c r="E108" s="27" t="s">
        <v>249</v>
      </c>
      <c r="F108" s="27" t="s">
        <v>250</v>
      </c>
      <c r="G108" s="27" t="s">
        <v>214</v>
      </c>
      <c r="H108" s="26" t="n">
        <f aca="false">Malla_2027!L17</f>
        <v>3</v>
      </c>
      <c r="I108" s="26" t="n">
        <f aca="false">H108*Parametros!$C$14</f>
        <v>30</v>
      </c>
      <c r="J108" s="26" t="n">
        <f aca="false">H108*Parametros!$C$15</f>
        <v>27</v>
      </c>
      <c r="K108" s="26" t="n">
        <f aca="false">H108*Parametros!$C$16</f>
        <v>27</v>
      </c>
      <c r="L108" s="26" t="n">
        <f aca="false">H108*Parametros!$C$17</f>
        <v>27</v>
      </c>
      <c r="M108" s="26" t="n">
        <f aca="false">SUM(I108:L108)</f>
        <v>111</v>
      </c>
      <c r="N108" s="53" t="n">
        <f aca="false">M108*Parametros!$C$29/60</f>
        <v>111</v>
      </c>
      <c r="O108" s="26" t="n">
        <f aca="false">ROUNDDOWN(M108*Parametros!$C$26,0)</f>
        <v>22</v>
      </c>
      <c r="P108" s="26" t="n">
        <f aca="false">M108-O108</f>
        <v>89</v>
      </c>
      <c r="Q108" s="26" t="s">
        <v>367</v>
      </c>
      <c r="R108" s="26" t="s">
        <v>368</v>
      </c>
    </row>
    <row r="109" customFormat="false" ht="28.35" hidden="false" customHeight="false" outlineLevel="0" collapsed="false">
      <c r="A109" s="26" t="n">
        <v>105</v>
      </c>
      <c r="B109" s="26" t="s">
        <v>462</v>
      </c>
      <c r="C109" s="26" t="s">
        <v>334</v>
      </c>
      <c r="D109" s="26" t="s">
        <v>207</v>
      </c>
      <c r="E109" s="27" t="s">
        <v>252</v>
      </c>
      <c r="F109" s="27" t="s">
        <v>253</v>
      </c>
      <c r="G109" s="27" t="s">
        <v>214</v>
      </c>
      <c r="H109" s="26" t="n">
        <f aca="false">Malla_2027!L18</f>
        <v>5</v>
      </c>
      <c r="I109" s="26" t="n">
        <f aca="false">H109*Parametros!$C$14</f>
        <v>50</v>
      </c>
      <c r="J109" s="26" t="n">
        <f aca="false">H109*Parametros!$C$15</f>
        <v>45</v>
      </c>
      <c r="K109" s="26" t="n">
        <f aca="false">H109*Parametros!$C$16</f>
        <v>45</v>
      </c>
      <c r="L109" s="26" t="n">
        <f aca="false">H109*Parametros!$C$17</f>
        <v>45</v>
      </c>
      <c r="M109" s="26" t="n">
        <f aca="false">SUM(I109:L109)</f>
        <v>185</v>
      </c>
      <c r="N109" s="53" t="n">
        <f aca="false">M109*Parametros!$C$29/60</f>
        <v>185</v>
      </c>
      <c r="O109" s="26" t="n">
        <f aca="false">ROUNDDOWN(M109*Parametros!$C$26,0)</f>
        <v>37</v>
      </c>
      <c r="P109" s="26" t="n">
        <f aca="false">M109-O109</f>
        <v>148</v>
      </c>
      <c r="Q109" s="26" t="s">
        <v>367</v>
      </c>
      <c r="R109" s="26" t="s">
        <v>368</v>
      </c>
    </row>
    <row r="110" customFormat="false" ht="28.35" hidden="false" customHeight="false" outlineLevel="0" collapsed="false">
      <c r="A110" s="26" t="n">
        <v>106</v>
      </c>
      <c r="B110" s="26" t="s">
        <v>463</v>
      </c>
      <c r="C110" s="26" t="s">
        <v>334</v>
      </c>
      <c r="D110" s="26" t="s">
        <v>207</v>
      </c>
      <c r="E110" s="27" t="s">
        <v>252</v>
      </c>
      <c r="F110" s="27" t="s">
        <v>255</v>
      </c>
      <c r="G110" s="27" t="s">
        <v>214</v>
      </c>
      <c r="H110" s="26" t="n">
        <f aca="false">Malla_2027!L19</f>
        <v>4</v>
      </c>
      <c r="I110" s="26" t="n">
        <f aca="false">H110*Parametros!$C$14</f>
        <v>40</v>
      </c>
      <c r="J110" s="26" t="n">
        <f aca="false">H110*Parametros!$C$15</f>
        <v>36</v>
      </c>
      <c r="K110" s="26" t="n">
        <f aca="false">H110*Parametros!$C$16</f>
        <v>36</v>
      </c>
      <c r="L110" s="26" t="n">
        <f aca="false">H110*Parametros!$C$17</f>
        <v>36</v>
      </c>
      <c r="M110" s="26" t="n">
        <f aca="false">SUM(I110:L110)</f>
        <v>148</v>
      </c>
      <c r="N110" s="53" t="n">
        <f aca="false">M110*Parametros!$C$29/60</f>
        <v>148</v>
      </c>
      <c r="O110" s="26" t="n">
        <f aca="false">ROUNDDOWN(M110*Parametros!$C$26,0)</f>
        <v>29</v>
      </c>
      <c r="P110" s="26" t="n">
        <f aca="false">M110-O110</f>
        <v>119</v>
      </c>
      <c r="Q110" s="26" t="s">
        <v>367</v>
      </c>
      <c r="R110" s="26" t="s">
        <v>368</v>
      </c>
    </row>
    <row r="111" customFormat="false" ht="28.35" hidden="false" customHeight="false" outlineLevel="0" collapsed="false">
      <c r="A111" s="26" t="n">
        <v>107</v>
      </c>
      <c r="B111" s="26" t="s">
        <v>464</v>
      </c>
      <c r="C111" s="26" t="s">
        <v>334</v>
      </c>
      <c r="D111" s="26" t="s">
        <v>207</v>
      </c>
      <c r="E111" s="27" t="s">
        <v>257</v>
      </c>
      <c r="F111" s="27" t="s">
        <v>260</v>
      </c>
      <c r="G111" s="27" t="s">
        <v>214</v>
      </c>
      <c r="H111" s="26" t="n">
        <f aca="false">Malla_2027!L21</f>
        <v>5</v>
      </c>
      <c r="I111" s="26" t="n">
        <f aca="false">H111*Parametros!$C$14</f>
        <v>50</v>
      </c>
      <c r="J111" s="26" t="n">
        <f aca="false">H111*Parametros!$C$15</f>
        <v>45</v>
      </c>
      <c r="K111" s="26" t="n">
        <f aca="false">H111*Parametros!$C$16</f>
        <v>45</v>
      </c>
      <c r="L111" s="26" t="n">
        <f aca="false">H111*Parametros!$C$17</f>
        <v>45</v>
      </c>
      <c r="M111" s="26" t="n">
        <f aca="false">SUM(I111:L111)</f>
        <v>185</v>
      </c>
      <c r="N111" s="53" t="n">
        <f aca="false">M111*Parametros!$C$29/60</f>
        <v>185</v>
      </c>
      <c r="O111" s="26" t="n">
        <f aca="false">ROUNDDOWN(M111*Parametros!$C$26,0)</f>
        <v>37</v>
      </c>
      <c r="P111" s="26" t="n">
        <f aca="false">M111-O111</f>
        <v>148</v>
      </c>
      <c r="Q111" s="26" t="s">
        <v>367</v>
      </c>
      <c r="R111" s="26" t="s">
        <v>368</v>
      </c>
    </row>
    <row r="112" customFormat="false" ht="15" hidden="false" customHeight="false" outlineLevel="0" collapsed="false">
      <c r="A112" s="26" t="n">
        <v>108</v>
      </c>
      <c r="B112" s="26" t="s">
        <v>465</v>
      </c>
      <c r="C112" s="26" t="s">
        <v>334</v>
      </c>
      <c r="D112" s="26" t="s">
        <v>207</v>
      </c>
      <c r="E112" s="27" t="s">
        <v>267</v>
      </c>
      <c r="F112" s="27" t="s">
        <v>267</v>
      </c>
      <c r="G112" s="27" t="s">
        <v>214</v>
      </c>
      <c r="H112" s="26" t="n">
        <f aca="false">Malla_2027!L24</f>
        <v>3</v>
      </c>
      <c r="I112" s="26" t="n">
        <f aca="false">H112*Parametros!$C$14</f>
        <v>30</v>
      </c>
      <c r="J112" s="26" t="n">
        <f aca="false">H112*Parametros!$C$15</f>
        <v>27</v>
      </c>
      <c r="K112" s="26" t="n">
        <f aca="false">H112*Parametros!$C$16</f>
        <v>27</v>
      </c>
      <c r="L112" s="26" t="n">
        <f aca="false">H112*Parametros!$C$17</f>
        <v>27</v>
      </c>
      <c r="M112" s="26" t="n">
        <f aca="false">SUM(I112:L112)</f>
        <v>111</v>
      </c>
      <c r="N112" s="53" t="n">
        <f aca="false">M112*Parametros!$C$29/60</f>
        <v>111</v>
      </c>
      <c r="O112" s="26" t="n">
        <f aca="false">ROUNDDOWN(M112*Parametros!$C$26,0)</f>
        <v>22</v>
      </c>
      <c r="P112" s="26" t="n">
        <f aca="false">M112-O112</f>
        <v>89</v>
      </c>
      <c r="Q112" s="26" t="s">
        <v>367</v>
      </c>
      <c r="R112" s="26" t="s">
        <v>369</v>
      </c>
    </row>
    <row r="113" customFormat="false" ht="28.35" hidden="false" customHeight="false" outlineLevel="0" collapsed="false">
      <c r="A113" s="26" t="n">
        <v>109</v>
      </c>
      <c r="B113" s="26" t="s">
        <v>466</v>
      </c>
      <c r="C113" s="26" t="s">
        <v>334</v>
      </c>
      <c r="D113" s="26" t="s">
        <v>208</v>
      </c>
      <c r="E113" s="27" t="s">
        <v>213</v>
      </c>
      <c r="F113" s="27" t="s">
        <v>213</v>
      </c>
      <c r="G113" s="27" t="s">
        <v>214</v>
      </c>
      <c r="H113" s="26" t="n">
        <f aca="false">Malla_2027!M6</f>
        <v>4</v>
      </c>
      <c r="I113" s="26" t="n">
        <f aca="false">H113*Parametros!$C$14</f>
        <v>40</v>
      </c>
      <c r="J113" s="26" t="n">
        <f aca="false">H113*Parametros!$C$15</f>
        <v>36</v>
      </c>
      <c r="K113" s="26" t="n">
        <f aca="false">H113*Parametros!$C$16</f>
        <v>36</v>
      </c>
      <c r="L113" s="26" t="n">
        <f aca="false">H113*Parametros!$C$17</f>
        <v>36</v>
      </c>
      <c r="M113" s="26" t="n">
        <f aca="false">SUM(I113:L113)</f>
        <v>148</v>
      </c>
      <c r="N113" s="53" t="n">
        <f aca="false">M113*Parametros!$C$29/60</f>
        <v>148</v>
      </c>
      <c r="O113" s="26" t="n">
        <f aca="false">ROUNDDOWN(M113*Parametros!$C$26,0)</f>
        <v>29</v>
      </c>
      <c r="P113" s="26" t="n">
        <f aca="false">M113-O113</f>
        <v>119</v>
      </c>
      <c r="Q113" s="26" t="s">
        <v>367</v>
      </c>
      <c r="R113" s="26" t="s">
        <v>368</v>
      </c>
    </row>
    <row r="114" customFormat="false" ht="28.35" hidden="false" customHeight="false" outlineLevel="0" collapsed="false">
      <c r="A114" s="26" t="n">
        <v>110</v>
      </c>
      <c r="B114" s="26" t="s">
        <v>467</v>
      </c>
      <c r="C114" s="26" t="s">
        <v>334</v>
      </c>
      <c r="D114" s="26" t="s">
        <v>208</v>
      </c>
      <c r="E114" s="27" t="s">
        <v>223</v>
      </c>
      <c r="F114" s="27" t="s">
        <v>224</v>
      </c>
      <c r="G114" s="27" t="s">
        <v>214</v>
      </c>
      <c r="H114" s="26" t="n">
        <f aca="false">Malla_2027!M9</f>
        <v>5</v>
      </c>
      <c r="I114" s="26" t="n">
        <f aca="false">H114*Parametros!$C$14</f>
        <v>50</v>
      </c>
      <c r="J114" s="26" t="n">
        <f aca="false">H114*Parametros!$C$15</f>
        <v>45</v>
      </c>
      <c r="K114" s="26" t="n">
        <f aca="false">H114*Parametros!$C$16</f>
        <v>45</v>
      </c>
      <c r="L114" s="26" t="n">
        <f aca="false">H114*Parametros!$C$17</f>
        <v>45</v>
      </c>
      <c r="M114" s="26" t="n">
        <f aca="false">SUM(I114:L114)</f>
        <v>185</v>
      </c>
      <c r="N114" s="53" t="n">
        <f aca="false">M114*Parametros!$C$29/60</f>
        <v>185</v>
      </c>
      <c r="O114" s="26" t="n">
        <f aca="false">ROUNDDOWN(M114*Parametros!$C$26,0)</f>
        <v>37</v>
      </c>
      <c r="P114" s="26" t="n">
        <f aca="false">M114-O114</f>
        <v>148</v>
      </c>
      <c r="Q114" s="26" t="s">
        <v>367</v>
      </c>
      <c r="R114" s="26" t="s">
        <v>368</v>
      </c>
    </row>
    <row r="115" customFormat="false" ht="28.35" hidden="false" customHeight="false" outlineLevel="0" collapsed="false">
      <c r="A115" s="26" t="n">
        <v>111</v>
      </c>
      <c r="B115" s="26" t="s">
        <v>468</v>
      </c>
      <c r="C115" s="26" t="s">
        <v>334</v>
      </c>
      <c r="D115" s="26" t="s">
        <v>208</v>
      </c>
      <c r="E115" s="27" t="s">
        <v>234</v>
      </c>
      <c r="F115" s="27" t="s">
        <v>238</v>
      </c>
      <c r="G115" s="27" t="s">
        <v>214</v>
      </c>
      <c r="H115" s="26" t="n">
        <f aca="false">Malla_2027!M13</f>
        <v>1</v>
      </c>
      <c r="I115" s="26" t="n">
        <f aca="false">H115*Parametros!$C$14</f>
        <v>10</v>
      </c>
      <c r="J115" s="26" t="n">
        <f aca="false">H115*Parametros!$C$15</f>
        <v>9</v>
      </c>
      <c r="K115" s="26" t="n">
        <f aca="false">H115*Parametros!$C$16</f>
        <v>9</v>
      </c>
      <c r="L115" s="26" t="n">
        <f aca="false">H115*Parametros!$C$17</f>
        <v>9</v>
      </c>
      <c r="M115" s="26" t="n">
        <f aca="false">SUM(I115:L115)</f>
        <v>37</v>
      </c>
      <c r="N115" s="53" t="n">
        <f aca="false">M115*Parametros!$C$29/60</f>
        <v>37</v>
      </c>
      <c r="O115" s="26" t="n">
        <f aca="false">ROUNDDOWN(M115*Parametros!$C$26,0)</f>
        <v>7</v>
      </c>
      <c r="P115" s="26" t="n">
        <f aca="false">M115-O115</f>
        <v>30</v>
      </c>
      <c r="Q115" s="26" t="s">
        <v>367</v>
      </c>
      <c r="R115" s="26" t="s">
        <v>368</v>
      </c>
    </row>
    <row r="116" customFormat="false" ht="28.35" hidden="false" customHeight="false" outlineLevel="0" collapsed="false">
      <c r="A116" s="26" t="n">
        <v>112</v>
      </c>
      <c r="B116" s="26" t="s">
        <v>469</v>
      </c>
      <c r="C116" s="26" t="s">
        <v>334</v>
      </c>
      <c r="D116" s="26" t="s">
        <v>208</v>
      </c>
      <c r="E116" s="27" t="s">
        <v>234</v>
      </c>
      <c r="F116" s="27" t="s">
        <v>240</v>
      </c>
      <c r="G116" s="27" t="s">
        <v>214</v>
      </c>
      <c r="H116" s="26" t="n">
        <f aca="false">Malla_2027!M14</f>
        <v>1</v>
      </c>
      <c r="I116" s="26" t="n">
        <f aca="false">H116*Parametros!$C$14</f>
        <v>10</v>
      </c>
      <c r="J116" s="26" t="n">
        <f aca="false">H116*Parametros!$C$15</f>
        <v>9</v>
      </c>
      <c r="K116" s="26" t="n">
        <f aca="false">H116*Parametros!$C$16</f>
        <v>9</v>
      </c>
      <c r="L116" s="26" t="n">
        <f aca="false">H116*Parametros!$C$17</f>
        <v>9</v>
      </c>
      <c r="M116" s="26" t="n">
        <f aca="false">SUM(I116:L116)</f>
        <v>37</v>
      </c>
      <c r="N116" s="53" t="n">
        <f aca="false">M116*Parametros!$C$29/60</f>
        <v>37</v>
      </c>
      <c r="O116" s="26" t="n">
        <f aca="false">ROUNDDOWN(M116*Parametros!$C$26,0)</f>
        <v>7</v>
      </c>
      <c r="P116" s="26" t="n">
        <f aca="false">M116-O116</f>
        <v>30</v>
      </c>
      <c r="Q116" s="26" t="s">
        <v>367</v>
      </c>
      <c r="R116" s="26" t="s">
        <v>368</v>
      </c>
    </row>
    <row r="117" customFormat="false" ht="28.35" hidden="false" customHeight="false" outlineLevel="0" collapsed="false">
      <c r="A117" s="26" t="n">
        <v>113</v>
      </c>
      <c r="B117" s="26" t="s">
        <v>470</v>
      </c>
      <c r="C117" s="26" t="s">
        <v>334</v>
      </c>
      <c r="D117" s="26" t="s">
        <v>208</v>
      </c>
      <c r="E117" s="27" t="s">
        <v>242</v>
      </c>
      <c r="F117" s="27" t="s">
        <v>243</v>
      </c>
      <c r="G117" s="27" t="s">
        <v>214</v>
      </c>
      <c r="H117" s="26" t="n">
        <f aca="false">Malla_2027!M15</f>
        <v>1</v>
      </c>
      <c r="I117" s="26" t="n">
        <f aca="false">H117*Parametros!$C$14</f>
        <v>10</v>
      </c>
      <c r="J117" s="26" t="n">
        <f aca="false">H117*Parametros!$C$15</f>
        <v>9</v>
      </c>
      <c r="K117" s="26" t="n">
        <f aca="false">H117*Parametros!$C$16</f>
        <v>9</v>
      </c>
      <c r="L117" s="26" t="n">
        <f aca="false">H117*Parametros!$C$17</f>
        <v>9</v>
      </c>
      <c r="M117" s="26" t="n">
        <f aca="false">SUM(I117:L117)</f>
        <v>37</v>
      </c>
      <c r="N117" s="53" t="n">
        <f aca="false">M117*Parametros!$C$29/60</f>
        <v>37</v>
      </c>
      <c r="O117" s="26" t="n">
        <f aca="false">ROUNDDOWN(M117*Parametros!$C$26,0)</f>
        <v>7</v>
      </c>
      <c r="P117" s="26" t="n">
        <f aca="false">M117-O117</f>
        <v>30</v>
      </c>
      <c r="Q117" s="26" t="s">
        <v>367</v>
      </c>
      <c r="R117" s="26" t="s">
        <v>368</v>
      </c>
    </row>
    <row r="118" customFormat="false" ht="28.35" hidden="false" customHeight="false" outlineLevel="0" collapsed="false">
      <c r="A118" s="26" t="n">
        <v>114</v>
      </c>
      <c r="B118" s="26" t="s">
        <v>471</v>
      </c>
      <c r="C118" s="26" t="s">
        <v>334</v>
      </c>
      <c r="D118" s="26" t="s">
        <v>208</v>
      </c>
      <c r="E118" s="27" t="s">
        <v>246</v>
      </c>
      <c r="F118" s="27" t="s">
        <v>246</v>
      </c>
      <c r="G118" s="27" t="s">
        <v>214</v>
      </c>
      <c r="H118" s="26" t="n">
        <f aca="false">Malla_2027!M16</f>
        <v>2</v>
      </c>
      <c r="I118" s="26" t="n">
        <f aca="false">H118*Parametros!$C$14</f>
        <v>20</v>
      </c>
      <c r="J118" s="26" t="n">
        <f aca="false">H118*Parametros!$C$15</f>
        <v>18</v>
      </c>
      <c r="K118" s="26" t="n">
        <f aca="false">H118*Parametros!$C$16</f>
        <v>18</v>
      </c>
      <c r="L118" s="26" t="n">
        <f aca="false">H118*Parametros!$C$17</f>
        <v>18</v>
      </c>
      <c r="M118" s="26" t="n">
        <f aca="false">SUM(I118:L118)</f>
        <v>74</v>
      </c>
      <c r="N118" s="53" t="n">
        <f aca="false">M118*Parametros!$C$29/60</f>
        <v>74</v>
      </c>
      <c r="O118" s="26" t="n">
        <f aca="false">ROUNDDOWN(M118*Parametros!$C$26,0)</f>
        <v>14</v>
      </c>
      <c r="P118" s="26" t="n">
        <f aca="false">M118-O118</f>
        <v>60</v>
      </c>
      <c r="Q118" s="26" t="s">
        <v>367</v>
      </c>
      <c r="R118" s="26" t="s">
        <v>368</v>
      </c>
    </row>
    <row r="119" customFormat="false" ht="28.35" hidden="false" customHeight="false" outlineLevel="0" collapsed="false">
      <c r="A119" s="26" t="n">
        <v>115</v>
      </c>
      <c r="B119" s="26" t="s">
        <v>472</v>
      </c>
      <c r="C119" s="26" t="s">
        <v>334</v>
      </c>
      <c r="D119" s="26" t="s">
        <v>208</v>
      </c>
      <c r="E119" s="27" t="s">
        <v>249</v>
      </c>
      <c r="F119" s="27" t="s">
        <v>250</v>
      </c>
      <c r="G119" s="27" t="s">
        <v>214</v>
      </c>
      <c r="H119" s="26" t="n">
        <f aca="false">Malla_2027!M17</f>
        <v>3</v>
      </c>
      <c r="I119" s="26" t="n">
        <f aca="false">H119*Parametros!$C$14</f>
        <v>30</v>
      </c>
      <c r="J119" s="26" t="n">
        <f aca="false">H119*Parametros!$C$15</f>
        <v>27</v>
      </c>
      <c r="K119" s="26" t="n">
        <f aca="false">H119*Parametros!$C$16</f>
        <v>27</v>
      </c>
      <c r="L119" s="26" t="n">
        <f aca="false">H119*Parametros!$C$17</f>
        <v>27</v>
      </c>
      <c r="M119" s="26" t="n">
        <f aca="false">SUM(I119:L119)</f>
        <v>111</v>
      </c>
      <c r="N119" s="53" t="n">
        <f aca="false">M119*Parametros!$C$29/60</f>
        <v>111</v>
      </c>
      <c r="O119" s="26" t="n">
        <f aca="false">ROUNDDOWN(M119*Parametros!$C$26,0)</f>
        <v>22</v>
      </c>
      <c r="P119" s="26" t="n">
        <f aca="false">M119-O119</f>
        <v>89</v>
      </c>
      <c r="Q119" s="26" t="s">
        <v>367</v>
      </c>
      <c r="R119" s="26" t="s">
        <v>368</v>
      </c>
    </row>
    <row r="120" customFormat="false" ht="28.35" hidden="false" customHeight="false" outlineLevel="0" collapsed="false">
      <c r="A120" s="26" t="n">
        <v>116</v>
      </c>
      <c r="B120" s="26" t="s">
        <v>473</v>
      </c>
      <c r="C120" s="26" t="s">
        <v>334</v>
      </c>
      <c r="D120" s="26" t="s">
        <v>208</v>
      </c>
      <c r="E120" s="27" t="s">
        <v>252</v>
      </c>
      <c r="F120" s="27" t="s">
        <v>253</v>
      </c>
      <c r="G120" s="27" t="s">
        <v>214</v>
      </c>
      <c r="H120" s="26" t="n">
        <f aca="false">Malla_2027!M18</f>
        <v>5</v>
      </c>
      <c r="I120" s="26" t="n">
        <f aca="false">H120*Parametros!$C$14</f>
        <v>50</v>
      </c>
      <c r="J120" s="26" t="n">
        <f aca="false">H120*Parametros!$C$15</f>
        <v>45</v>
      </c>
      <c r="K120" s="26" t="n">
        <f aca="false">H120*Parametros!$C$16</f>
        <v>45</v>
      </c>
      <c r="L120" s="26" t="n">
        <f aca="false">H120*Parametros!$C$17</f>
        <v>45</v>
      </c>
      <c r="M120" s="26" t="n">
        <f aca="false">SUM(I120:L120)</f>
        <v>185</v>
      </c>
      <c r="N120" s="53" t="n">
        <f aca="false">M120*Parametros!$C$29/60</f>
        <v>185</v>
      </c>
      <c r="O120" s="26" t="n">
        <f aca="false">ROUNDDOWN(M120*Parametros!$C$26,0)</f>
        <v>37</v>
      </c>
      <c r="P120" s="26" t="n">
        <f aca="false">M120-O120</f>
        <v>148</v>
      </c>
      <c r="Q120" s="26" t="s">
        <v>367</v>
      </c>
      <c r="R120" s="26" t="s">
        <v>368</v>
      </c>
    </row>
    <row r="121" customFormat="false" ht="28.35" hidden="false" customHeight="false" outlineLevel="0" collapsed="false">
      <c r="A121" s="26" t="n">
        <v>117</v>
      </c>
      <c r="B121" s="26" t="s">
        <v>474</v>
      </c>
      <c r="C121" s="26" t="s">
        <v>334</v>
      </c>
      <c r="D121" s="26" t="s">
        <v>208</v>
      </c>
      <c r="E121" s="27" t="s">
        <v>252</v>
      </c>
      <c r="F121" s="27" t="s">
        <v>255</v>
      </c>
      <c r="G121" s="27" t="s">
        <v>214</v>
      </c>
      <c r="H121" s="26" t="n">
        <f aca="false">Malla_2027!M19</f>
        <v>4</v>
      </c>
      <c r="I121" s="26" t="n">
        <f aca="false">H121*Parametros!$C$14</f>
        <v>40</v>
      </c>
      <c r="J121" s="26" t="n">
        <f aca="false">H121*Parametros!$C$15</f>
        <v>36</v>
      </c>
      <c r="K121" s="26" t="n">
        <f aca="false">H121*Parametros!$C$16</f>
        <v>36</v>
      </c>
      <c r="L121" s="26" t="n">
        <f aca="false">H121*Parametros!$C$17</f>
        <v>36</v>
      </c>
      <c r="M121" s="26" t="n">
        <f aca="false">SUM(I121:L121)</f>
        <v>148</v>
      </c>
      <c r="N121" s="53" t="n">
        <f aca="false">M121*Parametros!$C$29/60</f>
        <v>148</v>
      </c>
      <c r="O121" s="26" t="n">
        <f aca="false">ROUNDDOWN(M121*Parametros!$C$26,0)</f>
        <v>29</v>
      </c>
      <c r="P121" s="26" t="n">
        <f aca="false">M121-O121</f>
        <v>119</v>
      </c>
      <c r="Q121" s="26" t="s">
        <v>367</v>
      </c>
      <c r="R121" s="26" t="s">
        <v>368</v>
      </c>
    </row>
    <row r="122" customFormat="false" ht="28.35" hidden="false" customHeight="false" outlineLevel="0" collapsed="false">
      <c r="A122" s="26" t="n">
        <v>118</v>
      </c>
      <c r="B122" s="26" t="s">
        <v>475</v>
      </c>
      <c r="C122" s="26" t="s">
        <v>334</v>
      </c>
      <c r="D122" s="26" t="s">
        <v>208</v>
      </c>
      <c r="E122" s="27" t="s">
        <v>257</v>
      </c>
      <c r="F122" s="27" t="s">
        <v>260</v>
      </c>
      <c r="G122" s="27" t="s">
        <v>214</v>
      </c>
      <c r="H122" s="26" t="n">
        <f aca="false">Malla_2027!M21</f>
        <v>5</v>
      </c>
      <c r="I122" s="26" t="n">
        <f aca="false">H122*Parametros!$C$14</f>
        <v>50</v>
      </c>
      <c r="J122" s="26" t="n">
        <f aca="false">H122*Parametros!$C$15</f>
        <v>45</v>
      </c>
      <c r="K122" s="26" t="n">
        <f aca="false">H122*Parametros!$C$16</f>
        <v>45</v>
      </c>
      <c r="L122" s="26" t="n">
        <f aca="false">H122*Parametros!$C$17</f>
        <v>45</v>
      </c>
      <c r="M122" s="26" t="n">
        <f aca="false">SUM(I122:L122)</f>
        <v>185</v>
      </c>
      <c r="N122" s="53" t="n">
        <f aca="false">M122*Parametros!$C$29/60</f>
        <v>185</v>
      </c>
      <c r="O122" s="26" t="n">
        <f aca="false">ROUNDDOWN(M122*Parametros!$C$26,0)</f>
        <v>37</v>
      </c>
      <c r="P122" s="26" t="n">
        <f aca="false">M122-O122</f>
        <v>148</v>
      </c>
      <c r="Q122" s="26" t="s">
        <v>367</v>
      </c>
      <c r="R122" s="26" t="s">
        <v>368</v>
      </c>
    </row>
    <row r="123" customFormat="false" ht="15" hidden="false" customHeight="false" outlineLevel="0" collapsed="false">
      <c r="A123" s="26" t="n">
        <v>119</v>
      </c>
      <c r="B123" s="26" t="s">
        <v>476</v>
      </c>
      <c r="C123" s="26" t="s">
        <v>334</v>
      </c>
      <c r="D123" s="26" t="s">
        <v>208</v>
      </c>
      <c r="E123" s="27" t="s">
        <v>267</v>
      </c>
      <c r="F123" s="27" t="s">
        <v>267</v>
      </c>
      <c r="G123" s="27" t="s">
        <v>214</v>
      </c>
      <c r="H123" s="26" t="n">
        <f aca="false">Malla_2027!M24</f>
        <v>3</v>
      </c>
      <c r="I123" s="26" t="n">
        <f aca="false">H123*Parametros!$C$14</f>
        <v>30</v>
      </c>
      <c r="J123" s="26" t="n">
        <f aca="false">H123*Parametros!$C$15</f>
        <v>27</v>
      </c>
      <c r="K123" s="26" t="n">
        <f aca="false">H123*Parametros!$C$16</f>
        <v>27</v>
      </c>
      <c r="L123" s="26" t="n">
        <f aca="false">H123*Parametros!$C$17</f>
        <v>27</v>
      </c>
      <c r="M123" s="26" t="n">
        <f aca="false">SUM(I123:L123)</f>
        <v>111</v>
      </c>
      <c r="N123" s="53" t="n">
        <f aca="false">M123*Parametros!$C$29/60</f>
        <v>111</v>
      </c>
      <c r="O123" s="26" t="n">
        <f aca="false">ROUNDDOWN(M123*Parametros!$C$26,0)</f>
        <v>22</v>
      </c>
      <c r="P123" s="26" t="n">
        <f aca="false">M123-O123</f>
        <v>89</v>
      </c>
      <c r="Q123" s="26" t="s">
        <v>367</v>
      </c>
      <c r="R123" s="26" t="s">
        <v>369</v>
      </c>
    </row>
    <row r="124" customFormat="false" ht="28.35" hidden="false" customHeight="false" outlineLevel="0" collapsed="false">
      <c r="A124" s="26" t="n">
        <v>120</v>
      </c>
      <c r="B124" s="26" t="s">
        <v>477</v>
      </c>
      <c r="C124" s="26" t="s">
        <v>334</v>
      </c>
      <c r="D124" s="26" t="s">
        <v>208</v>
      </c>
      <c r="E124" s="27" t="s">
        <v>270</v>
      </c>
      <c r="F124" s="27" t="s">
        <v>271</v>
      </c>
      <c r="G124" s="27" t="s">
        <v>270</v>
      </c>
      <c r="H124" s="26" t="n">
        <f aca="false">Malla_2027!M25</f>
        <v>1</v>
      </c>
      <c r="I124" s="26" t="n">
        <f aca="false">H124*Parametros!$C$14</f>
        <v>10</v>
      </c>
      <c r="J124" s="26" t="n">
        <f aca="false">H124*Parametros!$C$15</f>
        <v>9</v>
      </c>
      <c r="K124" s="26" t="n">
        <f aca="false">H124*Parametros!$C$16</f>
        <v>9</v>
      </c>
      <c r="L124" s="26" t="n">
        <f aca="false">H124*Parametros!$C$17</f>
        <v>9</v>
      </c>
      <c r="M124" s="26" t="n">
        <f aca="false">SUM(I124:L124)</f>
        <v>37</v>
      </c>
      <c r="N124" s="53" t="n">
        <f aca="false">M124*Parametros!$C$29/60</f>
        <v>37</v>
      </c>
      <c r="O124" s="26" t="s">
        <v>478</v>
      </c>
      <c r="P124" s="26" t="s">
        <v>478</v>
      </c>
      <c r="Q124" s="26" t="s">
        <v>367</v>
      </c>
      <c r="R124" s="26" t="s">
        <v>368</v>
      </c>
    </row>
    <row r="125" customFormat="false" ht="28.35" hidden="false" customHeight="false" outlineLevel="0" collapsed="false">
      <c r="A125" s="26" t="n">
        <v>121</v>
      </c>
      <c r="B125" s="26" t="s">
        <v>479</v>
      </c>
      <c r="C125" s="26" t="s">
        <v>480</v>
      </c>
      <c r="D125" s="26" t="s">
        <v>209</v>
      </c>
      <c r="E125" s="27" t="s">
        <v>213</v>
      </c>
      <c r="F125" s="27" t="s">
        <v>217</v>
      </c>
      <c r="G125" s="27" t="s">
        <v>214</v>
      </c>
      <c r="H125" s="26" t="n">
        <f aca="false">Malla_2027!N7</f>
        <v>3</v>
      </c>
      <c r="I125" s="26" t="n">
        <f aca="false">H125*Parametros!$C$14</f>
        <v>30</v>
      </c>
      <c r="J125" s="26" t="n">
        <f aca="false">H125*Parametros!$C$15</f>
        <v>27</v>
      </c>
      <c r="K125" s="26" t="n">
        <f aca="false">H125*Parametros!$C$16</f>
        <v>27</v>
      </c>
      <c r="L125" s="26" t="n">
        <f aca="false">H125*Parametros!$C$17</f>
        <v>27</v>
      </c>
      <c r="M125" s="26" t="n">
        <f aca="false">SUM(I125:L125)</f>
        <v>111</v>
      </c>
      <c r="N125" s="53" t="n">
        <f aca="false">M125*Parametros!$C$29/60</f>
        <v>111</v>
      </c>
      <c r="O125" s="26" t="n">
        <f aca="false">ROUNDDOWN(M125*Parametros!$C$26,0)</f>
        <v>22</v>
      </c>
      <c r="P125" s="26" t="n">
        <f aca="false">M125-O125</f>
        <v>89</v>
      </c>
      <c r="Q125" s="26" t="s">
        <v>367</v>
      </c>
      <c r="R125" s="26" t="s">
        <v>368</v>
      </c>
    </row>
    <row r="126" customFormat="false" ht="28.35" hidden="false" customHeight="false" outlineLevel="0" collapsed="false">
      <c r="A126" s="26" t="n">
        <v>122</v>
      </c>
      <c r="B126" s="26" t="s">
        <v>481</v>
      </c>
      <c r="C126" s="26" t="s">
        <v>480</v>
      </c>
      <c r="D126" s="26" t="s">
        <v>209</v>
      </c>
      <c r="E126" s="27" t="s">
        <v>213</v>
      </c>
      <c r="F126" s="27" t="s">
        <v>220</v>
      </c>
      <c r="G126" s="27" t="s">
        <v>214</v>
      </c>
      <c r="H126" s="26" t="n">
        <f aca="false">Malla_2027!N8</f>
        <v>3</v>
      </c>
      <c r="I126" s="26" t="n">
        <f aca="false">H126*Parametros!$C$14</f>
        <v>30</v>
      </c>
      <c r="J126" s="26" t="n">
        <f aca="false">H126*Parametros!$C$15</f>
        <v>27</v>
      </c>
      <c r="K126" s="26" t="n">
        <f aca="false">H126*Parametros!$C$16</f>
        <v>27</v>
      </c>
      <c r="L126" s="26" t="n">
        <f aca="false">H126*Parametros!$C$17</f>
        <v>27</v>
      </c>
      <c r="M126" s="26" t="n">
        <f aca="false">SUM(I126:L126)</f>
        <v>111</v>
      </c>
      <c r="N126" s="53" t="n">
        <f aca="false">M126*Parametros!$C$29/60</f>
        <v>111</v>
      </c>
      <c r="O126" s="26" t="n">
        <f aca="false">ROUNDDOWN(M126*Parametros!$C$26,0)</f>
        <v>22</v>
      </c>
      <c r="P126" s="26" t="n">
        <f aca="false">M126-O126</f>
        <v>89</v>
      </c>
      <c r="Q126" s="26" t="s">
        <v>367</v>
      </c>
      <c r="R126" s="26" t="s">
        <v>368</v>
      </c>
    </row>
    <row r="127" customFormat="false" ht="28.35" hidden="false" customHeight="false" outlineLevel="0" collapsed="false">
      <c r="A127" s="26" t="n">
        <v>123</v>
      </c>
      <c r="B127" s="26" t="s">
        <v>482</v>
      </c>
      <c r="C127" s="26" t="s">
        <v>480</v>
      </c>
      <c r="D127" s="26" t="s">
        <v>209</v>
      </c>
      <c r="E127" s="27" t="s">
        <v>223</v>
      </c>
      <c r="F127" s="27" t="s">
        <v>227</v>
      </c>
      <c r="G127" s="27" t="s">
        <v>228</v>
      </c>
      <c r="H127" s="26" t="n">
        <f aca="false">Malla_2027!N10</f>
        <v>2</v>
      </c>
      <c r="I127" s="26" t="n">
        <f aca="false">H127*Parametros!$C$14</f>
        <v>20</v>
      </c>
      <c r="J127" s="26" t="n">
        <f aca="false">H127*Parametros!$C$15</f>
        <v>18</v>
      </c>
      <c r="K127" s="26" t="n">
        <f aca="false">H127*Parametros!$C$16</f>
        <v>18</v>
      </c>
      <c r="L127" s="26" t="n">
        <f aca="false">H127*Parametros!$C$17</f>
        <v>18</v>
      </c>
      <c r="M127" s="26" t="n">
        <f aca="false">SUM(I127:L127)</f>
        <v>74</v>
      </c>
      <c r="N127" s="53" t="n">
        <f aca="false">M127*Parametros!$C$29/60</f>
        <v>74</v>
      </c>
      <c r="O127" s="26" t="n">
        <f aca="false">ROUNDDOWN(M127*Parametros!$C$26,0)</f>
        <v>14</v>
      </c>
      <c r="P127" s="26" t="n">
        <f aca="false">M127-O127</f>
        <v>60</v>
      </c>
      <c r="Q127" s="26" t="s">
        <v>367</v>
      </c>
      <c r="R127" s="26" t="s">
        <v>368</v>
      </c>
    </row>
    <row r="128" customFormat="false" ht="28.35" hidden="false" customHeight="false" outlineLevel="0" collapsed="false">
      <c r="A128" s="26" t="n">
        <v>124</v>
      </c>
      <c r="B128" s="26" t="s">
        <v>483</v>
      </c>
      <c r="C128" s="26" t="s">
        <v>480</v>
      </c>
      <c r="D128" s="26" t="s">
        <v>209</v>
      </c>
      <c r="E128" s="27" t="s">
        <v>231</v>
      </c>
      <c r="F128" s="27" t="s">
        <v>231</v>
      </c>
      <c r="G128" s="27" t="s">
        <v>228</v>
      </c>
      <c r="H128" s="26" t="n">
        <f aca="false">Malla_2027!N11</f>
        <v>2</v>
      </c>
      <c r="I128" s="26" t="n">
        <f aca="false">H128*Parametros!$C$14</f>
        <v>20</v>
      </c>
      <c r="J128" s="26" t="n">
        <f aca="false">H128*Parametros!$C$15</f>
        <v>18</v>
      </c>
      <c r="K128" s="26" t="n">
        <f aca="false">H128*Parametros!$C$16</f>
        <v>18</v>
      </c>
      <c r="L128" s="26" t="n">
        <f aca="false">H128*Parametros!$C$17</f>
        <v>18</v>
      </c>
      <c r="M128" s="26" t="n">
        <f aca="false">SUM(I128:L128)</f>
        <v>74</v>
      </c>
      <c r="N128" s="53" t="n">
        <f aca="false">M128*Parametros!$C$29/60</f>
        <v>74</v>
      </c>
      <c r="O128" s="26" t="n">
        <f aca="false">ROUNDDOWN(M128*Parametros!$C$26,0)</f>
        <v>14</v>
      </c>
      <c r="P128" s="26" t="n">
        <f aca="false">M128-O128</f>
        <v>60</v>
      </c>
      <c r="Q128" s="26" t="s">
        <v>367</v>
      </c>
      <c r="R128" s="26" t="s">
        <v>368</v>
      </c>
    </row>
    <row r="129" customFormat="false" ht="28.35" hidden="false" customHeight="false" outlineLevel="0" collapsed="false">
      <c r="A129" s="26" t="n">
        <v>125</v>
      </c>
      <c r="B129" s="26" t="s">
        <v>484</v>
      </c>
      <c r="C129" s="26" t="s">
        <v>480</v>
      </c>
      <c r="D129" s="26" t="s">
        <v>209</v>
      </c>
      <c r="E129" s="27" t="s">
        <v>234</v>
      </c>
      <c r="F129" s="27" t="s">
        <v>238</v>
      </c>
      <c r="G129" s="27" t="s">
        <v>214</v>
      </c>
      <c r="H129" s="26" t="n">
        <f aca="false">Malla_2027!N13</f>
        <v>1</v>
      </c>
      <c r="I129" s="26" t="n">
        <f aca="false">H129*Parametros!$C$14</f>
        <v>10</v>
      </c>
      <c r="J129" s="26" t="n">
        <f aca="false">H129*Parametros!$C$15</f>
        <v>9</v>
      </c>
      <c r="K129" s="26" t="n">
        <f aca="false">H129*Parametros!$C$16</f>
        <v>9</v>
      </c>
      <c r="L129" s="26" t="n">
        <f aca="false">H129*Parametros!$C$17</f>
        <v>9</v>
      </c>
      <c r="M129" s="26" t="n">
        <f aca="false">SUM(I129:L129)</f>
        <v>37</v>
      </c>
      <c r="N129" s="53" t="n">
        <f aca="false">M129*Parametros!$C$29/60</f>
        <v>37</v>
      </c>
      <c r="O129" s="26" t="n">
        <f aca="false">ROUNDDOWN(M129*Parametros!$C$26,0)</f>
        <v>7</v>
      </c>
      <c r="P129" s="26" t="n">
        <f aca="false">M129-O129</f>
        <v>30</v>
      </c>
      <c r="Q129" s="26" t="s">
        <v>367</v>
      </c>
      <c r="R129" s="26" t="s">
        <v>368</v>
      </c>
    </row>
    <row r="130" customFormat="false" ht="28.35" hidden="false" customHeight="false" outlineLevel="0" collapsed="false">
      <c r="A130" s="26" t="n">
        <v>126</v>
      </c>
      <c r="B130" s="26" t="s">
        <v>485</v>
      </c>
      <c r="C130" s="26" t="s">
        <v>480</v>
      </c>
      <c r="D130" s="26" t="s">
        <v>209</v>
      </c>
      <c r="E130" s="27" t="s">
        <v>234</v>
      </c>
      <c r="F130" s="27" t="s">
        <v>240</v>
      </c>
      <c r="G130" s="27" t="s">
        <v>214</v>
      </c>
      <c r="H130" s="26" t="n">
        <f aca="false">Malla_2027!N14</f>
        <v>1</v>
      </c>
      <c r="I130" s="26" t="n">
        <f aca="false">H130*Parametros!$C$14</f>
        <v>10</v>
      </c>
      <c r="J130" s="26" t="n">
        <f aca="false">H130*Parametros!$C$15</f>
        <v>9</v>
      </c>
      <c r="K130" s="26" t="n">
        <f aca="false">H130*Parametros!$C$16</f>
        <v>9</v>
      </c>
      <c r="L130" s="26" t="n">
        <f aca="false">H130*Parametros!$C$17</f>
        <v>9</v>
      </c>
      <c r="M130" s="26" t="n">
        <f aca="false">SUM(I130:L130)</f>
        <v>37</v>
      </c>
      <c r="N130" s="53" t="n">
        <f aca="false">M130*Parametros!$C$29/60</f>
        <v>37</v>
      </c>
      <c r="O130" s="26" t="n">
        <f aca="false">ROUNDDOWN(M130*Parametros!$C$26,0)</f>
        <v>7</v>
      </c>
      <c r="P130" s="26" t="n">
        <f aca="false">M130-O130</f>
        <v>30</v>
      </c>
      <c r="Q130" s="26" t="s">
        <v>367</v>
      </c>
      <c r="R130" s="26" t="s">
        <v>368</v>
      </c>
    </row>
    <row r="131" customFormat="false" ht="28.35" hidden="false" customHeight="false" outlineLevel="0" collapsed="false">
      <c r="A131" s="26" t="n">
        <v>127</v>
      </c>
      <c r="B131" s="26" t="s">
        <v>486</v>
      </c>
      <c r="C131" s="26" t="s">
        <v>480</v>
      </c>
      <c r="D131" s="26" t="s">
        <v>209</v>
      </c>
      <c r="E131" s="27" t="s">
        <v>242</v>
      </c>
      <c r="F131" s="27" t="s">
        <v>243</v>
      </c>
      <c r="G131" s="27" t="s">
        <v>214</v>
      </c>
      <c r="H131" s="26" t="n">
        <f aca="false">Malla_2027!N15</f>
        <v>2</v>
      </c>
      <c r="I131" s="26" t="n">
        <f aca="false">H131*Parametros!$C$14</f>
        <v>20</v>
      </c>
      <c r="J131" s="26" t="n">
        <f aca="false">H131*Parametros!$C$15</f>
        <v>18</v>
      </c>
      <c r="K131" s="26" t="n">
        <f aca="false">H131*Parametros!$C$16</f>
        <v>18</v>
      </c>
      <c r="L131" s="26" t="n">
        <f aca="false">H131*Parametros!$C$17</f>
        <v>18</v>
      </c>
      <c r="M131" s="26" t="n">
        <f aca="false">SUM(I131:L131)</f>
        <v>74</v>
      </c>
      <c r="N131" s="53" t="n">
        <f aca="false">M131*Parametros!$C$29/60</f>
        <v>74</v>
      </c>
      <c r="O131" s="26" t="n">
        <f aca="false">ROUNDDOWN(M131*Parametros!$C$26,0)</f>
        <v>14</v>
      </c>
      <c r="P131" s="26" t="n">
        <f aca="false">M131-O131</f>
        <v>60</v>
      </c>
      <c r="Q131" s="26" t="s">
        <v>367</v>
      </c>
      <c r="R131" s="26" t="s">
        <v>368</v>
      </c>
    </row>
    <row r="132" customFormat="false" ht="28.35" hidden="false" customHeight="false" outlineLevel="0" collapsed="false">
      <c r="A132" s="26" t="n">
        <v>128</v>
      </c>
      <c r="B132" s="26" t="s">
        <v>487</v>
      </c>
      <c r="C132" s="26" t="s">
        <v>480</v>
      </c>
      <c r="D132" s="26" t="s">
        <v>209</v>
      </c>
      <c r="E132" s="27" t="s">
        <v>246</v>
      </c>
      <c r="F132" s="27" t="s">
        <v>246</v>
      </c>
      <c r="G132" s="27" t="s">
        <v>214</v>
      </c>
      <c r="H132" s="26" t="n">
        <f aca="false">Malla_2027!N16</f>
        <v>1</v>
      </c>
      <c r="I132" s="26" t="n">
        <f aca="false">H132*Parametros!$C$14</f>
        <v>10</v>
      </c>
      <c r="J132" s="26" t="n">
        <f aca="false">H132*Parametros!$C$15</f>
        <v>9</v>
      </c>
      <c r="K132" s="26" t="n">
        <f aca="false">H132*Parametros!$C$16</f>
        <v>9</v>
      </c>
      <c r="L132" s="26" t="n">
        <f aca="false">H132*Parametros!$C$17</f>
        <v>9</v>
      </c>
      <c r="M132" s="26" t="n">
        <f aca="false">SUM(I132:L132)</f>
        <v>37</v>
      </c>
      <c r="N132" s="53" t="n">
        <f aca="false">M132*Parametros!$C$29/60</f>
        <v>37</v>
      </c>
      <c r="O132" s="26" t="n">
        <f aca="false">ROUNDDOWN(M132*Parametros!$C$26,0)</f>
        <v>7</v>
      </c>
      <c r="P132" s="26" t="n">
        <f aca="false">M132-O132</f>
        <v>30</v>
      </c>
      <c r="Q132" s="26" t="s">
        <v>367</v>
      </c>
      <c r="R132" s="26" t="s">
        <v>368</v>
      </c>
    </row>
    <row r="133" customFormat="false" ht="28.35" hidden="false" customHeight="false" outlineLevel="0" collapsed="false">
      <c r="A133" s="26" t="n">
        <v>129</v>
      </c>
      <c r="B133" s="26" t="s">
        <v>488</v>
      </c>
      <c r="C133" s="26" t="s">
        <v>480</v>
      </c>
      <c r="D133" s="26" t="s">
        <v>209</v>
      </c>
      <c r="E133" s="27" t="s">
        <v>249</v>
      </c>
      <c r="F133" s="27" t="s">
        <v>250</v>
      </c>
      <c r="G133" s="27" t="s">
        <v>214</v>
      </c>
      <c r="H133" s="26" t="n">
        <f aca="false">Malla_2027!N17</f>
        <v>3</v>
      </c>
      <c r="I133" s="26" t="n">
        <f aca="false">H133*Parametros!$C$14</f>
        <v>30</v>
      </c>
      <c r="J133" s="26" t="n">
        <f aca="false">H133*Parametros!$C$15</f>
        <v>27</v>
      </c>
      <c r="K133" s="26" t="n">
        <f aca="false">H133*Parametros!$C$16</f>
        <v>27</v>
      </c>
      <c r="L133" s="26" t="n">
        <f aca="false">H133*Parametros!$C$17</f>
        <v>27</v>
      </c>
      <c r="M133" s="26" t="n">
        <f aca="false">SUM(I133:L133)</f>
        <v>111</v>
      </c>
      <c r="N133" s="53" t="n">
        <f aca="false">M133*Parametros!$C$29/60</f>
        <v>111</v>
      </c>
      <c r="O133" s="26" t="n">
        <f aca="false">ROUNDDOWN(M133*Parametros!$C$26,0)</f>
        <v>22</v>
      </c>
      <c r="P133" s="26" t="n">
        <f aca="false">M133-O133</f>
        <v>89</v>
      </c>
      <c r="Q133" s="26" t="s">
        <v>367</v>
      </c>
      <c r="R133" s="26" t="s">
        <v>368</v>
      </c>
    </row>
    <row r="134" customFormat="false" ht="28.35" hidden="false" customHeight="false" outlineLevel="0" collapsed="false">
      <c r="A134" s="26" t="n">
        <v>130</v>
      </c>
      <c r="B134" s="26" t="s">
        <v>489</v>
      </c>
      <c r="C134" s="26" t="s">
        <v>480</v>
      </c>
      <c r="D134" s="26" t="s">
        <v>209</v>
      </c>
      <c r="E134" s="27" t="s">
        <v>252</v>
      </c>
      <c r="F134" s="27" t="s">
        <v>253</v>
      </c>
      <c r="G134" s="27" t="s">
        <v>214</v>
      </c>
      <c r="H134" s="26" t="n">
        <f aca="false">Malla_2027!N18</f>
        <v>4</v>
      </c>
      <c r="I134" s="26" t="n">
        <f aca="false">H134*Parametros!$C$14</f>
        <v>40</v>
      </c>
      <c r="J134" s="26" t="n">
        <f aca="false">H134*Parametros!$C$15</f>
        <v>36</v>
      </c>
      <c r="K134" s="26" t="n">
        <f aca="false">H134*Parametros!$C$16</f>
        <v>36</v>
      </c>
      <c r="L134" s="26" t="n">
        <f aca="false">H134*Parametros!$C$17</f>
        <v>36</v>
      </c>
      <c r="M134" s="26" t="n">
        <f aca="false">SUM(I134:L134)</f>
        <v>148</v>
      </c>
      <c r="N134" s="53" t="n">
        <f aca="false">M134*Parametros!$C$29/60</f>
        <v>148</v>
      </c>
      <c r="O134" s="26" t="n">
        <f aca="false">ROUNDDOWN(M134*Parametros!$C$26,0)</f>
        <v>29</v>
      </c>
      <c r="P134" s="26" t="n">
        <f aca="false">M134-O134</f>
        <v>119</v>
      </c>
      <c r="Q134" s="26" t="s">
        <v>367</v>
      </c>
      <c r="R134" s="26" t="s">
        <v>368</v>
      </c>
    </row>
    <row r="135" customFormat="false" ht="28.35" hidden="false" customHeight="false" outlineLevel="0" collapsed="false">
      <c r="A135" s="26" t="n">
        <v>131</v>
      </c>
      <c r="B135" s="26" t="s">
        <v>490</v>
      </c>
      <c r="C135" s="26" t="s">
        <v>480</v>
      </c>
      <c r="D135" s="26" t="s">
        <v>209</v>
      </c>
      <c r="E135" s="27" t="s">
        <v>252</v>
      </c>
      <c r="F135" s="27" t="s">
        <v>255</v>
      </c>
      <c r="G135" s="27" t="s">
        <v>214</v>
      </c>
      <c r="H135" s="26" t="n">
        <f aca="false">Malla_2027!N19</f>
        <v>5</v>
      </c>
      <c r="I135" s="26" t="n">
        <f aca="false">H135*Parametros!$C$14</f>
        <v>50</v>
      </c>
      <c r="J135" s="26" t="n">
        <f aca="false">H135*Parametros!$C$15</f>
        <v>45</v>
      </c>
      <c r="K135" s="26" t="n">
        <f aca="false">H135*Parametros!$C$16</f>
        <v>45</v>
      </c>
      <c r="L135" s="26" t="n">
        <f aca="false">H135*Parametros!$C$17</f>
        <v>45</v>
      </c>
      <c r="M135" s="26" t="n">
        <f aca="false">SUM(I135:L135)</f>
        <v>185</v>
      </c>
      <c r="N135" s="53" t="n">
        <f aca="false">M135*Parametros!$C$29/60</f>
        <v>185</v>
      </c>
      <c r="O135" s="26" t="n">
        <f aca="false">ROUNDDOWN(M135*Parametros!$C$26,0)</f>
        <v>37</v>
      </c>
      <c r="P135" s="26" t="n">
        <f aca="false">M135-O135</f>
        <v>148</v>
      </c>
      <c r="Q135" s="26" t="s">
        <v>367</v>
      </c>
      <c r="R135" s="26" t="s">
        <v>368</v>
      </c>
    </row>
    <row r="136" customFormat="false" ht="28.35" hidden="false" customHeight="false" outlineLevel="0" collapsed="false">
      <c r="A136" s="26" t="n">
        <v>132</v>
      </c>
      <c r="B136" s="26" t="s">
        <v>491</v>
      </c>
      <c r="C136" s="26" t="s">
        <v>480</v>
      </c>
      <c r="D136" s="26" t="s">
        <v>209</v>
      </c>
      <c r="E136" s="27" t="s">
        <v>257</v>
      </c>
      <c r="F136" s="27" t="s">
        <v>263</v>
      </c>
      <c r="G136" s="27" t="s">
        <v>214</v>
      </c>
      <c r="H136" s="26" t="n">
        <f aca="false">Malla_2027!N22</f>
        <v>3</v>
      </c>
      <c r="I136" s="26" t="n">
        <f aca="false">H136*Parametros!$C$14</f>
        <v>30</v>
      </c>
      <c r="J136" s="26" t="n">
        <f aca="false">H136*Parametros!$C$15</f>
        <v>27</v>
      </c>
      <c r="K136" s="26" t="n">
        <f aca="false">H136*Parametros!$C$16</f>
        <v>27</v>
      </c>
      <c r="L136" s="26" t="n">
        <f aca="false">H136*Parametros!$C$17</f>
        <v>27</v>
      </c>
      <c r="M136" s="26" t="n">
        <f aca="false">SUM(I136:L136)</f>
        <v>111</v>
      </c>
      <c r="N136" s="53" t="n">
        <f aca="false">M136*Parametros!$C$29/60</f>
        <v>111</v>
      </c>
      <c r="O136" s="26" t="n">
        <f aca="false">ROUNDDOWN(M136*Parametros!$C$26,0)</f>
        <v>22</v>
      </c>
      <c r="P136" s="26" t="n">
        <f aca="false">M136-O136</f>
        <v>89</v>
      </c>
      <c r="Q136" s="26" t="s">
        <v>367</v>
      </c>
      <c r="R136" s="26" t="s">
        <v>368</v>
      </c>
    </row>
    <row r="137" customFormat="false" ht="15" hidden="false" customHeight="false" outlineLevel="0" collapsed="false">
      <c r="A137" s="26" t="n">
        <v>133</v>
      </c>
      <c r="B137" s="26" t="s">
        <v>492</v>
      </c>
      <c r="C137" s="26" t="s">
        <v>480</v>
      </c>
      <c r="D137" s="26" t="s">
        <v>209</v>
      </c>
      <c r="E137" s="27" t="s">
        <v>267</v>
      </c>
      <c r="F137" s="27" t="s">
        <v>267</v>
      </c>
      <c r="G137" s="27" t="s">
        <v>214</v>
      </c>
      <c r="H137" s="26" t="n">
        <f aca="false">Malla_2027!N24</f>
        <v>3</v>
      </c>
      <c r="I137" s="26" t="n">
        <f aca="false">H137*Parametros!$C$14</f>
        <v>30</v>
      </c>
      <c r="J137" s="26" t="n">
        <f aca="false">H137*Parametros!$C$15</f>
        <v>27</v>
      </c>
      <c r="K137" s="26" t="n">
        <f aca="false">H137*Parametros!$C$16</f>
        <v>27</v>
      </c>
      <c r="L137" s="26" t="n">
        <f aca="false">H137*Parametros!$C$17</f>
        <v>27</v>
      </c>
      <c r="M137" s="26" t="n">
        <f aca="false">SUM(I137:L137)</f>
        <v>111</v>
      </c>
      <c r="N137" s="53" t="n">
        <f aca="false">M137*Parametros!$C$29/60</f>
        <v>111</v>
      </c>
      <c r="O137" s="26" t="n">
        <f aca="false">ROUNDDOWN(M137*Parametros!$C$26,0)</f>
        <v>22</v>
      </c>
      <c r="P137" s="26" t="n">
        <f aca="false">M137-O137</f>
        <v>89</v>
      </c>
      <c r="Q137" s="26" t="s">
        <v>367</v>
      </c>
      <c r="R137" s="26" t="s">
        <v>369</v>
      </c>
    </row>
    <row r="138" customFormat="false" ht="41.75" hidden="false" customHeight="false" outlineLevel="0" collapsed="false">
      <c r="A138" s="26" t="n">
        <v>134</v>
      </c>
      <c r="B138" s="26" t="s">
        <v>493</v>
      </c>
      <c r="C138" s="26" t="s">
        <v>480</v>
      </c>
      <c r="D138" s="26" t="s">
        <v>209</v>
      </c>
      <c r="E138" s="27" t="s">
        <v>278</v>
      </c>
      <c r="F138" s="27" t="s">
        <v>494</v>
      </c>
      <c r="G138" s="27" t="s">
        <v>280</v>
      </c>
      <c r="H138" s="26" t="n">
        <f aca="false">Malla_2027!N27+Malla_2027!N28</f>
        <v>4</v>
      </c>
      <c r="I138" s="26" t="n">
        <f aca="false">H138*Parametros!$C$14</f>
        <v>40</v>
      </c>
      <c r="J138" s="26" t="n">
        <f aca="false">H138*Parametros!$C$15</f>
        <v>36</v>
      </c>
      <c r="K138" s="26" t="n">
        <f aca="false">H138*Parametros!$C$16</f>
        <v>36</v>
      </c>
      <c r="L138" s="26" t="n">
        <f aca="false">H138*Parametros!$C$17</f>
        <v>36</v>
      </c>
      <c r="M138" s="26" t="n">
        <f aca="false">SUM(I138:L138)</f>
        <v>148</v>
      </c>
      <c r="N138" s="53" t="n">
        <f aca="false">(Malla_2027!N27*Parametros!$C$29+Malla_2027!N28*Parametros!$C$8)/60*Parametros!$C$18</f>
        <v>148</v>
      </c>
      <c r="O138" s="26" t="s">
        <v>478</v>
      </c>
      <c r="P138" s="26" t="s">
        <v>478</v>
      </c>
      <c r="Q138" s="26" t="s">
        <v>495</v>
      </c>
      <c r="R138" s="26" t="s">
        <v>496</v>
      </c>
    </row>
    <row r="139" customFormat="false" ht="28.35" hidden="false" customHeight="false" outlineLevel="0" collapsed="false">
      <c r="A139" s="26" t="n">
        <v>135</v>
      </c>
      <c r="B139" s="26" t="s">
        <v>497</v>
      </c>
      <c r="C139" s="26" t="s">
        <v>480</v>
      </c>
      <c r="D139" s="26" t="s">
        <v>210</v>
      </c>
      <c r="E139" s="27" t="s">
        <v>213</v>
      </c>
      <c r="F139" s="27" t="s">
        <v>217</v>
      </c>
      <c r="G139" s="27" t="s">
        <v>214</v>
      </c>
      <c r="H139" s="26" t="n">
        <f aca="false">Malla_2027!O7</f>
        <v>3</v>
      </c>
      <c r="I139" s="26" t="n">
        <f aca="false">H139*Parametros!$C$14</f>
        <v>30</v>
      </c>
      <c r="J139" s="26" t="n">
        <f aca="false">H139*Parametros!$C$15</f>
        <v>27</v>
      </c>
      <c r="K139" s="26" t="n">
        <f aca="false">H139*Parametros!$C$16</f>
        <v>27</v>
      </c>
      <c r="L139" s="26" t="n">
        <f aca="false">H139*Parametros!$C$17</f>
        <v>27</v>
      </c>
      <c r="M139" s="26" t="n">
        <f aca="false">SUM(I139:L139)</f>
        <v>111</v>
      </c>
      <c r="N139" s="53" t="n">
        <f aca="false">M139*Parametros!$C$29/60</f>
        <v>111</v>
      </c>
      <c r="O139" s="26" t="n">
        <f aca="false">ROUNDDOWN(M139*Parametros!$C$26,0)</f>
        <v>22</v>
      </c>
      <c r="P139" s="26" t="n">
        <f aca="false">M139-O139</f>
        <v>89</v>
      </c>
      <c r="Q139" s="26" t="s">
        <v>367</v>
      </c>
      <c r="R139" s="26" t="s">
        <v>368</v>
      </c>
    </row>
    <row r="140" customFormat="false" ht="28.35" hidden="false" customHeight="false" outlineLevel="0" collapsed="false">
      <c r="A140" s="26" t="n">
        <v>136</v>
      </c>
      <c r="B140" s="26" t="s">
        <v>498</v>
      </c>
      <c r="C140" s="26" t="s">
        <v>480</v>
      </c>
      <c r="D140" s="26" t="s">
        <v>210</v>
      </c>
      <c r="E140" s="27" t="s">
        <v>213</v>
      </c>
      <c r="F140" s="27" t="s">
        <v>220</v>
      </c>
      <c r="G140" s="27" t="s">
        <v>214</v>
      </c>
      <c r="H140" s="26" t="n">
        <f aca="false">Malla_2027!O8</f>
        <v>3</v>
      </c>
      <c r="I140" s="26" t="n">
        <f aca="false">H140*Parametros!$C$14</f>
        <v>30</v>
      </c>
      <c r="J140" s="26" t="n">
        <f aca="false">H140*Parametros!$C$15</f>
        <v>27</v>
      </c>
      <c r="K140" s="26" t="n">
        <f aca="false">H140*Parametros!$C$16</f>
        <v>27</v>
      </c>
      <c r="L140" s="26" t="n">
        <f aca="false">H140*Parametros!$C$17</f>
        <v>27</v>
      </c>
      <c r="M140" s="26" t="n">
        <f aca="false">SUM(I140:L140)</f>
        <v>111</v>
      </c>
      <c r="N140" s="53" t="n">
        <f aca="false">M140*Parametros!$C$29/60</f>
        <v>111</v>
      </c>
      <c r="O140" s="26" t="n">
        <f aca="false">ROUNDDOWN(M140*Parametros!$C$26,0)</f>
        <v>22</v>
      </c>
      <c r="P140" s="26" t="n">
        <f aca="false">M140-O140</f>
        <v>89</v>
      </c>
      <c r="Q140" s="26" t="s">
        <v>367</v>
      </c>
      <c r="R140" s="26" t="s">
        <v>368</v>
      </c>
    </row>
    <row r="141" customFormat="false" ht="28.35" hidden="false" customHeight="false" outlineLevel="0" collapsed="false">
      <c r="A141" s="26" t="n">
        <v>137</v>
      </c>
      <c r="B141" s="26" t="s">
        <v>499</v>
      </c>
      <c r="C141" s="26" t="s">
        <v>480</v>
      </c>
      <c r="D141" s="26" t="s">
        <v>210</v>
      </c>
      <c r="E141" s="27" t="s">
        <v>223</v>
      </c>
      <c r="F141" s="27" t="s">
        <v>227</v>
      </c>
      <c r="G141" s="27" t="s">
        <v>228</v>
      </c>
      <c r="H141" s="26" t="n">
        <f aca="false">Malla_2027!O10</f>
        <v>2</v>
      </c>
      <c r="I141" s="26" t="n">
        <f aca="false">H141*Parametros!$C$14</f>
        <v>20</v>
      </c>
      <c r="J141" s="26" t="n">
        <f aca="false">H141*Parametros!$C$15</f>
        <v>18</v>
      </c>
      <c r="K141" s="26" t="n">
        <f aca="false">H141*Parametros!$C$16</f>
        <v>18</v>
      </c>
      <c r="L141" s="26" t="n">
        <f aca="false">H141*Parametros!$C$17</f>
        <v>18</v>
      </c>
      <c r="M141" s="26" t="n">
        <f aca="false">SUM(I141:L141)</f>
        <v>74</v>
      </c>
      <c r="N141" s="53" t="n">
        <f aca="false">M141*Parametros!$C$29/60</f>
        <v>74</v>
      </c>
      <c r="O141" s="26" t="n">
        <f aca="false">ROUNDDOWN(M141*Parametros!$C$26,0)</f>
        <v>14</v>
      </c>
      <c r="P141" s="26" t="n">
        <f aca="false">M141-O141</f>
        <v>60</v>
      </c>
      <c r="Q141" s="26" t="s">
        <v>367</v>
      </c>
      <c r="R141" s="26" t="s">
        <v>368</v>
      </c>
    </row>
    <row r="142" customFormat="false" ht="28.35" hidden="false" customHeight="false" outlineLevel="0" collapsed="false">
      <c r="A142" s="26" t="n">
        <v>138</v>
      </c>
      <c r="B142" s="26" t="s">
        <v>500</v>
      </c>
      <c r="C142" s="26" t="s">
        <v>480</v>
      </c>
      <c r="D142" s="26" t="s">
        <v>210</v>
      </c>
      <c r="E142" s="27" t="s">
        <v>231</v>
      </c>
      <c r="F142" s="27" t="s">
        <v>231</v>
      </c>
      <c r="G142" s="27" t="s">
        <v>228</v>
      </c>
      <c r="H142" s="26" t="n">
        <f aca="false">Malla_2027!O11</f>
        <v>2</v>
      </c>
      <c r="I142" s="26" t="n">
        <f aca="false">H142*Parametros!$C$14</f>
        <v>20</v>
      </c>
      <c r="J142" s="26" t="n">
        <f aca="false">H142*Parametros!$C$15</f>
        <v>18</v>
      </c>
      <c r="K142" s="26" t="n">
        <f aca="false">H142*Parametros!$C$16</f>
        <v>18</v>
      </c>
      <c r="L142" s="26" t="n">
        <f aca="false">H142*Parametros!$C$17</f>
        <v>18</v>
      </c>
      <c r="M142" s="26" t="n">
        <f aca="false">SUM(I142:L142)</f>
        <v>74</v>
      </c>
      <c r="N142" s="53" t="n">
        <f aca="false">M142*Parametros!$C$29/60</f>
        <v>74</v>
      </c>
      <c r="O142" s="26" t="n">
        <f aca="false">ROUNDDOWN(M142*Parametros!$C$26,0)</f>
        <v>14</v>
      </c>
      <c r="P142" s="26" t="n">
        <f aca="false">M142-O142</f>
        <v>60</v>
      </c>
      <c r="Q142" s="26" t="s">
        <v>367</v>
      </c>
      <c r="R142" s="26" t="s">
        <v>368</v>
      </c>
    </row>
    <row r="143" customFormat="false" ht="28.35" hidden="false" customHeight="false" outlineLevel="0" collapsed="false">
      <c r="A143" s="26" t="n">
        <v>139</v>
      </c>
      <c r="B143" s="26" t="s">
        <v>501</v>
      </c>
      <c r="C143" s="26" t="s">
        <v>480</v>
      </c>
      <c r="D143" s="26" t="s">
        <v>210</v>
      </c>
      <c r="E143" s="27" t="s">
        <v>234</v>
      </c>
      <c r="F143" s="27" t="s">
        <v>238</v>
      </c>
      <c r="G143" s="27" t="s">
        <v>214</v>
      </c>
      <c r="H143" s="26" t="n">
        <f aca="false">Malla_2027!O13</f>
        <v>1</v>
      </c>
      <c r="I143" s="26" t="n">
        <f aca="false">H143*Parametros!$C$14</f>
        <v>10</v>
      </c>
      <c r="J143" s="26" t="n">
        <f aca="false">H143*Parametros!$C$15</f>
        <v>9</v>
      </c>
      <c r="K143" s="26" t="n">
        <f aca="false">H143*Parametros!$C$16</f>
        <v>9</v>
      </c>
      <c r="L143" s="26" t="n">
        <f aca="false">H143*Parametros!$C$17</f>
        <v>9</v>
      </c>
      <c r="M143" s="26" t="n">
        <f aca="false">SUM(I143:L143)</f>
        <v>37</v>
      </c>
      <c r="N143" s="53" t="n">
        <f aca="false">M143*Parametros!$C$29/60</f>
        <v>37</v>
      </c>
      <c r="O143" s="26" t="n">
        <f aca="false">ROUNDDOWN(M143*Parametros!$C$26,0)</f>
        <v>7</v>
      </c>
      <c r="P143" s="26" t="n">
        <f aca="false">M143-O143</f>
        <v>30</v>
      </c>
      <c r="Q143" s="26" t="s">
        <v>367</v>
      </c>
      <c r="R143" s="26" t="s">
        <v>368</v>
      </c>
    </row>
    <row r="144" customFormat="false" ht="28.35" hidden="false" customHeight="false" outlineLevel="0" collapsed="false">
      <c r="A144" s="26" t="n">
        <v>140</v>
      </c>
      <c r="B144" s="26" t="s">
        <v>502</v>
      </c>
      <c r="C144" s="26" t="s">
        <v>480</v>
      </c>
      <c r="D144" s="26" t="s">
        <v>210</v>
      </c>
      <c r="E144" s="27" t="s">
        <v>234</v>
      </c>
      <c r="F144" s="27" t="s">
        <v>240</v>
      </c>
      <c r="G144" s="27" t="s">
        <v>214</v>
      </c>
      <c r="H144" s="26" t="n">
        <f aca="false">Malla_2027!O14</f>
        <v>1</v>
      </c>
      <c r="I144" s="26" t="n">
        <f aca="false">H144*Parametros!$C$14</f>
        <v>10</v>
      </c>
      <c r="J144" s="26" t="n">
        <f aca="false">H144*Parametros!$C$15</f>
        <v>9</v>
      </c>
      <c r="K144" s="26" t="n">
        <f aca="false">H144*Parametros!$C$16</f>
        <v>9</v>
      </c>
      <c r="L144" s="26" t="n">
        <f aca="false">H144*Parametros!$C$17</f>
        <v>9</v>
      </c>
      <c r="M144" s="26" t="n">
        <f aca="false">SUM(I144:L144)</f>
        <v>37</v>
      </c>
      <c r="N144" s="53" t="n">
        <f aca="false">M144*Parametros!$C$29/60</f>
        <v>37</v>
      </c>
      <c r="O144" s="26" t="n">
        <f aca="false">ROUNDDOWN(M144*Parametros!$C$26,0)</f>
        <v>7</v>
      </c>
      <c r="P144" s="26" t="n">
        <f aca="false">M144-O144</f>
        <v>30</v>
      </c>
      <c r="Q144" s="26" t="s">
        <v>367</v>
      </c>
      <c r="R144" s="26" t="s">
        <v>368</v>
      </c>
    </row>
    <row r="145" customFormat="false" ht="28.35" hidden="false" customHeight="false" outlineLevel="0" collapsed="false">
      <c r="A145" s="26" t="n">
        <v>141</v>
      </c>
      <c r="B145" s="26" t="s">
        <v>503</v>
      </c>
      <c r="C145" s="26" t="s">
        <v>480</v>
      </c>
      <c r="D145" s="26" t="s">
        <v>210</v>
      </c>
      <c r="E145" s="27" t="s">
        <v>242</v>
      </c>
      <c r="F145" s="27" t="s">
        <v>243</v>
      </c>
      <c r="G145" s="27" t="s">
        <v>214</v>
      </c>
      <c r="H145" s="26" t="n">
        <f aca="false">Malla_2027!O15</f>
        <v>2</v>
      </c>
      <c r="I145" s="26" t="n">
        <f aca="false">H145*Parametros!$C$14</f>
        <v>20</v>
      </c>
      <c r="J145" s="26" t="n">
        <f aca="false">H145*Parametros!$C$15</f>
        <v>18</v>
      </c>
      <c r="K145" s="26" t="n">
        <f aca="false">H145*Parametros!$C$16</f>
        <v>18</v>
      </c>
      <c r="L145" s="26" t="n">
        <f aca="false">H145*Parametros!$C$17</f>
        <v>18</v>
      </c>
      <c r="M145" s="26" t="n">
        <f aca="false">SUM(I145:L145)</f>
        <v>74</v>
      </c>
      <c r="N145" s="53" t="n">
        <f aca="false">M145*Parametros!$C$29/60</f>
        <v>74</v>
      </c>
      <c r="O145" s="26" t="n">
        <f aca="false">ROUNDDOWN(M145*Parametros!$C$26,0)</f>
        <v>14</v>
      </c>
      <c r="P145" s="26" t="n">
        <f aca="false">M145-O145</f>
        <v>60</v>
      </c>
      <c r="Q145" s="26" t="s">
        <v>367</v>
      </c>
      <c r="R145" s="26" t="s">
        <v>368</v>
      </c>
    </row>
    <row r="146" customFormat="false" ht="28.35" hidden="false" customHeight="false" outlineLevel="0" collapsed="false">
      <c r="A146" s="26" t="n">
        <v>142</v>
      </c>
      <c r="B146" s="26" t="s">
        <v>504</v>
      </c>
      <c r="C146" s="26" t="s">
        <v>480</v>
      </c>
      <c r="D146" s="26" t="s">
        <v>210</v>
      </c>
      <c r="E146" s="27" t="s">
        <v>246</v>
      </c>
      <c r="F146" s="27" t="s">
        <v>246</v>
      </c>
      <c r="G146" s="27" t="s">
        <v>214</v>
      </c>
      <c r="H146" s="26" t="n">
        <f aca="false">Malla_2027!O16</f>
        <v>1</v>
      </c>
      <c r="I146" s="26" t="n">
        <f aca="false">H146*Parametros!$C$14</f>
        <v>10</v>
      </c>
      <c r="J146" s="26" t="n">
        <f aca="false">H146*Parametros!$C$15</f>
        <v>9</v>
      </c>
      <c r="K146" s="26" t="n">
        <f aca="false">H146*Parametros!$C$16</f>
        <v>9</v>
      </c>
      <c r="L146" s="26" t="n">
        <f aca="false">H146*Parametros!$C$17</f>
        <v>9</v>
      </c>
      <c r="M146" s="26" t="n">
        <f aca="false">SUM(I146:L146)</f>
        <v>37</v>
      </c>
      <c r="N146" s="53" t="n">
        <f aca="false">M146*Parametros!$C$29/60</f>
        <v>37</v>
      </c>
      <c r="O146" s="26" t="n">
        <f aca="false">ROUNDDOWN(M146*Parametros!$C$26,0)</f>
        <v>7</v>
      </c>
      <c r="P146" s="26" t="n">
        <f aca="false">M146-O146</f>
        <v>30</v>
      </c>
      <c r="Q146" s="26" t="s">
        <v>367</v>
      </c>
      <c r="R146" s="26" t="s">
        <v>368</v>
      </c>
    </row>
    <row r="147" customFormat="false" ht="28.35" hidden="false" customHeight="false" outlineLevel="0" collapsed="false">
      <c r="A147" s="26" t="n">
        <v>143</v>
      </c>
      <c r="B147" s="26" t="s">
        <v>505</v>
      </c>
      <c r="C147" s="26" t="s">
        <v>480</v>
      </c>
      <c r="D147" s="26" t="s">
        <v>210</v>
      </c>
      <c r="E147" s="27" t="s">
        <v>249</v>
      </c>
      <c r="F147" s="27" t="s">
        <v>250</v>
      </c>
      <c r="G147" s="27" t="s">
        <v>214</v>
      </c>
      <c r="H147" s="26" t="n">
        <f aca="false">Malla_2027!O17</f>
        <v>3</v>
      </c>
      <c r="I147" s="26" t="n">
        <f aca="false">H147*Parametros!$C$14</f>
        <v>30</v>
      </c>
      <c r="J147" s="26" t="n">
        <f aca="false">H147*Parametros!$C$15</f>
        <v>27</v>
      </c>
      <c r="K147" s="26" t="n">
        <f aca="false">H147*Parametros!$C$16</f>
        <v>27</v>
      </c>
      <c r="L147" s="26" t="n">
        <f aca="false">H147*Parametros!$C$17</f>
        <v>27</v>
      </c>
      <c r="M147" s="26" t="n">
        <f aca="false">SUM(I147:L147)</f>
        <v>111</v>
      </c>
      <c r="N147" s="53" t="n">
        <f aca="false">M147*Parametros!$C$29/60</f>
        <v>111</v>
      </c>
      <c r="O147" s="26" t="n">
        <f aca="false">ROUNDDOWN(M147*Parametros!$C$26,0)</f>
        <v>22</v>
      </c>
      <c r="P147" s="26" t="n">
        <f aca="false">M147-O147</f>
        <v>89</v>
      </c>
      <c r="Q147" s="26" t="s">
        <v>367</v>
      </c>
      <c r="R147" s="26" t="s">
        <v>368</v>
      </c>
    </row>
    <row r="148" customFormat="false" ht="28.35" hidden="false" customHeight="false" outlineLevel="0" collapsed="false">
      <c r="A148" s="26" t="n">
        <v>144</v>
      </c>
      <c r="B148" s="26" t="s">
        <v>506</v>
      </c>
      <c r="C148" s="26" t="s">
        <v>480</v>
      </c>
      <c r="D148" s="26" t="s">
        <v>210</v>
      </c>
      <c r="E148" s="27" t="s">
        <v>252</v>
      </c>
      <c r="F148" s="27" t="s">
        <v>253</v>
      </c>
      <c r="G148" s="27" t="s">
        <v>214</v>
      </c>
      <c r="H148" s="26" t="n">
        <f aca="false">Malla_2027!O18</f>
        <v>4</v>
      </c>
      <c r="I148" s="26" t="n">
        <f aca="false">H148*Parametros!$C$14</f>
        <v>40</v>
      </c>
      <c r="J148" s="26" t="n">
        <f aca="false">H148*Parametros!$C$15</f>
        <v>36</v>
      </c>
      <c r="K148" s="26" t="n">
        <f aca="false">H148*Parametros!$C$16</f>
        <v>36</v>
      </c>
      <c r="L148" s="26" t="n">
        <f aca="false">H148*Parametros!$C$17</f>
        <v>36</v>
      </c>
      <c r="M148" s="26" t="n">
        <f aca="false">SUM(I148:L148)</f>
        <v>148</v>
      </c>
      <c r="N148" s="53" t="n">
        <f aca="false">M148*Parametros!$C$29/60</f>
        <v>148</v>
      </c>
      <c r="O148" s="26" t="n">
        <f aca="false">ROUNDDOWN(M148*Parametros!$C$26,0)</f>
        <v>29</v>
      </c>
      <c r="P148" s="26" t="n">
        <f aca="false">M148-O148</f>
        <v>119</v>
      </c>
      <c r="Q148" s="26" t="s">
        <v>367</v>
      </c>
      <c r="R148" s="26" t="s">
        <v>368</v>
      </c>
    </row>
    <row r="149" customFormat="false" ht="28.35" hidden="false" customHeight="false" outlineLevel="0" collapsed="false">
      <c r="A149" s="26" t="n">
        <v>145</v>
      </c>
      <c r="B149" s="26" t="s">
        <v>507</v>
      </c>
      <c r="C149" s="26" t="s">
        <v>480</v>
      </c>
      <c r="D149" s="26" t="s">
        <v>210</v>
      </c>
      <c r="E149" s="27" t="s">
        <v>252</v>
      </c>
      <c r="F149" s="27" t="s">
        <v>255</v>
      </c>
      <c r="G149" s="27" t="s">
        <v>214</v>
      </c>
      <c r="H149" s="26" t="n">
        <f aca="false">Malla_2027!O19</f>
        <v>5</v>
      </c>
      <c r="I149" s="26" t="n">
        <f aca="false">H149*Parametros!$C$14</f>
        <v>50</v>
      </c>
      <c r="J149" s="26" t="n">
        <f aca="false">H149*Parametros!$C$15</f>
        <v>45</v>
      </c>
      <c r="K149" s="26" t="n">
        <f aca="false">H149*Parametros!$C$16</f>
        <v>45</v>
      </c>
      <c r="L149" s="26" t="n">
        <f aca="false">H149*Parametros!$C$17</f>
        <v>45</v>
      </c>
      <c r="M149" s="26" t="n">
        <f aca="false">SUM(I149:L149)</f>
        <v>185</v>
      </c>
      <c r="N149" s="53" t="n">
        <f aca="false">M149*Parametros!$C$29/60</f>
        <v>185</v>
      </c>
      <c r="O149" s="26" t="n">
        <f aca="false">ROUNDDOWN(M149*Parametros!$C$26,0)</f>
        <v>37</v>
      </c>
      <c r="P149" s="26" t="n">
        <f aca="false">M149-O149</f>
        <v>148</v>
      </c>
      <c r="Q149" s="26" t="s">
        <v>367</v>
      </c>
      <c r="R149" s="26" t="s">
        <v>368</v>
      </c>
    </row>
    <row r="150" customFormat="false" ht="28.35" hidden="false" customHeight="false" outlineLevel="0" collapsed="false">
      <c r="A150" s="26" t="n">
        <v>146</v>
      </c>
      <c r="B150" s="26" t="s">
        <v>508</v>
      </c>
      <c r="C150" s="26" t="s">
        <v>480</v>
      </c>
      <c r="D150" s="26" t="s">
        <v>210</v>
      </c>
      <c r="E150" s="27" t="s">
        <v>257</v>
      </c>
      <c r="F150" s="27" t="s">
        <v>45</v>
      </c>
      <c r="G150" s="27" t="s">
        <v>214</v>
      </c>
      <c r="H150" s="26" t="n">
        <f aca="false">Malla_2027!O23</f>
        <v>3</v>
      </c>
      <c r="I150" s="26" t="n">
        <f aca="false">H150*Parametros!$C$14</f>
        <v>30</v>
      </c>
      <c r="J150" s="26" t="n">
        <f aca="false">H150*Parametros!$C$15</f>
        <v>27</v>
      </c>
      <c r="K150" s="26" t="n">
        <f aca="false">H150*Parametros!$C$16</f>
        <v>27</v>
      </c>
      <c r="L150" s="26" t="n">
        <f aca="false">H150*Parametros!$C$17</f>
        <v>27</v>
      </c>
      <c r="M150" s="26" t="n">
        <f aca="false">SUM(I150:L150)</f>
        <v>111</v>
      </c>
      <c r="N150" s="53" t="n">
        <f aca="false">M150*Parametros!$C$29/60</f>
        <v>111</v>
      </c>
      <c r="O150" s="26" t="n">
        <f aca="false">ROUNDDOWN(M150*Parametros!$C$26,0)</f>
        <v>22</v>
      </c>
      <c r="P150" s="26" t="n">
        <f aca="false">M150-O150</f>
        <v>89</v>
      </c>
      <c r="Q150" s="26" t="s">
        <v>367</v>
      </c>
      <c r="R150" s="26" t="s">
        <v>368</v>
      </c>
    </row>
    <row r="151" customFormat="false" ht="15" hidden="false" customHeight="false" outlineLevel="0" collapsed="false">
      <c r="A151" s="26" t="n">
        <v>147</v>
      </c>
      <c r="B151" s="26" t="s">
        <v>509</v>
      </c>
      <c r="C151" s="26" t="s">
        <v>480</v>
      </c>
      <c r="D151" s="26" t="s">
        <v>210</v>
      </c>
      <c r="E151" s="27" t="s">
        <v>267</v>
      </c>
      <c r="F151" s="27" t="s">
        <v>267</v>
      </c>
      <c r="G151" s="27" t="s">
        <v>214</v>
      </c>
      <c r="H151" s="26" t="n">
        <f aca="false">Malla_2027!O24</f>
        <v>3</v>
      </c>
      <c r="I151" s="26" t="n">
        <f aca="false">H151*Parametros!$C$14</f>
        <v>30</v>
      </c>
      <c r="J151" s="26" t="n">
        <f aca="false">H151*Parametros!$C$15</f>
        <v>27</v>
      </c>
      <c r="K151" s="26" t="n">
        <f aca="false">H151*Parametros!$C$16</f>
        <v>27</v>
      </c>
      <c r="L151" s="26" t="n">
        <f aca="false">H151*Parametros!$C$17</f>
        <v>27</v>
      </c>
      <c r="M151" s="26" t="n">
        <f aca="false">SUM(I151:L151)</f>
        <v>111</v>
      </c>
      <c r="N151" s="53" t="n">
        <f aca="false">M151*Parametros!$C$29/60</f>
        <v>111</v>
      </c>
      <c r="O151" s="26" t="n">
        <f aca="false">ROUNDDOWN(M151*Parametros!$C$26,0)</f>
        <v>22</v>
      </c>
      <c r="P151" s="26" t="n">
        <f aca="false">M151-O151</f>
        <v>89</v>
      </c>
      <c r="Q151" s="26" t="s">
        <v>367</v>
      </c>
      <c r="R151" s="26" t="s">
        <v>369</v>
      </c>
    </row>
    <row r="152" customFormat="false" ht="41.75" hidden="false" customHeight="false" outlineLevel="0" collapsed="false">
      <c r="A152" s="26" t="n">
        <v>148</v>
      </c>
      <c r="B152" s="26" t="s">
        <v>510</v>
      </c>
      <c r="C152" s="26" t="s">
        <v>480</v>
      </c>
      <c r="D152" s="26" t="s">
        <v>210</v>
      </c>
      <c r="E152" s="27" t="s">
        <v>278</v>
      </c>
      <c r="F152" s="27" t="s">
        <v>494</v>
      </c>
      <c r="G152" s="27" t="s">
        <v>280</v>
      </c>
      <c r="H152" s="26" t="n">
        <f aca="false">Malla_2027!O27+Malla_2027!O28</f>
        <v>4</v>
      </c>
      <c r="I152" s="26" t="n">
        <f aca="false">H152*Parametros!$C$14</f>
        <v>40</v>
      </c>
      <c r="J152" s="26" t="n">
        <f aca="false">H152*Parametros!$C$15</f>
        <v>36</v>
      </c>
      <c r="K152" s="26" t="n">
        <f aca="false">H152*Parametros!$C$16</f>
        <v>36</v>
      </c>
      <c r="L152" s="26" t="n">
        <f aca="false">H152*Parametros!$C$17</f>
        <v>36</v>
      </c>
      <c r="M152" s="26" t="n">
        <f aca="false">SUM(I152:L152)</f>
        <v>148</v>
      </c>
      <c r="N152" s="53" t="n">
        <f aca="false">(Malla_2027!O27*Parametros!$C$29+Malla_2027!O28*Parametros!$C$8)/60*Parametros!$C$18</f>
        <v>148</v>
      </c>
      <c r="O152" s="26" t="s">
        <v>478</v>
      </c>
      <c r="P152" s="26" t="s">
        <v>478</v>
      </c>
      <c r="Q152" s="26" t="s">
        <v>495</v>
      </c>
      <c r="R152" s="26" t="s">
        <v>496</v>
      </c>
    </row>
    <row r="154" customFormat="false" ht="15" hidden="false" customHeight="false" outlineLevel="0" collapsed="false">
      <c r="F154" s="51" t="s">
        <v>511</v>
      </c>
      <c r="H154" s="51" t="n">
        <f aca="false">COUNTIF(Q5:Q152,"Por elaborar")</f>
        <v>146</v>
      </c>
    </row>
    <row r="155" customFormat="false" ht="15" hidden="false" customHeight="false" outlineLevel="0" collapsed="false">
      <c r="F155" s="51" t="s">
        <v>512</v>
      </c>
      <c r="H155" s="51" t="n">
        <f aca="false">COUNTIF(R5:R152,"EICIT")</f>
        <v>12</v>
      </c>
    </row>
    <row r="156" customFormat="false" ht="15" hidden="false" customHeight="false" outlineLevel="0" collapsed="false">
      <c r="F156" s="51" t="s">
        <v>513</v>
      </c>
      <c r="H156" s="51" t="n">
        <f aca="false">COUNTIF(Q5:Q152,"Diseño articulado SENA")</f>
        <v>2</v>
      </c>
    </row>
  </sheetData>
  <autoFilter ref="A4:R1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M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13" min="3" style="0" width="7"/>
  </cols>
  <sheetData>
    <row r="1" customFormat="false" ht="17.35" hidden="false" customHeight="false" outlineLevel="0" collapsed="false">
      <c r="A1" s="10" t="s">
        <v>514</v>
      </c>
    </row>
    <row r="2" customFormat="false" ht="15" hidden="false" customHeight="false" outlineLevel="0" collapsed="false">
      <c r="A2" s="11" t="s">
        <v>34</v>
      </c>
    </row>
    <row r="3" customFormat="false" ht="15" hidden="false" customHeight="false" outlineLevel="0" collapsed="false">
      <c r="A3" s="23" t="s">
        <v>515</v>
      </c>
    </row>
    <row r="4" customFormat="false" ht="15" hidden="false" customHeight="false" outlineLevel="0" collapsed="false">
      <c r="A4" s="12" t="s">
        <v>199</v>
      </c>
      <c r="B4" s="12" t="s">
        <v>516</v>
      </c>
      <c r="C4" s="12" t="s">
        <v>200</v>
      </c>
      <c r="D4" s="12" t="s">
        <v>201</v>
      </c>
      <c r="E4" s="12" t="s">
        <v>202</v>
      </c>
      <c r="F4" s="12" t="s">
        <v>203</v>
      </c>
      <c r="G4" s="12" t="s">
        <v>204</v>
      </c>
      <c r="H4" s="12" t="s">
        <v>205</v>
      </c>
      <c r="I4" s="12" t="s">
        <v>206</v>
      </c>
      <c r="J4" s="12" t="s">
        <v>207</v>
      </c>
      <c r="K4" s="12" t="s">
        <v>208</v>
      </c>
      <c r="L4" s="12" t="s">
        <v>209</v>
      </c>
      <c r="M4" s="12" t="s">
        <v>210</v>
      </c>
    </row>
    <row r="5" customFormat="false" ht="15" hidden="false" customHeight="true" outlineLevel="0" collapsed="false">
      <c r="A5" s="27" t="s">
        <v>213</v>
      </c>
      <c r="B5" s="7" t="s">
        <v>517</v>
      </c>
      <c r="C5" s="29" t="n">
        <v>4</v>
      </c>
      <c r="D5" s="29" t="n">
        <v>4</v>
      </c>
      <c r="E5" s="29" t="n">
        <v>4</v>
      </c>
      <c r="F5" s="29" t="n">
        <v>4</v>
      </c>
      <c r="G5" s="29" t="n">
        <v>4</v>
      </c>
      <c r="H5" s="29" t="n">
        <v>4</v>
      </c>
      <c r="I5" s="29" t="n">
        <v>4</v>
      </c>
      <c r="J5" s="29" t="n">
        <v>4</v>
      </c>
      <c r="K5" s="29" t="n">
        <v>4</v>
      </c>
      <c r="L5" s="29" t="n">
        <v>0</v>
      </c>
      <c r="M5" s="29" t="n">
        <v>0</v>
      </c>
    </row>
    <row r="6" customFormat="false" ht="15" hidden="false" customHeight="false" outlineLevel="0" collapsed="false">
      <c r="A6" s="27"/>
      <c r="B6" s="7" t="s">
        <v>518</v>
      </c>
      <c r="C6" s="29" t="n">
        <f aca="false">Malla_2027!E6</f>
        <v>4</v>
      </c>
      <c r="D6" s="29" t="n">
        <f aca="false">Malla_2027!F6</f>
        <v>4</v>
      </c>
      <c r="E6" s="29" t="n">
        <f aca="false">Malla_2027!G6</f>
        <v>4</v>
      </c>
      <c r="F6" s="29" t="n">
        <f aca="false">Malla_2027!H6</f>
        <v>4</v>
      </c>
      <c r="G6" s="29" t="n">
        <f aca="false">Malla_2027!I6</f>
        <v>4</v>
      </c>
      <c r="H6" s="29" t="n">
        <f aca="false">Malla_2027!J6</f>
        <v>4</v>
      </c>
      <c r="I6" s="29" t="n">
        <f aca="false">Malla_2027!K6</f>
        <v>4</v>
      </c>
      <c r="J6" s="29" t="n">
        <f aca="false">Malla_2027!L6</f>
        <v>4</v>
      </c>
      <c r="K6" s="29" t="n">
        <f aca="false">Malla_2027!M6</f>
        <v>4</v>
      </c>
      <c r="L6" s="29" t="n">
        <f aca="false">Malla_2027!N6</f>
        <v>0</v>
      </c>
      <c r="M6" s="29" t="n">
        <f aca="false">Malla_2027!O6</f>
        <v>0</v>
      </c>
    </row>
    <row r="7" customFormat="false" ht="15" hidden="false" customHeight="false" outlineLevel="0" collapsed="false">
      <c r="A7" s="27"/>
      <c r="B7" s="7" t="s">
        <v>287</v>
      </c>
      <c r="C7" s="56" t="n">
        <f aca="false">C6-C5</f>
        <v>0</v>
      </c>
      <c r="D7" s="56" t="n">
        <f aca="false">D6-D5</f>
        <v>0</v>
      </c>
      <c r="E7" s="56" t="n">
        <f aca="false">E6-E5</f>
        <v>0</v>
      </c>
      <c r="F7" s="56" t="n">
        <f aca="false">F6-F5</f>
        <v>0</v>
      </c>
      <c r="G7" s="56" t="n">
        <f aca="false">G6-G5</f>
        <v>0</v>
      </c>
      <c r="H7" s="56" t="n">
        <f aca="false">H6-H5</f>
        <v>0</v>
      </c>
      <c r="I7" s="56" t="n">
        <f aca="false">I6-I5</f>
        <v>0</v>
      </c>
      <c r="J7" s="56" t="n">
        <f aca="false">J6-J5</f>
        <v>0</v>
      </c>
      <c r="K7" s="56" t="n">
        <f aca="false">K6-K5</f>
        <v>0</v>
      </c>
      <c r="L7" s="56" t="n">
        <f aca="false">L6-L5</f>
        <v>0</v>
      </c>
      <c r="M7" s="56" t="n">
        <f aca="false">M6-M5</f>
        <v>0</v>
      </c>
    </row>
    <row r="8" customFormat="false" ht="15" hidden="false" customHeight="true" outlineLevel="0" collapsed="false">
      <c r="A8" s="27" t="s">
        <v>217</v>
      </c>
      <c r="B8" s="7" t="s">
        <v>517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3</v>
      </c>
      <c r="M8" s="29" t="n">
        <v>3</v>
      </c>
    </row>
    <row r="9" customFormat="false" ht="15" hidden="false" customHeight="false" outlineLevel="0" collapsed="false">
      <c r="A9" s="27"/>
      <c r="B9" s="7" t="s">
        <v>518</v>
      </c>
      <c r="C9" s="29" t="n">
        <f aca="false">Malla_2027!E7</f>
        <v>0</v>
      </c>
      <c r="D9" s="29" t="n">
        <f aca="false">Malla_2027!F7</f>
        <v>0</v>
      </c>
      <c r="E9" s="29" t="n">
        <f aca="false">Malla_2027!G7</f>
        <v>0</v>
      </c>
      <c r="F9" s="29" t="n">
        <f aca="false">Malla_2027!H7</f>
        <v>0</v>
      </c>
      <c r="G9" s="29" t="n">
        <f aca="false">Malla_2027!I7</f>
        <v>0</v>
      </c>
      <c r="H9" s="29" t="n">
        <f aca="false">Malla_2027!J7</f>
        <v>0</v>
      </c>
      <c r="I9" s="29" t="n">
        <f aca="false">Malla_2027!K7</f>
        <v>0</v>
      </c>
      <c r="J9" s="29" t="n">
        <f aca="false">Malla_2027!L7</f>
        <v>0</v>
      </c>
      <c r="K9" s="29" t="n">
        <f aca="false">Malla_2027!M7</f>
        <v>0</v>
      </c>
      <c r="L9" s="29" t="n">
        <f aca="false">Malla_2027!N7</f>
        <v>3</v>
      </c>
      <c r="M9" s="29" t="n">
        <f aca="false">Malla_2027!O7</f>
        <v>3</v>
      </c>
    </row>
    <row r="10" customFormat="false" ht="15" hidden="false" customHeight="false" outlineLevel="0" collapsed="false">
      <c r="A10" s="27"/>
      <c r="B10" s="7" t="s">
        <v>287</v>
      </c>
      <c r="C10" s="56" t="n">
        <f aca="false">C9-C8</f>
        <v>0</v>
      </c>
      <c r="D10" s="56" t="n">
        <f aca="false">D9-D8</f>
        <v>0</v>
      </c>
      <c r="E10" s="56" t="n">
        <f aca="false">E9-E8</f>
        <v>0</v>
      </c>
      <c r="F10" s="56" t="n">
        <f aca="false">F9-F8</f>
        <v>0</v>
      </c>
      <c r="G10" s="56" t="n">
        <f aca="false">G9-G8</f>
        <v>0</v>
      </c>
      <c r="H10" s="56" t="n">
        <f aca="false">H9-H8</f>
        <v>0</v>
      </c>
      <c r="I10" s="56" t="n">
        <f aca="false">I9-I8</f>
        <v>0</v>
      </c>
      <c r="J10" s="56" t="n">
        <f aca="false">J9-J8</f>
        <v>0</v>
      </c>
      <c r="K10" s="56" t="n">
        <f aca="false">K9-K8</f>
        <v>0</v>
      </c>
      <c r="L10" s="56" t="n">
        <f aca="false">L9-L8</f>
        <v>0</v>
      </c>
      <c r="M10" s="56" t="n">
        <f aca="false">M9-M8</f>
        <v>0</v>
      </c>
    </row>
    <row r="11" customFormat="false" ht="15" hidden="false" customHeight="true" outlineLevel="0" collapsed="false">
      <c r="A11" s="27" t="s">
        <v>220</v>
      </c>
      <c r="B11" s="7" t="s">
        <v>517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3</v>
      </c>
      <c r="M11" s="29" t="n">
        <v>3</v>
      </c>
    </row>
    <row r="12" customFormat="false" ht="15" hidden="false" customHeight="false" outlineLevel="0" collapsed="false">
      <c r="A12" s="27"/>
      <c r="B12" s="7" t="s">
        <v>518</v>
      </c>
      <c r="C12" s="29" t="n">
        <f aca="false">Malla_2027!E8</f>
        <v>0</v>
      </c>
      <c r="D12" s="29" t="n">
        <f aca="false">Malla_2027!F8</f>
        <v>0</v>
      </c>
      <c r="E12" s="29" t="n">
        <f aca="false">Malla_2027!G8</f>
        <v>0</v>
      </c>
      <c r="F12" s="29" t="n">
        <f aca="false">Malla_2027!H8</f>
        <v>0</v>
      </c>
      <c r="G12" s="29" t="n">
        <f aca="false">Malla_2027!I8</f>
        <v>0</v>
      </c>
      <c r="H12" s="29" t="n">
        <f aca="false">Malla_2027!J8</f>
        <v>0</v>
      </c>
      <c r="I12" s="29" t="n">
        <f aca="false">Malla_2027!K8</f>
        <v>0</v>
      </c>
      <c r="J12" s="29" t="n">
        <f aca="false">Malla_2027!L8</f>
        <v>0</v>
      </c>
      <c r="K12" s="29" t="n">
        <f aca="false">Malla_2027!M8</f>
        <v>0</v>
      </c>
      <c r="L12" s="29" t="n">
        <f aca="false">Malla_2027!N8</f>
        <v>3</v>
      </c>
      <c r="M12" s="29" t="n">
        <f aca="false">Malla_2027!O8</f>
        <v>3</v>
      </c>
    </row>
    <row r="13" customFormat="false" ht="15" hidden="false" customHeight="false" outlineLevel="0" collapsed="false">
      <c r="A13" s="27"/>
      <c r="B13" s="7" t="s">
        <v>287</v>
      </c>
      <c r="C13" s="56" t="n">
        <f aca="false">C12-C11</f>
        <v>0</v>
      </c>
      <c r="D13" s="56" t="n">
        <f aca="false">D12-D11</f>
        <v>0</v>
      </c>
      <c r="E13" s="56" t="n">
        <f aca="false">E12-E11</f>
        <v>0</v>
      </c>
      <c r="F13" s="56" t="n">
        <f aca="false">F12-F11</f>
        <v>0</v>
      </c>
      <c r="G13" s="56" t="n">
        <f aca="false">G12-G11</f>
        <v>0</v>
      </c>
      <c r="H13" s="56" t="n">
        <f aca="false">H12-H11</f>
        <v>0</v>
      </c>
      <c r="I13" s="56" t="n">
        <f aca="false">I12-I11</f>
        <v>0</v>
      </c>
      <c r="J13" s="56" t="n">
        <f aca="false">J12-J11</f>
        <v>0</v>
      </c>
      <c r="K13" s="56" t="n">
        <f aca="false">K12-K11</f>
        <v>0</v>
      </c>
      <c r="L13" s="56" t="n">
        <f aca="false">L12-L11</f>
        <v>0</v>
      </c>
      <c r="M13" s="56" t="n">
        <f aca="false">M12-M11</f>
        <v>0</v>
      </c>
    </row>
    <row r="14" customFormat="false" ht="15" hidden="false" customHeight="true" outlineLevel="0" collapsed="false">
      <c r="A14" s="27" t="s">
        <v>224</v>
      </c>
      <c r="B14" s="7" t="s">
        <v>517</v>
      </c>
      <c r="C14" s="29" t="n">
        <v>4</v>
      </c>
      <c r="D14" s="29" t="n">
        <v>4</v>
      </c>
      <c r="E14" s="29" t="n">
        <v>4</v>
      </c>
      <c r="F14" s="29" t="n">
        <v>5</v>
      </c>
      <c r="G14" s="29" t="n">
        <v>5</v>
      </c>
      <c r="H14" s="29" t="n">
        <v>5</v>
      </c>
      <c r="I14" s="29" t="n">
        <v>5</v>
      </c>
      <c r="J14" s="29" t="n">
        <v>5</v>
      </c>
      <c r="K14" s="29" t="n">
        <v>5</v>
      </c>
      <c r="L14" s="29" t="n">
        <v>0</v>
      </c>
      <c r="M14" s="29" t="n">
        <v>0</v>
      </c>
    </row>
    <row r="15" customFormat="false" ht="15" hidden="false" customHeight="false" outlineLevel="0" collapsed="false">
      <c r="A15" s="27"/>
      <c r="B15" s="7" t="s">
        <v>518</v>
      </c>
      <c r="C15" s="29" t="n">
        <f aca="false">Malla_2027!E9</f>
        <v>4</v>
      </c>
      <c r="D15" s="29" t="n">
        <f aca="false">Malla_2027!F9</f>
        <v>4</v>
      </c>
      <c r="E15" s="29" t="n">
        <f aca="false">Malla_2027!G9</f>
        <v>4</v>
      </c>
      <c r="F15" s="29" t="n">
        <f aca="false">Malla_2027!H9</f>
        <v>4</v>
      </c>
      <c r="G15" s="29" t="n">
        <f aca="false">Malla_2027!I9</f>
        <v>4</v>
      </c>
      <c r="H15" s="29" t="n">
        <f aca="false">Malla_2027!J9</f>
        <v>5</v>
      </c>
      <c r="I15" s="29" t="n">
        <f aca="false">Malla_2027!K9</f>
        <v>5</v>
      </c>
      <c r="J15" s="29" t="n">
        <f aca="false">Malla_2027!L9</f>
        <v>5</v>
      </c>
      <c r="K15" s="29" t="n">
        <f aca="false">Malla_2027!M9</f>
        <v>5</v>
      </c>
      <c r="L15" s="29" t="n">
        <f aca="false">Malla_2027!N9</f>
        <v>0</v>
      </c>
      <c r="M15" s="29" t="n">
        <f aca="false">Malla_2027!O9</f>
        <v>0</v>
      </c>
    </row>
    <row r="16" customFormat="false" ht="15" hidden="false" customHeight="false" outlineLevel="0" collapsed="false">
      <c r="A16" s="27"/>
      <c r="B16" s="7" t="s">
        <v>287</v>
      </c>
      <c r="C16" s="56" t="n">
        <f aca="false">C15-C14</f>
        <v>0</v>
      </c>
      <c r="D16" s="56" t="n">
        <f aca="false">D15-D14</f>
        <v>0</v>
      </c>
      <c r="E16" s="56" t="n">
        <f aca="false">E15-E14</f>
        <v>0</v>
      </c>
      <c r="F16" s="56" t="n">
        <f aca="false">F15-F14</f>
        <v>-1</v>
      </c>
      <c r="G16" s="56" t="n">
        <f aca="false">G15-G14</f>
        <v>-1</v>
      </c>
      <c r="H16" s="56" t="n">
        <f aca="false">H15-H14</f>
        <v>0</v>
      </c>
      <c r="I16" s="56" t="n">
        <f aca="false">I15-I14</f>
        <v>0</v>
      </c>
      <c r="J16" s="56" t="n">
        <f aca="false">J15-J14</f>
        <v>0</v>
      </c>
      <c r="K16" s="56" t="n">
        <f aca="false">K15-K14</f>
        <v>0</v>
      </c>
      <c r="L16" s="56" t="n">
        <f aca="false">L15-L14</f>
        <v>0</v>
      </c>
      <c r="M16" s="56" t="n">
        <f aca="false">M15-M14</f>
        <v>0</v>
      </c>
    </row>
    <row r="17" customFormat="false" ht="15" hidden="false" customHeight="true" outlineLevel="0" collapsed="false">
      <c r="A17" s="27" t="s">
        <v>227</v>
      </c>
      <c r="B17" s="7" t="s">
        <v>517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2</v>
      </c>
      <c r="M17" s="29" t="n">
        <v>2</v>
      </c>
    </row>
    <row r="18" customFormat="false" ht="15" hidden="false" customHeight="false" outlineLevel="0" collapsed="false">
      <c r="A18" s="27"/>
      <c r="B18" s="7" t="s">
        <v>518</v>
      </c>
      <c r="C18" s="29" t="n">
        <f aca="false">Malla_2027!E10</f>
        <v>0</v>
      </c>
      <c r="D18" s="29" t="n">
        <f aca="false">Malla_2027!F10</f>
        <v>0</v>
      </c>
      <c r="E18" s="29" t="n">
        <f aca="false">Malla_2027!G10</f>
        <v>0</v>
      </c>
      <c r="F18" s="29" t="n">
        <f aca="false">Malla_2027!H10</f>
        <v>0</v>
      </c>
      <c r="G18" s="29" t="n">
        <f aca="false">Malla_2027!I10</f>
        <v>0</v>
      </c>
      <c r="H18" s="29" t="n">
        <f aca="false">Malla_2027!J10</f>
        <v>0</v>
      </c>
      <c r="I18" s="29" t="n">
        <f aca="false">Malla_2027!K10</f>
        <v>0</v>
      </c>
      <c r="J18" s="29" t="n">
        <f aca="false">Malla_2027!L10</f>
        <v>0</v>
      </c>
      <c r="K18" s="29" t="n">
        <f aca="false">Malla_2027!M10</f>
        <v>0</v>
      </c>
      <c r="L18" s="29" t="n">
        <f aca="false">Malla_2027!N10</f>
        <v>2</v>
      </c>
      <c r="M18" s="29" t="n">
        <f aca="false">Malla_2027!O10</f>
        <v>2</v>
      </c>
    </row>
    <row r="19" customFormat="false" ht="15" hidden="false" customHeight="false" outlineLevel="0" collapsed="false">
      <c r="A19" s="27"/>
      <c r="B19" s="7" t="s">
        <v>287</v>
      </c>
      <c r="C19" s="56" t="n">
        <f aca="false">C18-C17</f>
        <v>0</v>
      </c>
      <c r="D19" s="56" t="n">
        <f aca="false">D18-D17</f>
        <v>0</v>
      </c>
      <c r="E19" s="56" t="n">
        <f aca="false">E18-E17</f>
        <v>0</v>
      </c>
      <c r="F19" s="56" t="n">
        <f aca="false">F18-F17</f>
        <v>0</v>
      </c>
      <c r="G19" s="56" t="n">
        <f aca="false">G18-G17</f>
        <v>0</v>
      </c>
      <c r="H19" s="56" t="n">
        <f aca="false">H18-H17</f>
        <v>0</v>
      </c>
      <c r="I19" s="56" t="n">
        <f aca="false">I18-I17</f>
        <v>0</v>
      </c>
      <c r="J19" s="56" t="n">
        <f aca="false">J18-J17</f>
        <v>0</v>
      </c>
      <c r="K19" s="56" t="n">
        <f aca="false">K18-K17</f>
        <v>0</v>
      </c>
      <c r="L19" s="56" t="n">
        <f aca="false">L18-L17</f>
        <v>0</v>
      </c>
      <c r="M19" s="56" t="n">
        <f aca="false">M18-M17</f>
        <v>0</v>
      </c>
    </row>
    <row r="20" customFormat="false" ht="15" hidden="false" customHeight="true" outlineLevel="0" collapsed="false">
      <c r="A20" s="27" t="s">
        <v>231</v>
      </c>
      <c r="B20" s="7" t="s">
        <v>517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2</v>
      </c>
      <c r="M20" s="29" t="n">
        <v>2</v>
      </c>
    </row>
    <row r="21" customFormat="false" ht="15" hidden="false" customHeight="false" outlineLevel="0" collapsed="false">
      <c r="A21" s="27"/>
      <c r="B21" s="7" t="s">
        <v>518</v>
      </c>
      <c r="C21" s="29" t="n">
        <f aca="false">Malla_2027!E11</f>
        <v>0</v>
      </c>
      <c r="D21" s="29" t="n">
        <f aca="false">Malla_2027!F11</f>
        <v>0</v>
      </c>
      <c r="E21" s="29" t="n">
        <f aca="false">Malla_2027!G11</f>
        <v>0</v>
      </c>
      <c r="F21" s="29" t="n">
        <f aca="false">Malla_2027!H11</f>
        <v>0</v>
      </c>
      <c r="G21" s="29" t="n">
        <f aca="false">Malla_2027!I11</f>
        <v>0</v>
      </c>
      <c r="H21" s="29" t="n">
        <f aca="false">Malla_2027!J11</f>
        <v>0</v>
      </c>
      <c r="I21" s="29" t="n">
        <f aca="false">Malla_2027!K11</f>
        <v>0</v>
      </c>
      <c r="J21" s="29" t="n">
        <f aca="false">Malla_2027!L11</f>
        <v>0</v>
      </c>
      <c r="K21" s="29" t="n">
        <f aca="false">Malla_2027!M11</f>
        <v>0</v>
      </c>
      <c r="L21" s="29" t="n">
        <f aca="false">Malla_2027!N11</f>
        <v>2</v>
      </c>
      <c r="M21" s="29" t="n">
        <f aca="false">Malla_2027!O11</f>
        <v>2</v>
      </c>
    </row>
    <row r="22" customFormat="false" ht="15" hidden="false" customHeight="false" outlineLevel="0" collapsed="false">
      <c r="A22" s="27"/>
      <c r="B22" s="7" t="s">
        <v>287</v>
      </c>
      <c r="C22" s="56" t="n">
        <f aca="false">C21-C20</f>
        <v>0</v>
      </c>
      <c r="D22" s="56" t="n">
        <f aca="false">D21-D20</f>
        <v>0</v>
      </c>
      <c r="E22" s="56" t="n">
        <f aca="false">E21-E20</f>
        <v>0</v>
      </c>
      <c r="F22" s="56" t="n">
        <f aca="false">F21-F20</f>
        <v>0</v>
      </c>
      <c r="G22" s="56" t="n">
        <f aca="false">G21-G20</f>
        <v>0</v>
      </c>
      <c r="H22" s="56" t="n">
        <f aca="false">H21-H20</f>
        <v>0</v>
      </c>
      <c r="I22" s="56" t="n">
        <f aca="false">I21-I20</f>
        <v>0</v>
      </c>
      <c r="J22" s="56" t="n">
        <f aca="false">J21-J20</f>
        <v>0</v>
      </c>
      <c r="K22" s="56" t="n">
        <f aca="false">K21-K20</f>
        <v>0</v>
      </c>
      <c r="L22" s="56" t="n">
        <f aca="false">L21-L20</f>
        <v>0</v>
      </c>
      <c r="M22" s="56" t="n">
        <f aca="false">M21-M20</f>
        <v>0</v>
      </c>
    </row>
    <row r="23" customFormat="false" ht="15" hidden="false" customHeight="true" outlineLevel="0" collapsed="false">
      <c r="A23" s="27" t="s">
        <v>235</v>
      </c>
      <c r="B23" s="7" t="s">
        <v>517</v>
      </c>
      <c r="C23" s="29" t="n">
        <v>2</v>
      </c>
      <c r="D23" s="29" t="n">
        <v>2</v>
      </c>
      <c r="E23" s="29" t="n">
        <v>2</v>
      </c>
      <c r="F23" s="29" t="n">
        <v>2</v>
      </c>
      <c r="G23" s="29" t="n">
        <v>2</v>
      </c>
      <c r="H23" s="29" t="n">
        <v>2</v>
      </c>
      <c r="I23" s="29" t="n">
        <v>2</v>
      </c>
      <c r="J23" s="29" t="n">
        <v>2</v>
      </c>
      <c r="K23" s="29" t="n">
        <v>2</v>
      </c>
      <c r="L23" s="29" t="n">
        <v>0</v>
      </c>
      <c r="M23" s="29" t="n">
        <v>0</v>
      </c>
    </row>
    <row r="24" customFormat="false" ht="15" hidden="false" customHeight="false" outlineLevel="0" collapsed="false">
      <c r="A24" s="27"/>
      <c r="B24" s="7" t="s">
        <v>518</v>
      </c>
      <c r="C24" s="29" t="n">
        <f aca="false">Malla_2027!E12</f>
        <v>1</v>
      </c>
      <c r="D24" s="29" t="n">
        <f aca="false">Malla_2027!F12</f>
        <v>1</v>
      </c>
      <c r="E24" s="29" t="n">
        <f aca="false">Malla_2027!G12</f>
        <v>1</v>
      </c>
      <c r="F24" s="29" t="n">
        <f aca="false">Malla_2027!H12</f>
        <v>1</v>
      </c>
      <c r="G24" s="29" t="n">
        <f aca="false">Malla_2027!I12</f>
        <v>1</v>
      </c>
      <c r="H24" s="29" t="n">
        <f aca="false">Malla_2027!J12</f>
        <v>1</v>
      </c>
      <c r="I24" s="29" t="n">
        <f aca="false">Malla_2027!K12</f>
        <v>1</v>
      </c>
      <c r="J24" s="29" t="n">
        <f aca="false">Malla_2027!L12</f>
        <v>1</v>
      </c>
      <c r="K24" s="29" t="n">
        <f aca="false">Malla_2027!M12</f>
        <v>0</v>
      </c>
      <c r="L24" s="29" t="n">
        <f aca="false">Malla_2027!N12</f>
        <v>0</v>
      </c>
      <c r="M24" s="29" t="n">
        <f aca="false">Malla_2027!O12</f>
        <v>0</v>
      </c>
    </row>
    <row r="25" customFormat="false" ht="15" hidden="false" customHeight="false" outlineLevel="0" collapsed="false">
      <c r="A25" s="27"/>
      <c r="B25" s="7" t="s">
        <v>287</v>
      </c>
      <c r="C25" s="56" t="n">
        <f aca="false">C24-C23</f>
        <v>-1</v>
      </c>
      <c r="D25" s="56" t="n">
        <f aca="false">D24-D23</f>
        <v>-1</v>
      </c>
      <c r="E25" s="56" t="n">
        <f aca="false">E24-E23</f>
        <v>-1</v>
      </c>
      <c r="F25" s="56" t="n">
        <f aca="false">F24-F23</f>
        <v>-1</v>
      </c>
      <c r="G25" s="56" t="n">
        <f aca="false">G24-G23</f>
        <v>-1</v>
      </c>
      <c r="H25" s="56" t="n">
        <f aca="false">H24-H23</f>
        <v>-1</v>
      </c>
      <c r="I25" s="56" t="n">
        <f aca="false">I24-I23</f>
        <v>-1</v>
      </c>
      <c r="J25" s="56" t="n">
        <f aca="false">J24-J23</f>
        <v>-1</v>
      </c>
      <c r="K25" s="56" t="n">
        <f aca="false">K24-K23</f>
        <v>-2</v>
      </c>
      <c r="L25" s="56" t="n">
        <f aca="false">L24-L23</f>
        <v>0</v>
      </c>
      <c r="M25" s="56" t="n">
        <f aca="false">M24-M23</f>
        <v>0</v>
      </c>
    </row>
    <row r="26" customFormat="false" ht="15" hidden="false" customHeight="true" outlineLevel="0" collapsed="false">
      <c r="A26" s="27" t="s">
        <v>238</v>
      </c>
      <c r="B26" s="7" t="s">
        <v>517</v>
      </c>
      <c r="C26" s="29" t="n">
        <v>1</v>
      </c>
      <c r="D26" s="29" t="n">
        <v>1</v>
      </c>
      <c r="E26" s="29" t="n">
        <v>1</v>
      </c>
      <c r="F26" s="29" t="n">
        <v>1</v>
      </c>
      <c r="G26" s="29" t="n">
        <v>1</v>
      </c>
      <c r="H26" s="29" t="n">
        <v>1</v>
      </c>
      <c r="I26" s="29" t="n">
        <v>1</v>
      </c>
      <c r="J26" s="29" t="n">
        <v>1</v>
      </c>
      <c r="K26" s="29" t="n">
        <v>1</v>
      </c>
      <c r="L26" s="29" t="n">
        <v>1</v>
      </c>
      <c r="M26" s="29" t="n">
        <v>1</v>
      </c>
    </row>
    <row r="27" customFormat="false" ht="15" hidden="false" customHeight="false" outlineLevel="0" collapsed="false">
      <c r="A27" s="27"/>
      <c r="B27" s="7" t="s">
        <v>518</v>
      </c>
      <c r="C27" s="29" t="n">
        <f aca="false">Malla_2027!E13</f>
        <v>1</v>
      </c>
      <c r="D27" s="29" t="n">
        <f aca="false">Malla_2027!F13</f>
        <v>1</v>
      </c>
      <c r="E27" s="29" t="n">
        <f aca="false">Malla_2027!G13</f>
        <v>1</v>
      </c>
      <c r="F27" s="29" t="n">
        <f aca="false">Malla_2027!H13</f>
        <v>1</v>
      </c>
      <c r="G27" s="29" t="n">
        <f aca="false">Malla_2027!I13</f>
        <v>1</v>
      </c>
      <c r="H27" s="29" t="n">
        <f aca="false">Malla_2027!J13</f>
        <v>1</v>
      </c>
      <c r="I27" s="29" t="n">
        <f aca="false">Malla_2027!K13</f>
        <v>1</v>
      </c>
      <c r="J27" s="29" t="n">
        <f aca="false">Malla_2027!L13</f>
        <v>1</v>
      </c>
      <c r="K27" s="29" t="n">
        <f aca="false">Malla_2027!M13</f>
        <v>1</v>
      </c>
      <c r="L27" s="29" t="n">
        <f aca="false">Malla_2027!N13</f>
        <v>1</v>
      </c>
      <c r="M27" s="29" t="n">
        <f aca="false">Malla_2027!O13</f>
        <v>1</v>
      </c>
    </row>
    <row r="28" customFormat="false" ht="15" hidden="false" customHeight="false" outlineLevel="0" collapsed="false">
      <c r="A28" s="27"/>
      <c r="B28" s="7" t="s">
        <v>287</v>
      </c>
      <c r="C28" s="56" t="n">
        <f aca="false">C27-C26</f>
        <v>0</v>
      </c>
      <c r="D28" s="56" t="n">
        <f aca="false">D27-D26</f>
        <v>0</v>
      </c>
      <c r="E28" s="56" t="n">
        <f aca="false">E27-E26</f>
        <v>0</v>
      </c>
      <c r="F28" s="56" t="n">
        <f aca="false">F27-F26</f>
        <v>0</v>
      </c>
      <c r="G28" s="56" t="n">
        <f aca="false">G27-G26</f>
        <v>0</v>
      </c>
      <c r="H28" s="56" t="n">
        <f aca="false">H27-H26</f>
        <v>0</v>
      </c>
      <c r="I28" s="56" t="n">
        <f aca="false">I27-I26</f>
        <v>0</v>
      </c>
      <c r="J28" s="56" t="n">
        <f aca="false">J27-J26</f>
        <v>0</v>
      </c>
      <c r="K28" s="56" t="n">
        <f aca="false">K27-K26</f>
        <v>0</v>
      </c>
      <c r="L28" s="56" t="n">
        <f aca="false">L27-L26</f>
        <v>0</v>
      </c>
      <c r="M28" s="56" t="n">
        <f aca="false">M27-M26</f>
        <v>0</v>
      </c>
    </row>
    <row r="29" customFormat="false" ht="15" hidden="false" customHeight="true" outlineLevel="0" collapsed="false">
      <c r="A29" s="27" t="s">
        <v>240</v>
      </c>
      <c r="B29" s="7" t="s">
        <v>517</v>
      </c>
      <c r="C29" s="29" t="n">
        <v>1</v>
      </c>
      <c r="D29" s="29" t="n">
        <v>1</v>
      </c>
      <c r="E29" s="29" t="n">
        <v>1</v>
      </c>
      <c r="F29" s="29" t="n">
        <v>1</v>
      </c>
      <c r="G29" s="29" t="n">
        <v>1</v>
      </c>
      <c r="H29" s="29" t="n">
        <v>1</v>
      </c>
      <c r="I29" s="29" t="n">
        <v>1</v>
      </c>
      <c r="J29" s="29" t="n">
        <v>1</v>
      </c>
      <c r="K29" s="29" t="n">
        <v>1</v>
      </c>
      <c r="L29" s="29" t="n">
        <v>1</v>
      </c>
      <c r="M29" s="29" t="n">
        <v>1</v>
      </c>
    </row>
    <row r="30" customFormat="false" ht="15" hidden="false" customHeight="false" outlineLevel="0" collapsed="false">
      <c r="A30" s="27"/>
      <c r="B30" s="7" t="s">
        <v>518</v>
      </c>
      <c r="C30" s="29" t="n">
        <f aca="false">Malla_2027!E14</f>
        <v>1</v>
      </c>
      <c r="D30" s="29" t="n">
        <f aca="false">Malla_2027!F14</f>
        <v>1</v>
      </c>
      <c r="E30" s="29" t="n">
        <f aca="false">Malla_2027!G14</f>
        <v>1</v>
      </c>
      <c r="F30" s="29" t="n">
        <f aca="false">Malla_2027!H14</f>
        <v>1</v>
      </c>
      <c r="G30" s="29" t="n">
        <f aca="false">Malla_2027!I14</f>
        <v>1</v>
      </c>
      <c r="H30" s="29" t="n">
        <f aca="false">Malla_2027!J14</f>
        <v>1</v>
      </c>
      <c r="I30" s="29" t="n">
        <f aca="false">Malla_2027!K14</f>
        <v>1</v>
      </c>
      <c r="J30" s="29" t="n">
        <f aca="false">Malla_2027!L14</f>
        <v>1</v>
      </c>
      <c r="K30" s="29" t="n">
        <f aca="false">Malla_2027!M14</f>
        <v>1</v>
      </c>
      <c r="L30" s="29" t="n">
        <f aca="false">Malla_2027!N14</f>
        <v>1</v>
      </c>
      <c r="M30" s="29" t="n">
        <f aca="false">Malla_2027!O14</f>
        <v>1</v>
      </c>
    </row>
    <row r="31" customFormat="false" ht="15" hidden="false" customHeight="false" outlineLevel="0" collapsed="false">
      <c r="A31" s="27"/>
      <c r="B31" s="7" t="s">
        <v>287</v>
      </c>
      <c r="C31" s="56" t="n">
        <f aca="false">C30-C29</f>
        <v>0</v>
      </c>
      <c r="D31" s="56" t="n">
        <f aca="false">D30-D29</f>
        <v>0</v>
      </c>
      <c r="E31" s="56" t="n">
        <f aca="false">E30-E29</f>
        <v>0</v>
      </c>
      <c r="F31" s="56" t="n">
        <f aca="false">F30-F29</f>
        <v>0</v>
      </c>
      <c r="G31" s="56" t="n">
        <f aca="false">G30-G29</f>
        <v>0</v>
      </c>
      <c r="H31" s="56" t="n">
        <f aca="false">H30-H29</f>
        <v>0</v>
      </c>
      <c r="I31" s="56" t="n">
        <f aca="false">I30-I29</f>
        <v>0</v>
      </c>
      <c r="J31" s="56" t="n">
        <f aca="false">J30-J29</f>
        <v>0</v>
      </c>
      <c r="K31" s="56" t="n">
        <f aca="false">K30-K29</f>
        <v>0</v>
      </c>
      <c r="L31" s="56" t="n">
        <f aca="false">L30-L29</f>
        <v>0</v>
      </c>
      <c r="M31" s="56" t="n">
        <f aca="false">M30-M29</f>
        <v>0</v>
      </c>
    </row>
    <row r="32" customFormat="false" ht="15" hidden="false" customHeight="true" outlineLevel="0" collapsed="false">
      <c r="A32" s="27" t="s">
        <v>243</v>
      </c>
      <c r="B32" s="7" t="s">
        <v>517</v>
      </c>
      <c r="C32" s="29" t="n">
        <v>1</v>
      </c>
      <c r="D32" s="29" t="n">
        <v>1</v>
      </c>
      <c r="E32" s="29" t="n">
        <v>1</v>
      </c>
      <c r="F32" s="29" t="n">
        <v>1</v>
      </c>
      <c r="G32" s="29" t="n">
        <v>1</v>
      </c>
      <c r="H32" s="29" t="n">
        <v>1</v>
      </c>
      <c r="I32" s="29" t="n">
        <v>1</v>
      </c>
      <c r="J32" s="29" t="n">
        <v>1</v>
      </c>
      <c r="K32" s="29" t="n">
        <v>1</v>
      </c>
      <c r="L32" s="29" t="n">
        <v>2</v>
      </c>
      <c r="M32" s="29" t="n">
        <v>2</v>
      </c>
    </row>
    <row r="33" customFormat="false" ht="15" hidden="false" customHeight="false" outlineLevel="0" collapsed="false">
      <c r="A33" s="27"/>
      <c r="B33" s="7" t="s">
        <v>518</v>
      </c>
      <c r="C33" s="29" t="n">
        <f aca="false">Malla_2027!E15</f>
        <v>1</v>
      </c>
      <c r="D33" s="29" t="n">
        <f aca="false">Malla_2027!F15</f>
        <v>1</v>
      </c>
      <c r="E33" s="29" t="n">
        <f aca="false">Malla_2027!G15</f>
        <v>1</v>
      </c>
      <c r="F33" s="29" t="n">
        <f aca="false">Malla_2027!H15</f>
        <v>1</v>
      </c>
      <c r="G33" s="29" t="n">
        <f aca="false">Malla_2027!I15</f>
        <v>1</v>
      </c>
      <c r="H33" s="29" t="n">
        <f aca="false">Malla_2027!J15</f>
        <v>1</v>
      </c>
      <c r="I33" s="29" t="n">
        <f aca="false">Malla_2027!K15</f>
        <v>1</v>
      </c>
      <c r="J33" s="29" t="n">
        <f aca="false">Malla_2027!L15</f>
        <v>1</v>
      </c>
      <c r="K33" s="29" t="n">
        <f aca="false">Malla_2027!M15</f>
        <v>1</v>
      </c>
      <c r="L33" s="29" t="n">
        <f aca="false">Malla_2027!N15</f>
        <v>2</v>
      </c>
      <c r="M33" s="29" t="n">
        <f aca="false">Malla_2027!O15</f>
        <v>2</v>
      </c>
    </row>
    <row r="34" customFormat="false" ht="15" hidden="false" customHeight="false" outlineLevel="0" collapsed="false">
      <c r="A34" s="27"/>
      <c r="B34" s="7" t="s">
        <v>287</v>
      </c>
      <c r="C34" s="56" t="n">
        <f aca="false">C33-C32</f>
        <v>0</v>
      </c>
      <c r="D34" s="56" t="n">
        <f aca="false">D33-D32</f>
        <v>0</v>
      </c>
      <c r="E34" s="56" t="n">
        <f aca="false">E33-E32</f>
        <v>0</v>
      </c>
      <c r="F34" s="56" t="n">
        <f aca="false">F33-F32</f>
        <v>0</v>
      </c>
      <c r="G34" s="56" t="n">
        <f aca="false">G33-G32</f>
        <v>0</v>
      </c>
      <c r="H34" s="56" t="n">
        <f aca="false">H33-H32</f>
        <v>0</v>
      </c>
      <c r="I34" s="56" t="n">
        <f aca="false">I33-I32</f>
        <v>0</v>
      </c>
      <c r="J34" s="56" t="n">
        <f aca="false">J33-J32</f>
        <v>0</v>
      </c>
      <c r="K34" s="56" t="n">
        <f aca="false">K33-K32</f>
        <v>0</v>
      </c>
      <c r="L34" s="56" t="n">
        <f aca="false">L33-L32</f>
        <v>0</v>
      </c>
      <c r="M34" s="56" t="n">
        <f aca="false">M33-M32</f>
        <v>0</v>
      </c>
    </row>
    <row r="35" customFormat="false" ht="15" hidden="false" customHeight="true" outlineLevel="0" collapsed="false">
      <c r="A35" s="27" t="s">
        <v>246</v>
      </c>
      <c r="B35" s="7" t="s">
        <v>517</v>
      </c>
      <c r="C35" s="29" t="n">
        <v>2</v>
      </c>
      <c r="D35" s="29" t="n">
        <v>2</v>
      </c>
      <c r="E35" s="29" t="n">
        <v>2</v>
      </c>
      <c r="F35" s="29" t="n">
        <v>2</v>
      </c>
      <c r="G35" s="29" t="n">
        <v>2</v>
      </c>
      <c r="H35" s="29" t="n">
        <v>2</v>
      </c>
      <c r="I35" s="29" t="n">
        <v>2</v>
      </c>
      <c r="J35" s="29" t="n">
        <v>2</v>
      </c>
      <c r="K35" s="29" t="n">
        <v>1</v>
      </c>
      <c r="L35" s="29" t="n">
        <v>1</v>
      </c>
      <c r="M35" s="29" t="n">
        <v>1</v>
      </c>
    </row>
    <row r="36" customFormat="false" ht="15" hidden="false" customHeight="false" outlineLevel="0" collapsed="false">
      <c r="A36" s="27"/>
      <c r="B36" s="7" t="s">
        <v>518</v>
      </c>
      <c r="C36" s="29" t="n">
        <f aca="false">Malla_2027!E16</f>
        <v>2</v>
      </c>
      <c r="D36" s="29" t="n">
        <f aca="false">Malla_2027!F16</f>
        <v>2</v>
      </c>
      <c r="E36" s="29" t="n">
        <f aca="false">Malla_2027!G16</f>
        <v>2</v>
      </c>
      <c r="F36" s="29" t="n">
        <f aca="false">Malla_2027!H16</f>
        <v>2</v>
      </c>
      <c r="G36" s="29" t="n">
        <f aca="false">Malla_2027!I16</f>
        <v>2</v>
      </c>
      <c r="H36" s="29" t="n">
        <f aca="false">Malla_2027!J16</f>
        <v>2</v>
      </c>
      <c r="I36" s="29" t="n">
        <f aca="false">Malla_2027!K16</f>
        <v>2</v>
      </c>
      <c r="J36" s="29" t="n">
        <f aca="false">Malla_2027!L16</f>
        <v>2</v>
      </c>
      <c r="K36" s="29" t="n">
        <f aca="false">Malla_2027!M16</f>
        <v>2</v>
      </c>
      <c r="L36" s="29" t="n">
        <f aca="false">Malla_2027!N16</f>
        <v>1</v>
      </c>
      <c r="M36" s="29" t="n">
        <f aca="false">Malla_2027!O16</f>
        <v>1</v>
      </c>
    </row>
    <row r="37" customFormat="false" ht="15" hidden="false" customHeight="false" outlineLevel="0" collapsed="false">
      <c r="A37" s="27"/>
      <c r="B37" s="7" t="s">
        <v>287</v>
      </c>
      <c r="C37" s="56" t="n">
        <f aca="false">C36-C35</f>
        <v>0</v>
      </c>
      <c r="D37" s="56" t="n">
        <f aca="false">D36-D35</f>
        <v>0</v>
      </c>
      <c r="E37" s="56" t="n">
        <f aca="false">E36-E35</f>
        <v>0</v>
      </c>
      <c r="F37" s="56" t="n">
        <f aca="false">F36-F35</f>
        <v>0</v>
      </c>
      <c r="G37" s="56" t="n">
        <f aca="false">G36-G35</f>
        <v>0</v>
      </c>
      <c r="H37" s="56" t="n">
        <f aca="false">H36-H35</f>
        <v>0</v>
      </c>
      <c r="I37" s="56" t="n">
        <f aca="false">I36-I35</f>
        <v>0</v>
      </c>
      <c r="J37" s="56" t="n">
        <f aca="false">J36-J35</f>
        <v>0</v>
      </c>
      <c r="K37" s="56" t="n">
        <f aca="false">K36-K35</f>
        <v>1</v>
      </c>
      <c r="L37" s="56" t="n">
        <f aca="false">L36-L35</f>
        <v>0</v>
      </c>
      <c r="M37" s="56" t="n">
        <f aca="false">M36-M35</f>
        <v>0</v>
      </c>
    </row>
    <row r="38" customFormat="false" ht="15" hidden="false" customHeight="true" outlineLevel="0" collapsed="false">
      <c r="A38" s="27" t="s">
        <v>250</v>
      </c>
      <c r="B38" s="7" t="s">
        <v>517</v>
      </c>
      <c r="C38" s="29" t="n">
        <v>3</v>
      </c>
      <c r="D38" s="29" t="n">
        <v>3</v>
      </c>
      <c r="E38" s="29" t="n">
        <v>3</v>
      </c>
      <c r="F38" s="29" t="n">
        <v>3</v>
      </c>
      <c r="G38" s="29" t="n">
        <v>3</v>
      </c>
      <c r="H38" s="29" t="n">
        <v>3</v>
      </c>
      <c r="I38" s="29" t="n">
        <v>3</v>
      </c>
      <c r="J38" s="29" t="n">
        <v>3</v>
      </c>
      <c r="K38" s="29" t="n">
        <v>3</v>
      </c>
      <c r="L38" s="29" t="n">
        <v>3</v>
      </c>
      <c r="M38" s="29" t="n">
        <v>3</v>
      </c>
    </row>
    <row r="39" customFormat="false" ht="15" hidden="false" customHeight="false" outlineLevel="0" collapsed="false">
      <c r="A39" s="27"/>
      <c r="B39" s="7" t="s">
        <v>518</v>
      </c>
      <c r="C39" s="29" t="n">
        <f aca="false">Malla_2027!E17</f>
        <v>3</v>
      </c>
      <c r="D39" s="29" t="n">
        <f aca="false">Malla_2027!F17</f>
        <v>3</v>
      </c>
      <c r="E39" s="29" t="n">
        <f aca="false">Malla_2027!G17</f>
        <v>3</v>
      </c>
      <c r="F39" s="29" t="n">
        <f aca="false">Malla_2027!H17</f>
        <v>3</v>
      </c>
      <c r="G39" s="29" t="n">
        <f aca="false">Malla_2027!I17</f>
        <v>3</v>
      </c>
      <c r="H39" s="29" t="n">
        <f aca="false">Malla_2027!J17</f>
        <v>3</v>
      </c>
      <c r="I39" s="29" t="n">
        <f aca="false">Malla_2027!K17</f>
        <v>3</v>
      </c>
      <c r="J39" s="29" t="n">
        <f aca="false">Malla_2027!L17</f>
        <v>3</v>
      </c>
      <c r="K39" s="29" t="n">
        <f aca="false">Malla_2027!M17</f>
        <v>3</v>
      </c>
      <c r="L39" s="29" t="n">
        <f aca="false">Malla_2027!N17</f>
        <v>3</v>
      </c>
      <c r="M39" s="29" t="n">
        <f aca="false">Malla_2027!O17</f>
        <v>3</v>
      </c>
    </row>
    <row r="40" customFormat="false" ht="15" hidden="false" customHeight="false" outlineLevel="0" collapsed="false">
      <c r="A40" s="27"/>
      <c r="B40" s="7" t="s">
        <v>287</v>
      </c>
      <c r="C40" s="56" t="n">
        <f aca="false">C39-C38</f>
        <v>0</v>
      </c>
      <c r="D40" s="56" t="n">
        <f aca="false">D39-D38</f>
        <v>0</v>
      </c>
      <c r="E40" s="56" t="n">
        <f aca="false">E39-E38</f>
        <v>0</v>
      </c>
      <c r="F40" s="56" t="n">
        <f aca="false">F39-F38</f>
        <v>0</v>
      </c>
      <c r="G40" s="56" t="n">
        <f aca="false">G39-G38</f>
        <v>0</v>
      </c>
      <c r="H40" s="56" t="n">
        <f aca="false">H39-H38</f>
        <v>0</v>
      </c>
      <c r="I40" s="56" t="n">
        <f aca="false">I39-I38</f>
        <v>0</v>
      </c>
      <c r="J40" s="56" t="n">
        <f aca="false">J39-J38</f>
        <v>0</v>
      </c>
      <c r="K40" s="56" t="n">
        <f aca="false">K39-K38</f>
        <v>0</v>
      </c>
      <c r="L40" s="56" t="n">
        <f aca="false">L39-L38</f>
        <v>0</v>
      </c>
      <c r="M40" s="56" t="n">
        <f aca="false">M39-M38</f>
        <v>0</v>
      </c>
    </row>
    <row r="41" customFormat="false" ht="15" hidden="false" customHeight="true" outlineLevel="0" collapsed="false">
      <c r="A41" s="27" t="s">
        <v>253</v>
      </c>
      <c r="B41" s="7" t="s">
        <v>517</v>
      </c>
      <c r="C41" s="29" t="n">
        <v>5</v>
      </c>
      <c r="D41" s="29" t="n">
        <v>5</v>
      </c>
      <c r="E41" s="29" t="n">
        <v>5</v>
      </c>
      <c r="F41" s="29" t="n">
        <v>5</v>
      </c>
      <c r="G41" s="29" t="n">
        <v>5</v>
      </c>
      <c r="H41" s="29" t="n">
        <v>5</v>
      </c>
      <c r="I41" s="29" t="n">
        <v>5</v>
      </c>
      <c r="J41" s="29" t="n">
        <v>5</v>
      </c>
      <c r="K41" s="29" t="n">
        <v>5</v>
      </c>
      <c r="L41" s="29" t="n">
        <v>4</v>
      </c>
      <c r="M41" s="29" t="n">
        <v>4</v>
      </c>
    </row>
    <row r="42" customFormat="false" ht="15" hidden="false" customHeight="false" outlineLevel="0" collapsed="false">
      <c r="A42" s="27"/>
      <c r="B42" s="7" t="s">
        <v>518</v>
      </c>
      <c r="C42" s="29" t="n">
        <f aca="false">Malla_2027!E18</f>
        <v>5</v>
      </c>
      <c r="D42" s="29" t="n">
        <f aca="false">Malla_2027!F18</f>
        <v>5</v>
      </c>
      <c r="E42" s="29" t="n">
        <f aca="false">Malla_2027!G18</f>
        <v>5</v>
      </c>
      <c r="F42" s="29" t="n">
        <f aca="false">Malla_2027!H18</f>
        <v>5</v>
      </c>
      <c r="G42" s="29" t="n">
        <f aca="false">Malla_2027!I18</f>
        <v>5</v>
      </c>
      <c r="H42" s="29" t="n">
        <f aca="false">Malla_2027!J18</f>
        <v>5</v>
      </c>
      <c r="I42" s="29" t="n">
        <f aca="false">Malla_2027!K18</f>
        <v>5</v>
      </c>
      <c r="J42" s="29" t="n">
        <f aca="false">Malla_2027!L18</f>
        <v>5</v>
      </c>
      <c r="K42" s="29" t="n">
        <f aca="false">Malla_2027!M18</f>
        <v>5</v>
      </c>
      <c r="L42" s="29" t="n">
        <f aca="false">Malla_2027!N18</f>
        <v>4</v>
      </c>
      <c r="M42" s="29" t="n">
        <f aca="false">Malla_2027!O18</f>
        <v>4</v>
      </c>
    </row>
    <row r="43" customFormat="false" ht="15" hidden="false" customHeight="false" outlineLevel="0" collapsed="false">
      <c r="A43" s="27"/>
      <c r="B43" s="7" t="s">
        <v>287</v>
      </c>
      <c r="C43" s="56" t="n">
        <f aca="false">C42-C41</f>
        <v>0</v>
      </c>
      <c r="D43" s="56" t="n">
        <f aca="false">D42-D41</f>
        <v>0</v>
      </c>
      <c r="E43" s="56" t="n">
        <f aca="false">E42-E41</f>
        <v>0</v>
      </c>
      <c r="F43" s="56" t="n">
        <f aca="false">F42-F41</f>
        <v>0</v>
      </c>
      <c r="G43" s="56" t="n">
        <f aca="false">G42-G41</f>
        <v>0</v>
      </c>
      <c r="H43" s="56" t="n">
        <f aca="false">H42-H41</f>
        <v>0</v>
      </c>
      <c r="I43" s="56" t="n">
        <f aca="false">I42-I41</f>
        <v>0</v>
      </c>
      <c r="J43" s="56" t="n">
        <f aca="false">J42-J41</f>
        <v>0</v>
      </c>
      <c r="K43" s="56" t="n">
        <f aca="false">K42-K41</f>
        <v>0</v>
      </c>
      <c r="L43" s="56" t="n">
        <f aca="false">L42-L41</f>
        <v>0</v>
      </c>
      <c r="M43" s="56" t="n">
        <f aca="false">M42-M41</f>
        <v>0</v>
      </c>
    </row>
    <row r="44" customFormat="false" ht="15" hidden="false" customHeight="true" outlineLevel="0" collapsed="false">
      <c r="A44" s="27" t="s">
        <v>255</v>
      </c>
      <c r="B44" s="7" t="s">
        <v>517</v>
      </c>
      <c r="C44" s="29" t="n">
        <v>4</v>
      </c>
      <c r="D44" s="29" t="n">
        <v>4</v>
      </c>
      <c r="E44" s="29" t="n">
        <v>4</v>
      </c>
      <c r="F44" s="29" t="n">
        <v>4</v>
      </c>
      <c r="G44" s="29" t="n">
        <v>4</v>
      </c>
      <c r="H44" s="29" t="n">
        <v>4</v>
      </c>
      <c r="I44" s="29" t="n">
        <v>4</v>
      </c>
      <c r="J44" s="29" t="n">
        <v>4</v>
      </c>
      <c r="K44" s="29" t="n">
        <v>4</v>
      </c>
      <c r="L44" s="29" t="n">
        <v>5</v>
      </c>
      <c r="M44" s="29" t="n">
        <v>5</v>
      </c>
    </row>
    <row r="45" customFormat="false" ht="15" hidden="false" customHeight="false" outlineLevel="0" collapsed="false">
      <c r="A45" s="27"/>
      <c r="B45" s="7" t="s">
        <v>518</v>
      </c>
      <c r="C45" s="29" t="n">
        <f aca="false">Malla_2027!E19</f>
        <v>4</v>
      </c>
      <c r="D45" s="29" t="n">
        <f aca="false">Malla_2027!F19</f>
        <v>4</v>
      </c>
      <c r="E45" s="29" t="n">
        <f aca="false">Malla_2027!G19</f>
        <v>4</v>
      </c>
      <c r="F45" s="29" t="n">
        <f aca="false">Malla_2027!H19</f>
        <v>4</v>
      </c>
      <c r="G45" s="29" t="n">
        <f aca="false">Malla_2027!I19</f>
        <v>4</v>
      </c>
      <c r="H45" s="29" t="n">
        <f aca="false">Malla_2027!J19</f>
        <v>4</v>
      </c>
      <c r="I45" s="29" t="n">
        <f aca="false">Malla_2027!K19</f>
        <v>4</v>
      </c>
      <c r="J45" s="29" t="n">
        <f aca="false">Malla_2027!L19</f>
        <v>4</v>
      </c>
      <c r="K45" s="29" t="n">
        <f aca="false">Malla_2027!M19</f>
        <v>4</v>
      </c>
      <c r="L45" s="29" t="n">
        <f aca="false">Malla_2027!N19</f>
        <v>5</v>
      </c>
      <c r="M45" s="29" t="n">
        <f aca="false">Malla_2027!O19</f>
        <v>5</v>
      </c>
    </row>
    <row r="46" customFormat="false" ht="15" hidden="false" customHeight="false" outlineLevel="0" collapsed="false">
      <c r="A46" s="27"/>
      <c r="B46" s="7" t="s">
        <v>287</v>
      </c>
      <c r="C46" s="56" t="n">
        <f aca="false">C45-C44</f>
        <v>0</v>
      </c>
      <c r="D46" s="56" t="n">
        <f aca="false">D45-D44</f>
        <v>0</v>
      </c>
      <c r="E46" s="56" t="n">
        <f aca="false">E45-E44</f>
        <v>0</v>
      </c>
      <c r="F46" s="56" t="n">
        <f aca="false">F45-F44</f>
        <v>0</v>
      </c>
      <c r="G46" s="56" t="n">
        <f aca="false">G45-G44</f>
        <v>0</v>
      </c>
      <c r="H46" s="56" t="n">
        <f aca="false">H45-H44</f>
        <v>0</v>
      </c>
      <c r="I46" s="56" t="n">
        <f aca="false">I45-I44</f>
        <v>0</v>
      </c>
      <c r="J46" s="56" t="n">
        <f aca="false">J45-J44</f>
        <v>0</v>
      </c>
      <c r="K46" s="56" t="n">
        <f aca="false">K45-K44</f>
        <v>0</v>
      </c>
      <c r="L46" s="56" t="n">
        <f aca="false">L45-L44</f>
        <v>0</v>
      </c>
      <c r="M46" s="56" t="n">
        <f aca="false">M45-M44</f>
        <v>0</v>
      </c>
    </row>
    <row r="47" customFormat="false" ht="15" hidden="false" customHeight="true" outlineLevel="0" collapsed="false">
      <c r="A47" s="27" t="s">
        <v>257</v>
      </c>
      <c r="B47" s="7" t="s">
        <v>517</v>
      </c>
      <c r="C47" s="29" t="n">
        <v>4</v>
      </c>
      <c r="D47" s="29" t="n">
        <v>4</v>
      </c>
      <c r="E47" s="29" t="n">
        <v>4</v>
      </c>
      <c r="F47" s="29" t="n">
        <v>4</v>
      </c>
      <c r="G47" s="29" t="n">
        <v>4</v>
      </c>
      <c r="H47" s="29" t="n">
        <v>4</v>
      </c>
      <c r="I47" s="29" t="n">
        <v>4</v>
      </c>
      <c r="J47" s="29" t="n">
        <v>0</v>
      </c>
      <c r="K47" s="29" t="n">
        <v>0</v>
      </c>
      <c r="L47" s="29" t="n">
        <v>0</v>
      </c>
      <c r="M47" s="29" t="n">
        <v>0</v>
      </c>
    </row>
    <row r="48" customFormat="false" ht="15" hidden="false" customHeight="false" outlineLevel="0" collapsed="false">
      <c r="A48" s="27"/>
      <c r="B48" s="7" t="s">
        <v>518</v>
      </c>
      <c r="C48" s="29" t="n">
        <f aca="false">Malla_2027!E20</f>
        <v>5</v>
      </c>
      <c r="D48" s="29" t="n">
        <f aca="false">Malla_2027!F20</f>
        <v>5</v>
      </c>
      <c r="E48" s="29" t="n">
        <f aca="false">Malla_2027!G20</f>
        <v>5</v>
      </c>
      <c r="F48" s="29" t="n">
        <f aca="false">Malla_2027!H20</f>
        <v>5</v>
      </c>
      <c r="G48" s="29" t="n">
        <f aca="false">Malla_2027!I20</f>
        <v>5</v>
      </c>
      <c r="H48" s="29" t="n">
        <f aca="false">Malla_2027!J20</f>
        <v>5</v>
      </c>
      <c r="I48" s="29" t="n">
        <f aca="false">Malla_2027!K20</f>
        <v>5</v>
      </c>
      <c r="J48" s="29" t="n">
        <f aca="false">Malla_2027!L20</f>
        <v>0</v>
      </c>
      <c r="K48" s="29" t="n">
        <f aca="false">Malla_2027!M20</f>
        <v>0</v>
      </c>
      <c r="L48" s="29" t="n">
        <f aca="false">Malla_2027!N20</f>
        <v>0</v>
      </c>
      <c r="M48" s="29" t="n">
        <f aca="false">Malla_2027!O20</f>
        <v>0</v>
      </c>
    </row>
    <row r="49" customFormat="false" ht="15" hidden="false" customHeight="false" outlineLevel="0" collapsed="false">
      <c r="A49" s="27"/>
      <c r="B49" s="7" t="s">
        <v>287</v>
      </c>
      <c r="C49" s="56" t="n">
        <f aca="false">C48-C47</f>
        <v>1</v>
      </c>
      <c r="D49" s="56" t="n">
        <f aca="false">D48-D47</f>
        <v>1</v>
      </c>
      <c r="E49" s="56" t="n">
        <f aca="false">E48-E47</f>
        <v>1</v>
      </c>
      <c r="F49" s="56" t="n">
        <f aca="false">F48-F47</f>
        <v>1</v>
      </c>
      <c r="G49" s="56" t="n">
        <f aca="false">G48-G47</f>
        <v>1</v>
      </c>
      <c r="H49" s="56" t="n">
        <f aca="false">H48-H47</f>
        <v>1</v>
      </c>
      <c r="I49" s="56" t="n">
        <f aca="false">I48-I47</f>
        <v>1</v>
      </c>
      <c r="J49" s="56" t="n">
        <f aca="false">J48-J47</f>
        <v>0</v>
      </c>
      <c r="K49" s="56" t="n">
        <f aca="false">K48-K47</f>
        <v>0</v>
      </c>
      <c r="L49" s="56" t="n">
        <f aca="false">L48-L47</f>
        <v>0</v>
      </c>
      <c r="M49" s="56" t="n">
        <f aca="false">M48-M47</f>
        <v>0</v>
      </c>
    </row>
    <row r="50" customFormat="false" ht="15" hidden="false" customHeight="true" outlineLevel="0" collapsed="false">
      <c r="A50" s="27" t="s">
        <v>260</v>
      </c>
      <c r="B50" s="7" t="s">
        <v>517</v>
      </c>
      <c r="C50" s="29" t="n">
        <v>0</v>
      </c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4</v>
      </c>
      <c r="K50" s="29" t="n">
        <v>4</v>
      </c>
      <c r="L50" s="29" t="n">
        <v>0</v>
      </c>
      <c r="M50" s="29" t="n">
        <v>0</v>
      </c>
    </row>
    <row r="51" customFormat="false" ht="15" hidden="false" customHeight="false" outlineLevel="0" collapsed="false">
      <c r="A51" s="27"/>
      <c r="B51" s="7" t="s">
        <v>518</v>
      </c>
      <c r="C51" s="29" t="n">
        <f aca="false">Malla_2027!E21</f>
        <v>0</v>
      </c>
      <c r="D51" s="29" t="n">
        <f aca="false">Malla_2027!F21</f>
        <v>0</v>
      </c>
      <c r="E51" s="29" t="n">
        <f aca="false">Malla_2027!G21</f>
        <v>0</v>
      </c>
      <c r="F51" s="29" t="n">
        <f aca="false">Malla_2027!H21</f>
        <v>0</v>
      </c>
      <c r="G51" s="29" t="n">
        <f aca="false">Malla_2027!I21</f>
        <v>0</v>
      </c>
      <c r="H51" s="29" t="n">
        <f aca="false">Malla_2027!J21</f>
        <v>0</v>
      </c>
      <c r="I51" s="29" t="n">
        <f aca="false">Malla_2027!K21</f>
        <v>0</v>
      </c>
      <c r="J51" s="29" t="n">
        <f aca="false">Malla_2027!L21</f>
        <v>5</v>
      </c>
      <c r="K51" s="29" t="n">
        <f aca="false">Malla_2027!M21</f>
        <v>5</v>
      </c>
      <c r="L51" s="29" t="n">
        <f aca="false">Malla_2027!N21</f>
        <v>0</v>
      </c>
      <c r="M51" s="29" t="n">
        <f aca="false">Malla_2027!O21</f>
        <v>0</v>
      </c>
    </row>
    <row r="52" customFormat="false" ht="15" hidden="false" customHeight="false" outlineLevel="0" collapsed="false">
      <c r="A52" s="27"/>
      <c r="B52" s="7" t="s">
        <v>287</v>
      </c>
      <c r="C52" s="56" t="n">
        <f aca="false">C51-C50</f>
        <v>0</v>
      </c>
      <c r="D52" s="56" t="n">
        <f aca="false">D51-D50</f>
        <v>0</v>
      </c>
      <c r="E52" s="56" t="n">
        <f aca="false">E51-E50</f>
        <v>0</v>
      </c>
      <c r="F52" s="56" t="n">
        <f aca="false">F51-F50</f>
        <v>0</v>
      </c>
      <c r="G52" s="56" t="n">
        <f aca="false">G51-G50</f>
        <v>0</v>
      </c>
      <c r="H52" s="56" t="n">
        <f aca="false">H51-H50</f>
        <v>0</v>
      </c>
      <c r="I52" s="56" t="n">
        <f aca="false">I51-I50</f>
        <v>0</v>
      </c>
      <c r="J52" s="56" t="n">
        <f aca="false">J51-J50</f>
        <v>1</v>
      </c>
      <c r="K52" s="56" t="n">
        <f aca="false">K51-K50</f>
        <v>1</v>
      </c>
      <c r="L52" s="56" t="n">
        <f aca="false">L51-L50</f>
        <v>0</v>
      </c>
      <c r="M52" s="56" t="n">
        <f aca="false">M51-M50</f>
        <v>0</v>
      </c>
    </row>
    <row r="53" customFormat="false" ht="15" hidden="false" customHeight="true" outlineLevel="0" collapsed="false">
      <c r="A53" s="27" t="s">
        <v>263</v>
      </c>
      <c r="B53" s="7" t="s">
        <v>517</v>
      </c>
      <c r="C53" s="29" t="n">
        <v>0</v>
      </c>
      <c r="D53" s="29" t="n">
        <v>0</v>
      </c>
      <c r="E53" s="29" t="n">
        <v>0</v>
      </c>
      <c r="F53" s="29" t="n">
        <v>0</v>
      </c>
      <c r="G53" s="29" t="n">
        <v>0</v>
      </c>
      <c r="H53" s="29" t="n">
        <v>0</v>
      </c>
      <c r="I53" s="29" t="n">
        <v>0</v>
      </c>
      <c r="J53" s="29" t="n">
        <v>0</v>
      </c>
      <c r="K53" s="29" t="n">
        <v>0</v>
      </c>
      <c r="L53" s="29" t="n">
        <v>3</v>
      </c>
      <c r="M53" s="29" t="n">
        <v>0</v>
      </c>
    </row>
    <row r="54" customFormat="false" ht="15" hidden="false" customHeight="false" outlineLevel="0" collapsed="false">
      <c r="A54" s="27"/>
      <c r="B54" s="7" t="s">
        <v>518</v>
      </c>
      <c r="C54" s="29" t="n">
        <f aca="false">Malla_2027!E22</f>
        <v>0</v>
      </c>
      <c r="D54" s="29" t="n">
        <f aca="false">Malla_2027!F22</f>
        <v>0</v>
      </c>
      <c r="E54" s="29" t="n">
        <f aca="false">Malla_2027!G22</f>
        <v>0</v>
      </c>
      <c r="F54" s="29" t="n">
        <f aca="false">Malla_2027!H22</f>
        <v>0</v>
      </c>
      <c r="G54" s="29" t="n">
        <f aca="false">Malla_2027!I22</f>
        <v>0</v>
      </c>
      <c r="H54" s="29" t="n">
        <f aca="false">Malla_2027!J22</f>
        <v>0</v>
      </c>
      <c r="I54" s="29" t="n">
        <f aca="false">Malla_2027!K22</f>
        <v>0</v>
      </c>
      <c r="J54" s="29" t="n">
        <f aca="false">Malla_2027!L22</f>
        <v>0</v>
      </c>
      <c r="K54" s="29" t="n">
        <f aca="false">Malla_2027!M22</f>
        <v>0</v>
      </c>
      <c r="L54" s="29" t="n">
        <f aca="false">Malla_2027!N22</f>
        <v>3</v>
      </c>
      <c r="M54" s="29" t="n">
        <f aca="false">Malla_2027!O22</f>
        <v>0</v>
      </c>
    </row>
    <row r="55" customFormat="false" ht="15" hidden="false" customHeight="false" outlineLevel="0" collapsed="false">
      <c r="A55" s="27"/>
      <c r="B55" s="7" t="s">
        <v>287</v>
      </c>
      <c r="C55" s="56" t="n">
        <f aca="false">C54-C53</f>
        <v>0</v>
      </c>
      <c r="D55" s="56" t="n">
        <f aca="false">D54-D53</f>
        <v>0</v>
      </c>
      <c r="E55" s="56" t="n">
        <f aca="false">E54-E53</f>
        <v>0</v>
      </c>
      <c r="F55" s="56" t="n">
        <f aca="false">F54-F53</f>
        <v>0</v>
      </c>
      <c r="G55" s="56" t="n">
        <f aca="false">G54-G53</f>
        <v>0</v>
      </c>
      <c r="H55" s="56" t="n">
        <f aca="false">H54-H53</f>
        <v>0</v>
      </c>
      <c r="I55" s="56" t="n">
        <f aca="false">I54-I53</f>
        <v>0</v>
      </c>
      <c r="J55" s="56" t="n">
        <f aca="false">J54-J53</f>
        <v>0</v>
      </c>
      <c r="K55" s="56" t="n">
        <f aca="false">K54-K53</f>
        <v>0</v>
      </c>
      <c r="L55" s="56" t="n">
        <f aca="false">L54-L53</f>
        <v>0</v>
      </c>
      <c r="M55" s="56" t="n">
        <f aca="false">M54-M53</f>
        <v>0</v>
      </c>
    </row>
    <row r="56" customFormat="false" ht="15" hidden="false" customHeight="true" outlineLevel="0" collapsed="false">
      <c r="A56" s="27" t="s">
        <v>45</v>
      </c>
      <c r="B56" s="7" t="s">
        <v>517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3</v>
      </c>
    </row>
    <row r="57" customFormat="false" ht="15" hidden="false" customHeight="false" outlineLevel="0" collapsed="false">
      <c r="A57" s="27"/>
      <c r="B57" s="7" t="s">
        <v>518</v>
      </c>
      <c r="C57" s="29" t="n">
        <f aca="false">Malla_2027!E23</f>
        <v>0</v>
      </c>
      <c r="D57" s="29" t="n">
        <f aca="false">Malla_2027!F23</f>
        <v>0</v>
      </c>
      <c r="E57" s="29" t="n">
        <f aca="false">Malla_2027!G23</f>
        <v>0</v>
      </c>
      <c r="F57" s="29" t="n">
        <f aca="false">Malla_2027!H23</f>
        <v>0</v>
      </c>
      <c r="G57" s="29" t="n">
        <f aca="false">Malla_2027!I23</f>
        <v>0</v>
      </c>
      <c r="H57" s="29" t="n">
        <f aca="false">Malla_2027!J23</f>
        <v>0</v>
      </c>
      <c r="I57" s="29" t="n">
        <f aca="false">Malla_2027!K23</f>
        <v>0</v>
      </c>
      <c r="J57" s="29" t="n">
        <f aca="false">Malla_2027!L23</f>
        <v>0</v>
      </c>
      <c r="K57" s="29" t="n">
        <f aca="false">Malla_2027!M23</f>
        <v>0</v>
      </c>
      <c r="L57" s="29" t="n">
        <f aca="false">Malla_2027!N23</f>
        <v>0</v>
      </c>
      <c r="M57" s="29" t="n">
        <f aca="false">Malla_2027!O23</f>
        <v>3</v>
      </c>
    </row>
    <row r="58" customFormat="false" ht="15" hidden="false" customHeight="false" outlineLevel="0" collapsed="false">
      <c r="A58" s="27"/>
      <c r="B58" s="7" t="s">
        <v>287</v>
      </c>
      <c r="C58" s="56" t="n">
        <f aca="false">C57-C56</f>
        <v>0</v>
      </c>
      <c r="D58" s="56" t="n">
        <f aca="false">D57-D56</f>
        <v>0</v>
      </c>
      <c r="E58" s="56" t="n">
        <f aca="false">E57-E56</f>
        <v>0</v>
      </c>
      <c r="F58" s="56" t="n">
        <f aca="false">F57-F56</f>
        <v>0</v>
      </c>
      <c r="G58" s="56" t="n">
        <f aca="false">G57-G56</f>
        <v>0</v>
      </c>
      <c r="H58" s="56" t="n">
        <f aca="false">H57-H56</f>
        <v>0</v>
      </c>
      <c r="I58" s="56" t="n">
        <f aca="false">I57-I56</f>
        <v>0</v>
      </c>
      <c r="J58" s="56" t="n">
        <f aca="false">J57-J56</f>
        <v>0</v>
      </c>
      <c r="K58" s="56" t="n">
        <f aca="false">K57-K56</f>
        <v>0</v>
      </c>
      <c r="L58" s="56" t="n">
        <f aca="false">L57-L56</f>
        <v>0</v>
      </c>
      <c r="M58" s="56" t="n">
        <f aca="false">M57-M56</f>
        <v>0</v>
      </c>
    </row>
    <row r="59" customFormat="false" ht="15" hidden="false" customHeight="true" outlineLevel="0" collapsed="false">
      <c r="A59" s="27" t="s">
        <v>267</v>
      </c>
      <c r="B59" s="7" t="s">
        <v>517</v>
      </c>
      <c r="C59" s="29" t="n">
        <v>2</v>
      </c>
      <c r="D59" s="29" t="n">
        <v>2</v>
      </c>
      <c r="E59" s="29" t="n">
        <v>2</v>
      </c>
      <c r="F59" s="29" t="n">
        <v>2</v>
      </c>
      <c r="G59" s="29" t="n">
        <v>3</v>
      </c>
      <c r="H59" s="29" t="n">
        <v>3</v>
      </c>
      <c r="I59" s="29" t="n">
        <v>3</v>
      </c>
      <c r="J59" s="29" t="n">
        <v>3</v>
      </c>
      <c r="K59" s="29" t="n">
        <v>3</v>
      </c>
      <c r="L59" s="29" t="n">
        <v>3</v>
      </c>
      <c r="M59" s="29" t="n">
        <v>3</v>
      </c>
    </row>
    <row r="60" customFormat="false" ht="15" hidden="false" customHeight="false" outlineLevel="0" collapsed="false">
      <c r="A60" s="27"/>
      <c r="B60" s="7" t="s">
        <v>518</v>
      </c>
      <c r="C60" s="29" t="n">
        <f aca="false">Malla_2027!E24</f>
        <v>3</v>
      </c>
      <c r="D60" s="29" t="n">
        <f aca="false">Malla_2027!F24</f>
        <v>3</v>
      </c>
      <c r="E60" s="29" t="n">
        <f aca="false">Malla_2027!G24</f>
        <v>3</v>
      </c>
      <c r="F60" s="29" t="n">
        <f aca="false">Malla_2027!H24</f>
        <v>3</v>
      </c>
      <c r="G60" s="29" t="n">
        <f aca="false">Malla_2027!I24</f>
        <v>3</v>
      </c>
      <c r="H60" s="29" t="n">
        <f aca="false">Malla_2027!J24</f>
        <v>3</v>
      </c>
      <c r="I60" s="29" t="n">
        <f aca="false">Malla_2027!K24</f>
        <v>3</v>
      </c>
      <c r="J60" s="29" t="n">
        <f aca="false">Malla_2027!L24</f>
        <v>3</v>
      </c>
      <c r="K60" s="29" t="n">
        <f aca="false">Malla_2027!M24</f>
        <v>3</v>
      </c>
      <c r="L60" s="29" t="n">
        <f aca="false">Malla_2027!N24</f>
        <v>3</v>
      </c>
      <c r="M60" s="29" t="n">
        <f aca="false">Malla_2027!O24</f>
        <v>3</v>
      </c>
    </row>
    <row r="61" customFormat="false" ht="15" hidden="false" customHeight="false" outlineLevel="0" collapsed="false">
      <c r="A61" s="27"/>
      <c r="B61" s="7" t="s">
        <v>287</v>
      </c>
      <c r="C61" s="56" t="n">
        <f aca="false">C60-C59</f>
        <v>1</v>
      </c>
      <c r="D61" s="56" t="n">
        <f aca="false">D60-D59</f>
        <v>1</v>
      </c>
      <c r="E61" s="56" t="n">
        <f aca="false">E60-E59</f>
        <v>1</v>
      </c>
      <c r="F61" s="56" t="n">
        <f aca="false">F60-F59</f>
        <v>1</v>
      </c>
      <c r="G61" s="56" t="n">
        <f aca="false">G60-G59</f>
        <v>0</v>
      </c>
      <c r="H61" s="56" t="n">
        <f aca="false">H60-H59</f>
        <v>0</v>
      </c>
      <c r="I61" s="56" t="n">
        <f aca="false">I60-I59</f>
        <v>0</v>
      </c>
      <c r="J61" s="56" t="n">
        <f aca="false">J60-J59</f>
        <v>0</v>
      </c>
      <c r="K61" s="56" t="n">
        <f aca="false">K60-K59</f>
        <v>0</v>
      </c>
      <c r="L61" s="56" t="n">
        <f aca="false">L60-L59</f>
        <v>0</v>
      </c>
      <c r="M61" s="56" t="n">
        <f aca="false">M60-M59</f>
        <v>0</v>
      </c>
    </row>
    <row r="62" customFormat="false" ht="15" hidden="false" customHeight="true" outlineLevel="0" collapsed="false">
      <c r="A62" s="27" t="s">
        <v>271</v>
      </c>
      <c r="B62" s="7" t="s">
        <v>517</v>
      </c>
      <c r="C62" s="29" t="n">
        <v>0</v>
      </c>
      <c r="D62" s="29" t="n">
        <v>0</v>
      </c>
      <c r="E62" s="29" t="n">
        <v>0</v>
      </c>
      <c r="F62" s="29" t="n">
        <v>0</v>
      </c>
      <c r="G62" s="29" t="n">
        <v>0</v>
      </c>
      <c r="H62" s="29" t="n">
        <v>0</v>
      </c>
      <c r="I62" s="29" t="n">
        <v>0</v>
      </c>
      <c r="J62" s="29" t="n">
        <v>0</v>
      </c>
      <c r="K62" s="29" t="n">
        <v>1</v>
      </c>
      <c r="L62" s="29" t="n">
        <v>0</v>
      </c>
      <c r="M62" s="29" t="n">
        <v>0</v>
      </c>
    </row>
    <row r="63" customFormat="false" ht="15" hidden="false" customHeight="false" outlineLevel="0" collapsed="false">
      <c r="A63" s="27"/>
      <c r="B63" s="7" t="s">
        <v>518</v>
      </c>
      <c r="C63" s="29" t="n">
        <f aca="false">Malla_2027!E25</f>
        <v>0</v>
      </c>
      <c r="D63" s="29" t="n">
        <f aca="false">Malla_2027!F25</f>
        <v>0</v>
      </c>
      <c r="E63" s="29" t="n">
        <f aca="false">Malla_2027!G25</f>
        <v>0</v>
      </c>
      <c r="F63" s="29" t="n">
        <f aca="false">Malla_2027!H25</f>
        <v>0</v>
      </c>
      <c r="G63" s="29" t="n">
        <f aca="false">Malla_2027!I25</f>
        <v>0</v>
      </c>
      <c r="H63" s="29" t="n">
        <f aca="false">Malla_2027!J25</f>
        <v>0</v>
      </c>
      <c r="I63" s="29" t="n">
        <f aca="false">Malla_2027!K25</f>
        <v>0</v>
      </c>
      <c r="J63" s="29" t="n">
        <f aca="false">Malla_2027!L25</f>
        <v>0</v>
      </c>
      <c r="K63" s="29" t="n">
        <f aca="false">Malla_2027!M25</f>
        <v>1</v>
      </c>
      <c r="L63" s="29" t="n">
        <f aca="false">Malla_2027!N25</f>
        <v>0</v>
      </c>
      <c r="M63" s="29" t="n">
        <f aca="false">Malla_2027!O25</f>
        <v>0</v>
      </c>
    </row>
    <row r="64" customFormat="false" ht="15" hidden="false" customHeight="false" outlineLevel="0" collapsed="false">
      <c r="A64" s="27"/>
      <c r="B64" s="7" t="s">
        <v>287</v>
      </c>
      <c r="C64" s="56" t="n">
        <f aca="false">C63-C62</f>
        <v>0</v>
      </c>
      <c r="D64" s="56" t="n">
        <f aca="false">D63-D62</f>
        <v>0</v>
      </c>
      <c r="E64" s="56" t="n">
        <f aca="false">E63-E62</f>
        <v>0</v>
      </c>
      <c r="F64" s="56" t="n">
        <f aca="false">F63-F62</f>
        <v>0</v>
      </c>
      <c r="G64" s="56" t="n">
        <f aca="false">G63-G62</f>
        <v>0</v>
      </c>
      <c r="H64" s="56" t="n">
        <f aca="false">H63-H62</f>
        <v>0</v>
      </c>
      <c r="I64" s="56" t="n">
        <f aca="false">I63-I62</f>
        <v>0</v>
      </c>
      <c r="J64" s="56" t="n">
        <f aca="false">J63-J62</f>
        <v>0</v>
      </c>
      <c r="K64" s="56" t="n">
        <f aca="false">K63-K62</f>
        <v>0</v>
      </c>
      <c r="L64" s="56" t="n">
        <f aca="false">L63-L62</f>
        <v>0</v>
      </c>
      <c r="M64" s="56" t="n">
        <f aca="false">M63-M62</f>
        <v>0</v>
      </c>
    </row>
    <row r="65" customFormat="false" ht="15" hidden="false" customHeight="true" outlineLevel="0" collapsed="false">
      <c r="A65" s="27" t="s">
        <v>275</v>
      </c>
      <c r="B65" s="7" t="s">
        <v>517</v>
      </c>
      <c r="C65" s="29" t="n">
        <v>0</v>
      </c>
      <c r="D65" s="29" t="n">
        <v>0</v>
      </c>
      <c r="E65" s="29" t="n">
        <v>0</v>
      </c>
      <c r="F65" s="29" t="n">
        <v>0</v>
      </c>
      <c r="G65" s="29" t="n">
        <v>0</v>
      </c>
      <c r="H65" s="29" t="n">
        <v>0</v>
      </c>
      <c r="I65" s="29" t="n">
        <v>0</v>
      </c>
      <c r="J65" s="29" t="n">
        <v>0</v>
      </c>
      <c r="K65" s="29" t="n">
        <v>0</v>
      </c>
      <c r="L65" s="29" t="n">
        <v>0</v>
      </c>
      <c r="M65" s="29" t="n">
        <v>0</v>
      </c>
    </row>
    <row r="66" customFormat="false" ht="15" hidden="false" customHeight="false" outlineLevel="0" collapsed="false">
      <c r="A66" s="27"/>
      <c r="B66" s="7" t="s">
        <v>518</v>
      </c>
      <c r="C66" s="29" t="n">
        <f aca="false">Malla_2027!E26</f>
        <v>1</v>
      </c>
      <c r="D66" s="29" t="n">
        <f aca="false">Malla_2027!F26</f>
        <v>1</v>
      </c>
      <c r="E66" s="29" t="n">
        <f aca="false">Malla_2027!G26</f>
        <v>1</v>
      </c>
      <c r="F66" s="29" t="n">
        <f aca="false">Malla_2027!H26</f>
        <v>1</v>
      </c>
      <c r="G66" s="29" t="n">
        <f aca="false">Malla_2027!I26</f>
        <v>1</v>
      </c>
      <c r="H66" s="29" t="n">
        <f aca="false">Malla_2027!J26</f>
        <v>0</v>
      </c>
      <c r="I66" s="29" t="n">
        <f aca="false">Malla_2027!K26</f>
        <v>0</v>
      </c>
      <c r="J66" s="29" t="n">
        <f aca="false">Malla_2027!L26</f>
        <v>0</v>
      </c>
      <c r="K66" s="29" t="n">
        <f aca="false">Malla_2027!M26</f>
        <v>0</v>
      </c>
      <c r="L66" s="29" t="n">
        <f aca="false">Malla_2027!N26</f>
        <v>0</v>
      </c>
      <c r="M66" s="29" t="n">
        <f aca="false">Malla_2027!O26</f>
        <v>0</v>
      </c>
    </row>
    <row r="67" customFormat="false" ht="15" hidden="false" customHeight="false" outlineLevel="0" collapsed="false">
      <c r="A67" s="27"/>
      <c r="B67" s="7" t="s">
        <v>287</v>
      </c>
      <c r="C67" s="56" t="n">
        <f aca="false">C66-C65</f>
        <v>1</v>
      </c>
      <c r="D67" s="56" t="n">
        <f aca="false">D66-D65</f>
        <v>1</v>
      </c>
      <c r="E67" s="56" t="n">
        <f aca="false">E66-E65</f>
        <v>1</v>
      </c>
      <c r="F67" s="56" t="n">
        <f aca="false">F66-F65</f>
        <v>1</v>
      </c>
      <c r="G67" s="56" t="n">
        <f aca="false">G66-G65</f>
        <v>1</v>
      </c>
      <c r="H67" s="56" t="n">
        <f aca="false">H66-H65</f>
        <v>0</v>
      </c>
      <c r="I67" s="56" t="n">
        <f aca="false">I66-I65</f>
        <v>0</v>
      </c>
      <c r="J67" s="56" t="n">
        <f aca="false">J66-J65</f>
        <v>0</v>
      </c>
      <c r="K67" s="56" t="n">
        <f aca="false">K66-K65</f>
        <v>0</v>
      </c>
      <c r="L67" s="56" t="n">
        <f aca="false">L66-L65</f>
        <v>0</v>
      </c>
      <c r="M67" s="56" t="n">
        <f aca="false">M66-M65</f>
        <v>0</v>
      </c>
    </row>
    <row r="68" customFormat="false" ht="15" hidden="false" customHeight="true" outlineLevel="0" collapsed="false">
      <c r="A68" s="27" t="s">
        <v>279</v>
      </c>
      <c r="B68" s="7" t="s">
        <v>517</v>
      </c>
      <c r="C68" s="29" t="n">
        <v>0</v>
      </c>
      <c r="D68" s="29" t="n">
        <v>0</v>
      </c>
      <c r="E68" s="29" t="n">
        <v>0</v>
      </c>
      <c r="F68" s="29" t="n">
        <v>0</v>
      </c>
      <c r="G68" s="29" t="n">
        <v>0</v>
      </c>
      <c r="H68" s="29" t="n">
        <v>0</v>
      </c>
      <c r="I68" s="29" t="n">
        <v>0</v>
      </c>
      <c r="J68" s="29" t="n">
        <v>0</v>
      </c>
      <c r="K68" s="29" t="n">
        <v>0</v>
      </c>
      <c r="L68" s="29" t="n">
        <v>2</v>
      </c>
      <c r="M68" s="29" t="n">
        <v>2</v>
      </c>
    </row>
    <row r="69" customFormat="false" ht="15" hidden="false" customHeight="false" outlineLevel="0" collapsed="false">
      <c r="A69" s="27"/>
      <c r="B69" s="7" t="s">
        <v>518</v>
      </c>
      <c r="C69" s="29" t="n">
        <f aca="false">Malla_2027!E27</f>
        <v>0</v>
      </c>
      <c r="D69" s="29" t="n">
        <f aca="false">Malla_2027!F27</f>
        <v>0</v>
      </c>
      <c r="E69" s="29" t="n">
        <f aca="false">Malla_2027!G27</f>
        <v>0</v>
      </c>
      <c r="F69" s="29" t="n">
        <f aca="false">Malla_2027!H27</f>
        <v>0</v>
      </c>
      <c r="G69" s="29" t="n">
        <f aca="false">Malla_2027!I27</f>
        <v>0</v>
      </c>
      <c r="H69" s="29" t="n">
        <f aca="false">Malla_2027!J27</f>
        <v>0</v>
      </c>
      <c r="I69" s="29" t="n">
        <f aca="false">Malla_2027!K27</f>
        <v>0</v>
      </c>
      <c r="J69" s="29" t="n">
        <f aca="false">Malla_2027!L27</f>
        <v>0</v>
      </c>
      <c r="K69" s="29" t="n">
        <f aca="false">Malla_2027!M27</f>
        <v>0</v>
      </c>
      <c r="L69" s="29" t="n">
        <f aca="false">Malla_2027!N27</f>
        <v>2</v>
      </c>
      <c r="M69" s="29" t="n">
        <f aca="false">Malla_2027!O27</f>
        <v>2</v>
      </c>
    </row>
    <row r="70" customFormat="false" ht="15" hidden="false" customHeight="false" outlineLevel="0" collapsed="false">
      <c r="A70" s="27"/>
      <c r="B70" s="7" t="s">
        <v>287</v>
      </c>
      <c r="C70" s="56" t="n">
        <f aca="false">C69-C68</f>
        <v>0</v>
      </c>
      <c r="D70" s="56" t="n">
        <f aca="false">D69-D68</f>
        <v>0</v>
      </c>
      <c r="E70" s="56" t="n">
        <f aca="false">E69-E68</f>
        <v>0</v>
      </c>
      <c r="F70" s="56" t="n">
        <f aca="false">F69-F68</f>
        <v>0</v>
      </c>
      <c r="G70" s="56" t="n">
        <f aca="false">G69-G68</f>
        <v>0</v>
      </c>
      <c r="H70" s="56" t="n">
        <f aca="false">H69-H68</f>
        <v>0</v>
      </c>
      <c r="I70" s="56" t="n">
        <f aca="false">I69-I68</f>
        <v>0</v>
      </c>
      <c r="J70" s="56" t="n">
        <f aca="false">J69-J68</f>
        <v>0</v>
      </c>
      <c r="K70" s="56" t="n">
        <f aca="false">K69-K68</f>
        <v>0</v>
      </c>
      <c r="L70" s="56" t="n">
        <f aca="false">L69-L68</f>
        <v>0</v>
      </c>
      <c r="M70" s="56" t="n">
        <f aca="false">M69-M68</f>
        <v>0</v>
      </c>
    </row>
    <row r="71" customFormat="false" ht="15" hidden="false" customHeight="true" outlineLevel="0" collapsed="false">
      <c r="A71" s="27" t="s">
        <v>283</v>
      </c>
      <c r="B71" s="7" t="s">
        <v>517</v>
      </c>
      <c r="C71" s="29" t="n">
        <v>0</v>
      </c>
      <c r="D71" s="29" t="n">
        <v>0</v>
      </c>
      <c r="E71" s="29" t="n">
        <v>0</v>
      </c>
      <c r="F71" s="29" t="n">
        <v>0</v>
      </c>
      <c r="G71" s="29" t="n">
        <v>0</v>
      </c>
      <c r="H71" s="29" t="n">
        <v>0</v>
      </c>
      <c r="I71" s="29" t="n">
        <v>0</v>
      </c>
      <c r="J71" s="29" t="n">
        <v>0</v>
      </c>
      <c r="K71" s="29" t="n">
        <v>0</v>
      </c>
      <c r="L71" s="29" t="n">
        <v>2</v>
      </c>
      <c r="M71" s="29" t="n">
        <v>2</v>
      </c>
    </row>
    <row r="72" customFormat="false" ht="15" hidden="false" customHeight="false" outlineLevel="0" collapsed="false">
      <c r="A72" s="27"/>
      <c r="B72" s="7" t="s">
        <v>518</v>
      </c>
      <c r="C72" s="29" t="n">
        <f aca="false">Malla_2027!E28</f>
        <v>0</v>
      </c>
      <c r="D72" s="29" t="n">
        <f aca="false">Malla_2027!F28</f>
        <v>0</v>
      </c>
      <c r="E72" s="29" t="n">
        <f aca="false">Malla_2027!G28</f>
        <v>0</v>
      </c>
      <c r="F72" s="29" t="n">
        <f aca="false">Malla_2027!H28</f>
        <v>0</v>
      </c>
      <c r="G72" s="29" t="n">
        <f aca="false">Malla_2027!I28</f>
        <v>0</v>
      </c>
      <c r="H72" s="29" t="n">
        <f aca="false">Malla_2027!J28</f>
        <v>0</v>
      </c>
      <c r="I72" s="29" t="n">
        <f aca="false">Malla_2027!K28</f>
        <v>0</v>
      </c>
      <c r="J72" s="29" t="n">
        <f aca="false">Malla_2027!L28</f>
        <v>0</v>
      </c>
      <c r="K72" s="29" t="n">
        <f aca="false">Malla_2027!M28</f>
        <v>0</v>
      </c>
      <c r="L72" s="29" t="n">
        <f aca="false">Malla_2027!N28</f>
        <v>2</v>
      </c>
      <c r="M72" s="29" t="n">
        <f aca="false">Malla_2027!O28</f>
        <v>2</v>
      </c>
    </row>
    <row r="73" customFormat="false" ht="15" hidden="false" customHeight="false" outlineLevel="0" collapsed="false">
      <c r="A73" s="27"/>
      <c r="B73" s="7" t="s">
        <v>287</v>
      </c>
      <c r="C73" s="56" t="n">
        <f aca="false">C72-C71</f>
        <v>0</v>
      </c>
      <c r="D73" s="56" t="n">
        <f aca="false">D72-D71</f>
        <v>0</v>
      </c>
      <c r="E73" s="56" t="n">
        <f aca="false">E72-E71</f>
        <v>0</v>
      </c>
      <c r="F73" s="56" t="n">
        <f aca="false">F72-F71</f>
        <v>0</v>
      </c>
      <c r="G73" s="56" t="n">
        <f aca="false">G72-G71</f>
        <v>0</v>
      </c>
      <c r="H73" s="56" t="n">
        <f aca="false">H72-H71</f>
        <v>0</v>
      </c>
      <c r="I73" s="56" t="n">
        <f aca="false">I72-I71</f>
        <v>0</v>
      </c>
      <c r="J73" s="56" t="n">
        <f aca="false">J72-J71</f>
        <v>0</v>
      </c>
      <c r="K73" s="56" t="n">
        <f aca="false">K72-K71</f>
        <v>0</v>
      </c>
      <c r="L73" s="56" t="n">
        <f aca="false">L72-L71</f>
        <v>0</v>
      </c>
      <c r="M73" s="56" t="n">
        <f aca="false">M72-M71</f>
        <v>0</v>
      </c>
    </row>
    <row r="75" customFormat="false" ht="15" hidden="false" customHeight="false" outlineLevel="0" collapsed="false">
      <c r="A75" s="51" t="s">
        <v>519</v>
      </c>
      <c r="C75" s="49" t="n">
        <v>35</v>
      </c>
      <c r="D75" s="49" t="n">
        <v>35</v>
      </c>
      <c r="E75" s="49" t="n">
        <v>35</v>
      </c>
      <c r="F75" s="49" t="n">
        <v>35</v>
      </c>
      <c r="G75" s="49" t="n">
        <v>35</v>
      </c>
      <c r="H75" s="49" t="n">
        <v>35</v>
      </c>
      <c r="I75" s="49" t="n">
        <v>35</v>
      </c>
      <c r="J75" s="49" t="n">
        <v>35</v>
      </c>
      <c r="K75" s="49" t="n">
        <v>35</v>
      </c>
      <c r="L75" s="49" t="n">
        <v>37</v>
      </c>
      <c r="M75" s="49" t="n">
        <v>37</v>
      </c>
    </row>
    <row r="76" customFormat="false" ht="15" hidden="false" customHeight="false" outlineLevel="0" collapsed="false">
      <c r="A76" s="51" t="s">
        <v>520</v>
      </c>
      <c r="C76" s="49" t="n">
        <f aca="false">Malla_2027!E30</f>
        <v>35</v>
      </c>
      <c r="D76" s="49" t="n">
        <f aca="false">Malla_2027!F30</f>
        <v>35</v>
      </c>
      <c r="E76" s="49" t="n">
        <f aca="false">Malla_2027!G30</f>
        <v>35</v>
      </c>
      <c r="F76" s="49" t="n">
        <f aca="false">Malla_2027!H30</f>
        <v>35</v>
      </c>
      <c r="G76" s="49" t="n">
        <f aca="false">Malla_2027!I30</f>
        <v>35</v>
      </c>
      <c r="H76" s="49" t="n">
        <f aca="false">Malla_2027!J30</f>
        <v>35</v>
      </c>
      <c r="I76" s="49" t="n">
        <f aca="false">Malla_2027!K30</f>
        <v>35</v>
      </c>
      <c r="J76" s="49" t="n">
        <f aca="false">Malla_2027!L30</f>
        <v>35</v>
      </c>
      <c r="K76" s="49" t="n">
        <f aca="false">Malla_2027!M30</f>
        <v>35</v>
      </c>
      <c r="L76" s="49" t="n">
        <f aca="false">Malla_2027!N30</f>
        <v>37</v>
      </c>
      <c r="M76" s="49" t="n">
        <f aca="false">Malla_2027!O30</f>
        <v>37</v>
      </c>
    </row>
  </sheetData>
  <mergeCells count="23"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</mergeCells>
  <conditionalFormatting sqref="C5:M77">
    <cfRule type="expression" priority="2" aboveAverage="0" equalAverage="0" bottom="0" percent="0" rank="0" text="" dxfId="6">
      <formula>AND(ISNUMBER(C5),$B5="Diferencia",C5&gt;0)</formula>
    </cfRule>
    <cfRule type="expression" priority="3" aboveAverage="0" equalAverage="0" bottom="0" percent="0" rank="0" text="" dxfId="7">
      <formula>AND(ISNUMBER(C5),$B5="Diferencia",C5&lt;0)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10" t="s">
        <v>521</v>
      </c>
    </row>
    <row r="2" customFormat="false" ht="15" hidden="false" customHeight="false" outlineLevel="0" collapsed="false">
      <c r="A2" s="11" t="s">
        <v>34</v>
      </c>
    </row>
    <row r="3" customFormat="false" ht="42" hidden="false" customHeight="true" outlineLevel="0" collapsed="false">
      <c r="A3" s="24" t="s">
        <v>522</v>
      </c>
      <c r="B3" s="24"/>
      <c r="C3" s="24"/>
      <c r="D3" s="24"/>
      <c r="E3" s="24"/>
      <c r="F3" s="24"/>
      <c r="G3" s="24"/>
      <c r="H3" s="24"/>
      <c r="I3" s="24"/>
      <c r="J3" s="24"/>
    </row>
    <row r="5" customFormat="false" ht="46.25" hidden="false" customHeight="false" outlineLevel="0" collapsed="false">
      <c r="A5" s="12" t="s">
        <v>523</v>
      </c>
      <c r="B5" s="12" t="s">
        <v>524</v>
      </c>
      <c r="C5" s="12" t="s">
        <v>525</v>
      </c>
      <c r="D5" s="12" t="s">
        <v>526</v>
      </c>
      <c r="E5" s="12" t="s">
        <v>527</v>
      </c>
      <c r="F5" s="12" t="s">
        <v>528</v>
      </c>
      <c r="G5" s="12" t="s">
        <v>529</v>
      </c>
      <c r="H5" s="12" t="s">
        <v>530</v>
      </c>
      <c r="I5" s="12" t="s">
        <v>531</v>
      </c>
      <c r="J5" s="12" t="s">
        <v>532</v>
      </c>
    </row>
    <row r="6" customFormat="false" ht="15" hidden="false" customHeight="false" outlineLevel="0" collapsed="false">
      <c r="A6" s="27" t="s">
        <v>533</v>
      </c>
      <c r="B6" s="26" t="n">
        <v>64.8</v>
      </c>
      <c r="C6" s="26" t="n">
        <v>64.9</v>
      </c>
      <c r="D6" s="26" t="n">
        <v>62.9</v>
      </c>
      <c r="E6" s="57" t="n">
        <f aca="false">D6-B6</f>
        <v>-1.9</v>
      </c>
      <c r="F6" s="26" t="n">
        <v>3</v>
      </c>
      <c r="G6" s="57" t="n">
        <f aca="false">5/13*F6*E6</f>
        <v>-2.19230769230769</v>
      </c>
      <c r="H6" s="54" t="n">
        <f aca="false">G6/$G$11</f>
        <v>0.112204724409449</v>
      </c>
      <c r="I6" s="26" t="n">
        <f aca="false">SUM(Malla_2027!J18:M18)+SUM(Malla_2027!J11:M11)</f>
        <v>20</v>
      </c>
      <c r="J6" s="26" t="n">
        <f aca="false">SUM(Malla_2027!N18:O18)+SUM(Malla_2027!N11:O11)</f>
        <v>12</v>
      </c>
    </row>
    <row r="7" customFormat="false" ht="15" hidden="false" customHeight="false" outlineLevel="0" collapsed="false">
      <c r="A7" s="27" t="s">
        <v>257</v>
      </c>
      <c r="B7" s="26" t="n">
        <v>65.6</v>
      </c>
      <c r="C7" s="26" t="n">
        <v>61.9</v>
      </c>
      <c r="D7" s="26" t="n">
        <v>60.3</v>
      </c>
      <c r="E7" s="57" t="n">
        <f aca="false">D7-B7</f>
        <v>-5.3</v>
      </c>
      <c r="F7" s="26" t="n">
        <v>3</v>
      </c>
      <c r="G7" s="57" t="n">
        <f aca="false">5/13*F7*E7</f>
        <v>-6.11538461538461</v>
      </c>
      <c r="H7" s="54" t="n">
        <f aca="false">G7/$G$11</f>
        <v>0.312992125984252</v>
      </c>
      <c r="I7" s="26" t="n">
        <f aca="false">SUM(Malla_2027!J20:M20)+SUM(Malla_2027!J21:M21)+SUM(Malla_2027!J22:M22)+SUM(Malla_2027!J23:M23)</f>
        <v>20</v>
      </c>
      <c r="J7" s="26" t="n">
        <f aca="false">SUM(Malla_2027!N20:O20)+SUM(Malla_2027!N21:O21)+SUM(Malla_2027!N22:O22)+SUM(Malla_2027!N23:O23)</f>
        <v>6</v>
      </c>
    </row>
    <row r="8" customFormat="false" ht="15" hidden="false" customHeight="false" outlineLevel="0" collapsed="false">
      <c r="A8" s="27" t="s">
        <v>534</v>
      </c>
      <c r="B8" s="26" t="n">
        <v>63.6</v>
      </c>
      <c r="C8" s="26" t="n">
        <v>62.1</v>
      </c>
      <c r="D8" s="26" t="n">
        <v>59.6</v>
      </c>
      <c r="E8" s="57" t="n">
        <f aca="false">D8-B8</f>
        <v>-4</v>
      </c>
      <c r="F8" s="26" t="n">
        <v>3</v>
      </c>
      <c r="G8" s="57" t="n">
        <f aca="false">5/13*F8*E8</f>
        <v>-4.61538461538462</v>
      </c>
      <c r="H8" s="54" t="n">
        <f aca="false">G8/$G$11</f>
        <v>0.236220472440945</v>
      </c>
      <c r="I8" s="26" t="n">
        <f aca="false">SUM(Malla_2027!J6:M6)+SUM(Malla_2027!J7:M7)+SUM(Malla_2027!J8:M8)</f>
        <v>16</v>
      </c>
      <c r="J8" s="26" t="n">
        <f aca="false">SUM(Malla_2027!N6:O6)+SUM(Malla_2027!N7:O7)+SUM(Malla_2027!N8:O8)</f>
        <v>12</v>
      </c>
    </row>
    <row r="9" customFormat="false" ht="15" hidden="false" customHeight="false" outlineLevel="0" collapsed="false">
      <c r="A9" s="27" t="s">
        <v>535</v>
      </c>
      <c r="B9" s="26" t="n">
        <v>63.4</v>
      </c>
      <c r="C9" s="26" t="n">
        <v>60.9</v>
      </c>
      <c r="D9" s="26" t="n">
        <v>58.4</v>
      </c>
      <c r="E9" s="57" t="n">
        <f aca="false">D9-B9</f>
        <v>-5</v>
      </c>
      <c r="F9" s="26" t="n">
        <v>3</v>
      </c>
      <c r="G9" s="57" t="n">
        <f aca="false">5/13*F9*E9</f>
        <v>-5.76923076923077</v>
      </c>
      <c r="H9" s="54" t="n">
        <f aca="false">G9/$G$11</f>
        <v>0.295275590551181</v>
      </c>
      <c r="I9" s="26" t="n">
        <f aca="false">SUM(Malla_2027!J9:M9)+SUM(Malla_2027!J10:M10)</f>
        <v>20</v>
      </c>
      <c r="J9" s="26" t="n">
        <f aca="false">SUM(Malla_2027!N9:O9)+SUM(Malla_2027!N10:O10)</f>
        <v>4</v>
      </c>
    </row>
    <row r="10" customFormat="false" ht="15" hidden="false" customHeight="false" outlineLevel="0" collapsed="false">
      <c r="A10" s="27" t="s">
        <v>255</v>
      </c>
      <c r="B10" s="26" t="n">
        <v>71.4</v>
      </c>
      <c r="C10" s="26" t="n">
        <v>71.9</v>
      </c>
      <c r="D10" s="26" t="n">
        <v>69.2</v>
      </c>
      <c r="E10" s="57" t="n">
        <f aca="false">D10-B10</f>
        <v>-2.2</v>
      </c>
      <c r="F10" s="26" t="n">
        <v>1</v>
      </c>
      <c r="G10" s="57" t="n">
        <f aca="false">5/13*F10*E10</f>
        <v>-0.846153846153847</v>
      </c>
      <c r="H10" s="54" t="n">
        <f aca="false">G10/$G$11</f>
        <v>0.0433070866141733</v>
      </c>
      <c r="I10" s="26" t="n">
        <f aca="false">SUM(Malla_2027!J19:M19)</f>
        <v>16</v>
      </c>
      <c r="J10" s="26" t="n">
        <f aca="false">SUM(Malla_2027!N19:O19)</f>
        <v>10</v>
      </c>
    </row>
    <row r="11" customFormat="false" ht="15" hidden="false" customHeight="false" outlineLevel="0" collapsed="false">
      <c r="A11" s="20" t="s">
        <v>536</v>
      </c>
      <c r="B11" s="21"/>
      <c r="C11" s="21"/>
      <c r="D11" s="21"/>
      <c r="E11" s="21"/>
      <c r="F11" s="21"/>
      <c r="G11" s="22" t="n">
        <f aca="false">SUM(G6:G10)</f>
        <v>-19.5384615384615</v>
      </c>
      <c r="H11" s="58" t="n">
        <f aca="false">SUM(H6:H10)</f>
        <v>1</v>
      </c>
      <c r="I11" s="21"/>
      <c r="J11" s="21"/>
    </row>
    <row r="12" customFormat="false" ht="15" hidden="false" customHeight="false" outlineLevel="0" collapsed="false">
      <c r="A12" s="21" t="s">
        <v>537</v>
      </c>
      <c r="B12" s="21" t="n">
        <v>324.6</v>
      </c>
      <c r="C12" s="21" t="n">
        <v>316</v>
      </c>
      <c r="D12" s="21" t="n">
        <v>304.8</v>
      </c>
      <c r="E12" s="22" t="n">
        <f aca="false">D12-B12</f>
        <v>-19.8</v>
      </c>
      <c r="F12" s="21"/>
      <c r="G12" s="21"/>
      <c r="H12" s="21"/>
      <c r="I12" s="21"/>
      <c r="J12" s="21"/>
    </row>
    <row r="13" customFormat="false" ht="15" hidden="false" customHeight="false" outlineLevel="0" collapsed="false">
      <c r="A13" s="21" t="s">
        <v>538</v>
      </c>
      <c r="B13" s="22" t="n">
        <f aca="false">5*SUMPRODUCT(B6:B10,$F$6:$F$10)/13</f>
        <v>324.461538461538</v>
      </c>
      <c r="C13" s="22" t="n">
        <f aca="false">5*SUMPRODUCT(C6:C10,$F$6:$F$10)/13</f>
        <v>315.884615384615</v>
      </c>
      <c r="D13" s="22" t="n">
        <f aca="false">5*SUMPRODUCT(D6:D10,$F$6:$F$10)/13</f>
        <v>304.923076923077</v>
      </c>
      <c r="E13" s="21"/>
      <c r="F13" s="21"/>
      <c r="G13" s="21"/>
      <c r="H13" s="21"/>
      <c r="I13" s="21"/>
      <c r="J13" s="21"/>
    </row>
    <row r="14" customFormat="false" ht="15" hidden="false" customHeight="true" outlineLevel="0" collapsed="false">
      <c r="A14" s="55" t="s">
        <v>539</v>
      </c>
      <c r="B14" s="55"/>
      <c r="C14" s="55"/>
      <c r="D14" s="55"/>
      <c r="E14" s="55"/>
      <c r="F14" s="55"/>
      <c r="G14" s="55"/>
      <c r="H14" s="55"/>
      <c r="I14" s="55"/>
      <c r="J14" s="55"/>
    </row>
    <row r="15" customFormat="false" ht="15" hidden="false" customHeight="false" outlineLevel="0" collapsed="false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7" customFormat="false" ht="57.45" hidden="false" customHeight="false" outlineLevel="0" collapsed="false">
      <c r="A17" s="14" t="s">
        <v>197</v>
      </c>
      <c r="B17" s="14" t="s">
        <v>540</v>
      </c>
      <c r="C17" s="14" t="s">
        <v>541</v>
      </c>
    </row>
    <row r="18" customFormat="false" ht="48" hidden="false" customHeight="true" outlineLevel="0" collapsed="false">
      <c r="A18" s="27" t="s">
        <v>542</v>
      </c>
      <c r="B18" s="27" t="s">
        <v>543</v>
      </c>
      <c r="C18" s="27" t="s">
        <v>544</v>
      </c>
      <c r="D18" s="27"/>
      <c r="E18" s="27"/>
      <c r="F18" s="27"/>
      <c r="G18" s="27"/>
      <c r="H18" s="27"/>
      <c r="I18" s="27"/>
      <c r="J18" s="27"/>
    </row>
    <row r="19" customFormat="false" ht="48" hidden="false" customHeight="true" outlineLevel="0" collapsed="false">
      <c r="A19" s="27" t="s">
        <v>545</v>
      </c>
      <c r="B19" s="27" t="s">
        <v>546</v>
      </c>
      <c r="C19" s="27" t="s">
        <v>547</v>
      </c>
      <c r="D19" s="27"/>
      <c r="E19" s="27"/>
      <c r="F19" s="27"/>
      <c r="G19" s="27"/>
      <c r="H19" s="27"/>
      <c r="I19" s="27"/>
      <c r="J19" s="27"/>
    </row>
    <row r="20" customFormat="false" ht="48" hidden="false" customHeight="true" outlineLevel="0" collapsed="false">
      <c r="A20" s="27" t="s">
        <v>548</v>
      </c>
      <c r="B20" s="27" t="s">
        <v>549</v>
      </c>
      <c r="C20" s="27" t="s">
        <v>550</v>
      </c>
      <c r="D20" s="27"/>
      <c r="E20" s="27"/>
      <c r="F20" s="27"/>
      <c r="G20" s="27"/>
      <c r="H20" s="27"/>
      <c r="I20" s="27"/>
      <c r="J20" s="27"/>
    </row>
    <row r="21" customFormat="false" ht="48" hidden="false" customHeight="true" outlineLevel="0" collapsed="false">
      <c r="A21" s="27" t="s">
        <v>551</v>
      </c>
      <c r="B21" s="27" t="s">
        <v>552</v>
      </c>
      <c r="C21" s="27" t="s">
        <v>553</v>
      </c>
      <c r="D21" s="27"/>
      <c r="E21" s="27"/>
      <c r="F21" s="27"/>
      <c r="G21" s="27"/>
      <c r="H21" s="27"/>
      <c r="I21" s="27"/>
      <c r="J21" s="27"/>
    </row>
    <row r="22" customFormat="false" ht="48" hidden="false" customHeight="true" outlineLevel="0" collapsed="false">
      <c r="A22" s="27" t="s">
        <v>554</v>
      </c>
      <c r="B22" s="27" t="s">
        <v>555</v>
      </c>
      <c r="C22" s="27" t="s">
        <v>556</v>
      </c>
      <c r="D22" s="27"/>
      <c r="E22" s="27"/>
      <c r="F22" s="27"/>
      <c r="G22" s="27"/>
      <c r="H22" s="27"/>
      <c r="I22" s="27"/>
      <c r="J22" s="27"/>
    </row>
    <row r="23" customFormat="false" ht="48" hidden="false" customHeight="true" outlineLevel="0" collapsed="false">
      <c r="A23" s="27" t="s">
        <v>557</v>
      </c>
      <c r="B23" s="27" t="s">
        <v>558</v>
      </c>
      <c r="C23" s="27" t="s">
        <v>559</v>
      </c>
      <c r="D23" s="27"/>
      <c r="E23" s="27"/>
      <c r="F23" s="27"/>
      <c r="G23" s="27"/>
      <c r="H23" s="27"/>
      <c r="I23" s="27"/>
      <c r="J23" s="27"/>
    </row>
    <row r="24" customFormat="false" ht="48" hidden="false" customHeight="true" outlineLevel="0" collapsed="false">
      <c r="A24" s="27" t="s">
        <v>560</v>
      </c>
      <c r="B24" s="27" t="s">
        <v>561</v>
      </c>
      <c r="C24" s="27" t="s">
        <v>562</v>
      </c>
      <c r="D24" s="27"/>
      <c r="E24" s="27"/>
      <c r="F24" s="27"/>
      <c r="G24" s="27"/>
      <c r="H24" s="27"/>
      <c r="I24" s="27"/>
      <c r="J24" s="27"/>
    </row>
  </sheetData>
  <mergeCells count="9">
    <mergeCell ref="A3:J3"/>
    <mergeCell ref="A14:J15"/>
    <mergeCell ref="C18:J18"/>
    <mergeCell ref="C19:J19"/>
    <mergeCell ref="C20:J20"/>
    <mergeCell ref="C21:J21"/>
    <mergeCell ref="C22:J22"/>
    <mergeCell ref="C23:J23"/>
    <mergeCell ref="C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8"/>
  </cols>
  <sheetData>
    <row r="1" customFormat="false" ht="17.35" hidden="false" customHeight="false" outlineLevel="0" collapsed="false">
      <c r="A1" s="10" t="s">
        <v>563</v>
      </c>
    </row>
    <row r="2" customFormat="false" ht="15" hidden="false" customHeight="false" outlineLevel="0" collapsed="false">
      <c r="A2" s="11" t="s">
        <v>34</v>
      </c>
    </row>
    <row r="4" customFormat="false" ht="15" hidden="false" customHeight="false" outlineLevel="0" collapsed="false">
      <c r="A4" s="12" t="s">
        <v>564</v>
      </c>
      <c r="B4" s="12" t="s">
        <v>333</v>
      </c>
      <c r="C4" s="12" t="s">
        <v>200</v>
      </c>
      <c r="D4" s="12" t="s">
        <v>201</v>
      </c>
      <c r="E4" s="12" t="s">
        <v>202</v>
      </c>
      <c r="F4" s="12" t="s">
        <v>203</v>
      </c>
      <c r="G4" s="12" t="s">
        <v>204</v>
      </c>
      <c r="H4" s="12" t="s">
        <v>205</v>
      </c>
      <c r="I4" s="12" t="s">
        <v>206</v>
      </c>
      <c r="J4" s="12" t="s">
        <v>207</v>
      </c>
      <c r="K4" s="12" t="s">
        <v>208</v>
      </c>
      <c r="L4" s="12" t="s">
        <v>209</v>
      </c>
      <c r="M4" s="12" t="s">
        <v>210</v>
      </c>
    </row>
    <row r="5" customFormat="false" ht="15" hidden="false" customHeight="false" outlineLevel="0" collapsed="false">
      <c r="A5" s="7" t="s">
        <v>267</v>
      </c>
      <c r="B5" s="26" t="n">
        <f aca="false">Malla_2027!E67</f>
        <v>3</v>
      </c>
      <c r="C5" s="26" t="n">
        <f aca="false">Malla_2027!E24</f>
        <v>3</v>
      </c>
      <c r="D5" s="26" t="n">
        <f aca="false">Malla_2027!F24</f>
        <v>3</v>
      </c>
      <c r="E5" s="26" t="n">
        <f aca="false">Malla_2027!G24</f>
        <v>3</v>
      </c>
      <c r="F5" s="26" t="n">
        <f aca="false">Malla_2027!H24</f>
        <v>3</v>
      </c>
      <c r="G5" s="26" t="n">
        <f aca="false">Malla_2027!I24</f>
        <v>3</v>
      </c>
      <c r="H5" s="26" t="n">
        <f aca="false">Malla_2027!J24</f>
        <v>3</v>
      </c>
      <c r="I5" s="26" t="n">
        <f aca="false">Malla_2027!K24</f>
        <v>3</v>
      </c>
      <c r="J5" s="26" t="n">
        <f aca="false">Malla_2027!L24</f>
        <v>3</v>
      </c>
      <c r="K5" s="26" t="n">
        <f aca="false">Malla_2027!M24</f>
        <v>3</v>
      </c>
      <c r="L5" s="26" t="n">
        <f aca="false">Malla_2027!N24</f>
        <v>3</v>
      </c>
      <c r="M5" s="26" t="n">
        <f aca="false">Malla_2027!O24</f>
        <v>3</v>
      </c>
    </row>
    <row r="6" customFormat="false" ht="15" hidden="false" customHeight="false" outlineLevel="0" collapsed="false">
      <c r="A6" s="7" t="s">
        <v>565</v>
      </c>
      <c r="B6" s="26" t="n">
        <f aca="false">0</f>
        <v>0</v>
      </c>
      <c r="C6" s="26" t="n">
        <f aca="false">Malla_2027!E27+Malla_2027!E28</f>
        <v>0</v>
      </c>
      <c r="D6" s="26" t="n">
        <f aca="false">Malla_2027!F27+Malla_2027!F28</f>
        <v>0</v>
      </c>
      <c r="E6" s="26" t="n">
        <f aca="false">Malla_2027!G27+Malla_2027!G28</f>
        <v>0</v>
      </c>
      <c r="F6" s="26" t="n">
        <f aca="false">Malla_2027!H27+Malla_2027!H28</f>
        <v>0</v>
      </c>
      <c r="G6" s="26" t="n">
        <f aca="false">Malla_2027!I27+Malla_2027!I28</f>
        <v>0</v>
      </c>
      <c r="H6" s="26" t="n">
        <f aca="false">Malla_2027!J27+Malla_2027!J28</f>
        <v>0</v>
      </c>
      <c r="I6" s="26" t="n">
        <f aca="false">Malla_2027!K27+Malla_2027!K28</f>
        <v>0</v>
      </c>
      <c r="J6" s="26" t="n">
        <f aca="false">Malla_2027!L27+Malla_2027!L28</f>
        <v>0</v>
      </c>
      <c r="K6" s="26" t="n">
        <f aca="false">Malla_2027!M27+Malla_2027!M28</f>
        <v>0</v>
      </c>
      <c r="L6" s="26" t="n">
        <f aca="false">Malla_2027!N27+Malla_2027!N28</f>
        <v>4</v>
      </c>
      <c r="M6" s="26" t="n">
        <f aca="false">Malla_2027!O27+Malla_2027!O28</f>
        <v>4</v>
      </c>
    </row>
    <row r="7" customFormat="false" ht="15" hidden="false" customHeight="false" outlineLevel="0" collapsed="false">
      <c r="A7" s="52" t="s">
        <v>566</v>
      </c>
      <c r="B7" s="47" t="n">
        <f aca="false">SUM(B5:B6)</f>
        <v>3</v>
      </c>
      <c r="C7" s="47" t="n">
        <f aca="false">SUM(C5:C6)</f>
        <v>3</v>
      </c>
      <c r="D7" s="47" t="n">
        <f aca="false">SUM(D5:D6)</f>
        <v>3</v>
      </c>
      <c r="E7" s="47" t="n">
        <f aca="false">SUM(E5:E6)</f>
        <v>3</v>
      </c>
      <c r="F7" s="47" t="n">
        <f aca="false">SUM(F5:F6)</f>
        <v>3</v>
      </c>
      <c r="G7" s="47" t="n">
        <f aca="false">SUM(G5:G6)</f>
        <v>3</v>
      </c>
      <c r="H7" s="47" t="n">
        <f aca="false">SUM(H5:H6)</f>
        <v>3</v>
      </c>
      <c r="I7" s="47" t="n">
        <f aca="false">SUM(I5:I6)</f>
        <v>3</v>
      </c>
      <c r="J7" s="47" t="n">
        <f aca="false">SUM(J5:J6)</f>
        <v>3</v>
      </c>
      <c r="K7" s="47" t="n">
        <f aca="false">SUM(K5:K6)</f>
        <v>3</v>
      </c>
      <c r="L7" s="47" t="n">
        <f aca="false">SUM(L5:L6)</f>
        <v>7</v>
      </c>
      <c r="M7" s="47" t="n">
        <f aca="false">SUM(M5:M6)</f>
        <v>7</v>
      </c>
    </row>
    <row r="8" customFormat="false" ht="15" hidden="false" customHeight="false" outlineLevel="0" collapsed="false">
      <c r="A8" s="52" t="s">
        <v>567</v>
      </c>
      <c r="B8" s="59" t="n">
        <f aca="false">B7/Malla_2027!E70</f>
        <v>0.0857142857142857</v>
      </c>
      <c r="C8" s="59" t="n">
        <f aca="false">C7/Malla_2027!E30</f>
        <v>0.0857142857142857</v>
      </c>
      <c r="D8" s="59" t="n">
        <f aca="false">D7/Malla_2027!F30</f>
        <v>0.0857142857142857</v>
      </c>
      <c r="E8" s="59" t="n">
        <f aca="false">E7/Malla_2027!G30</f>
        <v>0.0857142857142857</v>
      </c>
      <c r="F8" s="59" t="n">
        <f aca="false">F7/Malla_2027!H30</f>
        <v>0.0857142857142857</v>
      </c>
      <c r="G8" s="59" t="n">
        <f aca="false">G7/Malla_2027!I30</f>
        <v>0.0857142857142857</v>
      </c>
      <c r="H8" s="59" t="n">
        <f aca="false">H7/Malla_2027!J30</f>
        <v>0.0857142857142857</v>
      </c>
      <c r="I8" s="59" t="n">
        <f aca="false">I7/Malla_2027!K30</f>
        <v>0.0857142857142857</v>
      </c>
      <c r="J8" s="59" t="n">
        <f aca="false">J7/Malla_2027!L30</f>
        <v>0.0857142857142857</v>
      </c>
      <c r="K8" s="59" t="n">
        <f aca="false">K7/Malla_2027!M30</f>
        <v>0.0857142857142857</v>
      </c>
      <c r="L8" s="59" t="n">
        <f aca="false">L7/Malla_2027!N30</f>
        <v>0.189189189189189</v>
      </c>
      <c r="M8" s="59" t="n">
        <f aca="false">M7/Malla_2027!O30</f>
        <v>0.189189189189189</v>
      </c>
    </row>
    <row r="9" customFormat="false" ht="15" hidden="false" customHeight="false" outlineLevel="0" collapsed="false">
      <c r="A9" s="52" t="s">
        <v>568</v>
      </c>
      <c r="B9" s="47" t="n">
        <f aca="false">ROUNDDOWN((Malla_2027!E70-B7)*Parametros!$C$26,1)</f>
        <v>6.4</v>
      </c>
      <c r="C9" s="47" t="n">
        <f aca="false">ROUNDDOWN((Malla_2027!E30-C7)*Parametros!$C$26,1)</f>
        <v>6.4</v>
      </c>
      <c r="D9" s="47" t="n">
        <f aca="false">ROUNDDOWN((Malla_2027!F30-D7)*Parametros!$C$26,1)</f>
        <v>6.4</v>
      </c>
      <c r="E9" s="47" t="n">
        <f aca="false">ROUNDDOWN((Malla_2027!G30-E7)*Parametros!$C$26,1)</f>
        <v>6.4</v>
      </c>
      <c r="F9" s="47" t="n">
        <f aca="false">ROUNDDOWN((Malla_2027!H30-F7)*Parametros!$C$26,1)</f>
        <v>6.4</v>
      </c>
      <c r="G9" s="47" t="n">
        <f aca="false">ROUNDDOWN((Malla_2027!I30-G7)*Parametros!$C$26,1)</f>
        <v>6.4</v>
      </c>
      <c r="H9" s="47" t="n">
        <f aca="false">ROUNDDOWN((Malla_2027!J30-H7)*Parametros!$C$26,1)</f>
        <v>6.4</v>
      </c>
      <c r="I9" s="47" t="n">
        <f aca="false">ROUNDDOWN((Malla_2027!K30-I7)*Parametros!$C$26,1)</f>
        <v>6.4</v>
      </c>
      <c r="J9" s="47" t="n">
        <f aca="false">ROUNDDOWN((Malla_2027!L30-J7)*Parametros!$C$26,1)</f>
        <v>6.4</v>
      </c>
      <c r="K9" s="47" t="n">
        <f aca="false">ROUNDDOWN((Malla_2027!M30-K7)*Parametros!$C$26,1)</f>
        <v>6.4</v>
      </c>
      <c r="L9" s="47" t="n">
        <f aca="false">ROUNDDOWN((Malla_2027!N30-L7)*Parametros!$C$26,1)</f>
        <v>6</v>
      </c>
      <c r="M9" s="47" t="n">
        <f aca="false">ROUNDDOWN((Malla_2027!O30-M7)*Parametros!$C$26,1)</f>
        <v>6</v>
      </c>
    </row>
    <row r="13" customFormat="false" ht="46.25" hidden="false" customHeight="false" outlineLevel="0" collapsed="false">
      <c r="A13" s="14" t="s">
        <v>569</v>
      </c>
      <c r="B13" s="14" t="s">
        <v>570</v>
      </c>
    </row>
    <row r="14" customFormat="false" ht="33.75" hidden="false" customHeight="true" outlineLevel="0" collapsed="false">
      <c r="A14" s="7" t="s">
        <v>571</v>
      </c>
      <c r="B14" s="27" t="s">
        <v>572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customFormat="false" ht="33.75" hidden="false" customHeight="true" outlineLevel="0" collapsed="false">
      <c r="A15" s="7" t="s">
        <v>573</v>
      </c>
      <c r="B15" s="27" t="s">
        <v>574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customFormat="false" ht="33.75" hidden="false" customHeight="true" outlineLevel="0" collapsed="false">
      <c r="A16" s="7" t="s">
        <v>575</v>
      </c>
      <c r="B16" s="27" t="s">
        <v>576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customFormat="false" ht="33.75" hidden="false" customHeight="true" outlineLevel="0" collapsed="false">
      <c r="A17" s="7" t="s">
        <v>577</v>
      </c>
      <c r="B17" s="27" t="s">
        <v>578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customFormat="false" ht="33.75" hidden="false" customHeight="true" outlineLevel="0" collapsed="false">
      <c r="A18" s="7" t="s">
        <v>579</v>
      </c>
      <c r="B18" s="27" t="s">
        <v>580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</sheetData>
  <mergeCells count="5">
    <mergeCell ref="B14:M14"/>
    <mergeCell ref="B15:M15"/>
    <mergeCell ref="B16:M16"/>
    <mergeCell ref="B17:M17"/>
    <mergeCell ref="B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0" t="s">
        <v>581</v>
      </c>
    </row>
    <row r="2" customFormat="false" ht="15" hidden="false" customHeight="false" outlineLevel="0" collapsed="false">
      <c r="A2" s="11" t="s">
        <v>34</v>
      </c>
    </row>
    <row r="4" customFormat="false" ht="23.85" hidden="false" customHeight="false" outlineLevel="0" collapsed="false">
      <c r="A4" s="12" t="s">
        <v>197</v>
      </c>
      <c r="B4" s="12" t="s">
        <v>582</v>
      </c>
      <c r="C4" s="12" t="s">
        <v>583</v>
      </c>
      <c r="D4" s="12" t="s">
        <v>584</v>
      </c>
      <c r="E4" s="12" t="s">
        <v>585</v>
      </c>
    </row>
    <row r="5" customFormat="false" ht="41.75" hidden="false" customHeight="false" outlineLevel="0" collapsed="false">
      <c r="A5" s="27" t="s">
        <v>586</v>
      </c>
      <c r="B5" s="27" t="s">
        <v>587</v>
      </c>
      <c r="C5" s="27" t="s">
        <v>588</v>
      </c>
      <c r="D5" s="27" t="s">
        <v>589</v>
      </c>
      <c r="E5" s="27" t="s">
        <v>590</v>
      </c>
    </row>
    <row r="6" customFormat="false" ht="15" hidden="false" customHeight="false" outlineLevel="0" collapsed="false">
      <c r="A6" s="27" t="s">
        <v>591</v>
      </c>
      <c r="B6" s="27" t="s">
        <v>220</v>
      </c>
      <c r="C6" s="27" t="s">
        <v>592</v>
      </c>
      <c r="D6" s="27" t="s">
        <v>593</v>
      </c>
      <c r="E6" s="27" t="s">
        <v>594</v>
      </c>
    </row>
    <row r="7" customFormat="false" ht="41.75" hidden="false" customHeight="false" outlineLevel="0" collapsed="false">
      <c r="A7" s="27" t="s">
        <v>595</v>
      </c>
      <c r="B7" s="27" t="s">
        <v>596</v>
      </c>
      <c r="C7" s="27" t="s">
        <v>597</v>
      </c>
      <c r="D7" s="27" t="s">
        <v>598</v>
      </c>
      <c r="E7" s="27" t="s">
        <v>590</v>
      </c>
    </row>
    <row r="8" customFormat="false" ht="28.35" hidden="false" customHeight="false" outlineLevel="0" collapsed="false">
      <c r="A8" s="27" t="s">
        <v>599</v>
      </c>
      <c r="B8" s="27" t="s">
        <v>600</v>
      </c>
      <c r="C8" s="27" t="s">
        <v>601</v>
      </c>
      <c r="D8" s="27" t="s">
        <v>602</v>
      </c>
      <c r="E8" s="27" t="s">
        <v>590</v>
      </c>
    </row>
    <row r="9" customFormat="false" ht="41.75" hidden="false" customHeight="false" outlineLevel="0" collapsed="false">
      <c r="A9" s="27" t="s">
        <v>603</v>
      </c>
      <c r="B9" s="27" t="s">
        <v>604</v>
      </c>
      <c r="C9" s="27" t="s">
        <v>605</v>
      </c>
      <c r="D9" s="27" t="s">
        <v>606</v>
      </c>
      <c r="E9" s="27" t="s">
        <v>607</v>
      </c>
    </row>
    <row r="10" customFormat="false" ht="15" hidden="false" customHeight="false" outlineLevel="0" collapsed="false">
      <c r="A10" s="27" t="s">
        <v>608</v>
      </c>
      <c r="B10" s="27" t="s">
        <v>117</v>
      </c>
      <c r="C10" s="27" t="s">
        <v>609</v>
      </c>
      <c r="D10" s="27" t="s">
        <v>610</v>
      </c>
      <c r="E10" s="27" t="s">
        <v>611</v>
      </c>
    </row>
    <row r="11" customFormat="false" ht="41.75" hidden="false" customHeight="false" outlineLevel="0" collapsed="false">
      <c r="A11" s="27" t="s">
        <v>612</v>
      </c>
      <c r="B11" s="27" t="s">
        <v>79</v>
      </c>
      <c r="C11" s="27" t="s">
        <v>613</v>
      </c>
      <c r="D11" s="27" t="s">
        <v>614</v>
      </c>
      <c r="E11" s="27" t="s">
        <v>615</v>
      </c>
    </row>
    <row r="12" customFormat="false" ht="28.35" hidden="false" customHeight="false" outlineLevel="0" collapsed="false">
      <c r="A12" s="27" t="s">
        <v>616</v>
      </c>
      <c r="B12" s="27" t="s">
        <v>617</v>
      </c>
      <c r="C12" s="27" t="s">
        <v>618</v>
      </c>
      <c r="D12" s="27" t="s">
        <v>619</v>
      </c>
      <c r="E12" s="27" t="s">
        <v>620</v>
      </c>
    </row>
    <row r="13" customFormat="false" ht="15" hidden="false" customHeight="false" outlineLevel="0" collapsed="false">
      <c r="A13" s="27" t="s">
        <v>621</v>
      </c>
      <c r="B13" s="27" t="s">
        <v>275</v>
      </c>
      <c r="C13" s="27" t="s">
        <v>622</v>
      </c>
      <c r="D13" s="27" t="s">
        <v>623</v>
      </c>
      <c r="E13" s="27" t="s">
        <v>624</v>
      </c>
    </row>
    <row r="14" customFormat="false" ht="41.75" hidden="false" customHeight="false" outlineLevel="0" collapsed="false">
      <c r="A14" s="27" t="s">
        <v>625</v>
      </c>
      <c r="B14" s="27" t="s">
        <v>626</v>
      </c>
      <c r="C14" s="27" t="s">
        <v>627</v>
      </c>
      <c r="D14" s="27" t="s">
        <v>628</v>
      </c>
      <c r="E14" s="27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0" t="s">
        <v>629</v>
      </c>
    </row>
    <row r="2" customFormat="false" ht="15" hidden="false" customHeight="false" outlineLevel="0" collapsed="false">
      <c r="A2" s="11" t="s">
        <v>630</v>
      </c>
    </row>
    <row r="4" customFormat="false" ht="15" hidden="false" customHeight="false" outlineLevel="0" collapsed="false">
      <c r="A4" s="12" t="s">
        <v>631</v>
      </c>
      <c r="B4" s="12" t="s">
        <v>632</v>
      </c>
      <c r="C4" s="12" t="s">
        <v>633</v>
      </c>
      <c r="D4" s="12" t="s">
        <v>634</v>
      </c>
    </row>
    <row r="5" customFormat="false" ht="15" hidden="false" customHeight="false" outlineLevel="0" collapsed="false">
      <c r="A5" s="27" t="s">
        <v>635</v>
      </c>
      <c r="B5" s="27" t="s">
        <v>636</v>
      </c>
      <c r="C5" s="27" t="s">
        <v>637</v>
      </c>
      <c r="D5" s="27" t="s">
        <v>638</v>
      </c>
    </row>
    <row r="6" customFormat="false" ht="28.35" hidden="false" customHeight="false" outlineLevel="0" collapsed="false">
      <c r="A6" s="27" t="s">
        <v>639</v>
      </c>
      <c r="B6" s="27" t="s">
        <v>640</v>
      </c>
      <c r="C6" s="27" t="s">
        <v>641</v>
      </c>
      <c r="D6" s="27" t="s">
        <v>642</v>
      </c>
    </row>
    <row r="7" customFormat="false" ht="15" hidden="false" customHeight="false" outlineLevel="0" collapsed="false">
      <c r="A7" s="27" t="s">
        <v>617</v>
      </c>
      <c r="B7" s="27" t="s">
        <v>643</v>
      </c>
      <c r="C7" s="27" t="s">
        <v>644</v>
      </c>
      <c r="D7" s="27" t="s">
        <v>645</v>
      </c>
    </row>
    <row r="8" customFormat="false" ht="15" hidden="false" customHeight="false" outlineLevel="0" collapsed="false">
      <c r="A8" s="27" t="s">
        <v>275</v>
      </c>
      <c r="B8" s="27" t="s">
        <v>646</v>
      </c>
      <c r="C8" s="27" t="s">
        <v>647</v>
      </c>
      <c r="D8" s="27" t="s">
        <v>274</v>
      </c>
    </row>
    <row r="9" customFormat="false" ht="28.35" hidden="false" customHeight="false" outlineLevel="0" collapsed="false">
      <c r="A9" s="27" t="s">
        <v>648</v>
      </c>
      <c r="B9" s="27" t="s">
        <v>649</v>
      </c>
      <c r="C9" s="27" t="s">
        <v>650</v>
      </c>
      <c r="D9" s="27" t="s">
        <v>651</v>
      </c>
    </row>
    <row r="10" customFormat="false" ht="28.35" hidden="false" customHeight="false" outlineLevel="0" collapsed="false">
      <c r="A10" s="27" t="s">
        <v>652</v>
      </c>
      <c r="B10" s="27" t="s">
        <v>653</v>
      </c>
      <c r="C10" s="27" t="s">
        <v>654</v>
      </c>
      <c r="D10" s="27" t="s">
        <v>642</v>
      </c>
    </row>
    <row r="11" customFormat="false" ht="28.35" hidden="false" customHeight="false" outlineLevel="0" collapsed="false">
      <c r="A11" s="27" t="s">
        <v>655</v>
      </c>
      <c r="B11" s="27" t="s">
        <v>656</v>
      </c>
      <c r="C11" s="27" t="s">
        <v>657</v>
      </c>
      <c r="D11" s="27" t="s">
        <v>658</v>
      </c>
    </row>
    <row r="12" customFormat="false" ht="15" hidden="false" customHeight="false" outlineLevel="0" collapsed="false">
      <c r="A12" s="27" t="s">
        <v>659</v>
      </c>
      <c r="B12" s="27" t="s">
        <v>660</v>
      </c>
      <c r="C12" s="27" t="s">
        <v>661</v>
      </c>
      <c r="D12" s="27" t="s">
        <v>658</v>
      </c>
    </row>
    <row r="13" customFormat="false" ht="15" hidden="false" customHeight="false" outlineLevel="0" collapsed="false">
      <c r="A13" s="27" t="s">
        <v>662</v>
      </c>
      <c r="B13" s="27" t="s">
        <v>663</v>
      </c>
      <c r="C13" s="27" t="s">
        <v>664</v>
      </c>
      <c r="D13" s="27" t="s">
        <v>658</v>
      </c>
    </row>
    <row r="14" customFormat="false" ht="15" hidden="false" customHeight="false" outlineLevel="0" collapsed="false">
      <c r="A14" s="27" t="s">
        <v>665</v>
      </c>
      <c r="B14" s="27" t="s">
        <v>666</v>
      </c>
      <c r="C14" s="27" t="s">
        <v>667</v>
      </c>
      <c r="D14" s="27" t="s">
        <v>658</v>
      </c>
    </row>
    <row r="15" customFormat="false" ht="15" hidden="false" customHeight="false" outlineLevel="0" collapsed="false">
      <c r="A15" s="27" t="s">
        <v>668</v>
      </c>
      <c r="B15" s="27" t="s">
        <v>669</v>
      </c>
      <c r="C15" s="27" t="s">
        <v>670</v>
      </c>
      <c r="D15" s="27" t="s">
        <v>671</v>
      </c>
    </row>
    <row r="16" customFormat="false" ht="28.35" hidden="false" customHeight="false" outlineLevel="0" collapsed="false">
      <c r="A16" s="27" t="s">
        <v>672</v>
      </c>
      <c r="B16" s="27" t="s">
        <v>673</v>
      </c>
      <c r="C16" s="27" t="s">
        <v>674</v>
      </c>
      <c r="D16" s="27" t="s">
        <v>642</v>
      </c>
    </row>
    <row r="17" customFormat="false" ht="28.35" hidden="false" customHeight="false" outlineLevel="0" collapsed="false">
      <c r="A17" s="27" t="s">
        <v>675</v>
      </c>
      <c r="B17" s="27" t="s">
        <v>676</v>
      </c>
      <c r="C17" s="27" t="s">
        <v>677</v>
      </c>
      <c r="D17" s="27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0" t="s">
        <v>679</v>
      </c>
    </row>
    <row r="2" customFormat="false" ht="15" hidden="false" customHeight="false" outlineLevel="0" collapsed="false">
      <c r="A2" s="11" t="s">
        <v>34</v>
      </c>
    </row>
    <row r="3" customFormat="false" ht="15" hidden="false" customHeight="false" outlineLevel="0" collapsed="false">
      <c r="A3" s="23" t="s">
        <v>680</v>
      </c>
    </row>
    <row r="4" customFormat="false" ht="15" hidden="false" customHeight="false" outlineLevel="0" collapsed="false">
      <c r="A4" s="12" t="s">
        <v>197</v>
      </c>
      <c r="B4" s="12" t="s">
        <v>681</v>
      </c>
      <c r="C4" s="12" t="s">
        <v>682</v>
      </c>
      <c r="D4" s="12" t="s">
        <v>683</v>
      </c>
      <c r="E4" s="12" t="s">
        <v>684</v>
      </c>
      <c r="F4" s="12" t="s">
        <v>685</v>
      </c>
      <c r="G4" s="12" t="s">
        <v>5</v>
      </c>
      <c r="H4" s="12" t="s">
        <v>686</v>
      </c>
    </row>
    <row r="5" customFormat="false" ht="41.75" hidden="false" customHeight="false" outlineLevel="0" collapsed="false">
      <c r="A5" s="27" t="s">
        <v>687</v>
      </c>
      <c r="B5" s="27" t="s">
        <v>688</v>
      </c>
      <c r="C5" s="27" t="s">
        <v>590</v>
      </c>
      <c r="D5" s="27" t="s">
        <v>590</v>
      </c>
      <c r="E5" s="27" t="s">
        <v>590</v>
      </c>
      <c r="F5" s="60" t="s">
        <v>689</v>
      </c>
      <c r="G5" s="61" t="s">
        <v>690</v>
      </c>
      <c r="H5" s="62"/>
    </row>
    <row r="6" customFormat="false" ht="41.75" hidden="false" customHeight="false" outlineLevel="0" collapsed="false">
      <c r="A6" s="27" t="s">
        <v>611</v>
      </c>
      <c r="B6" s="27" t="s">
        <v>691</v>
      </c>
      <c r="C6" s="27" t="s">
        <v>590</v>
      </c>
      <c r="D6" s="27" t="s">
        <v>692</v>
      </c>
      <c r="E6" s="27" t="s">
        <v>693</v>
      </c>
      <c r="F6" s="60" t="s">
        <v>694</v>
      </c>
      <c r="G6" s="61" t="s">
        <v>695</v>
      </c>
      <c r="H6" s="62"/>
    </row>
    <row r="7" customFormat="false" ht="28.35" hidden="false" customHeight="false" outlineLevel="0" collapsed="false">
      <c r="A7" s="27" t="s">
        <v>696</v>
      </c>
      <c r="B7" s="27" t="s">
        <v>697</v>
      </c>
      <c r="C7" s="27" t="s">
        <v>590</v>
      </c>
      <c r="D7" s="27" t="s">
        <v>590</v>
      </c>
      <c r="E7" s="27" t="s">
        <v>590</v>
      </c>
      <c r="F7" s="60" t="s">
        <v>698</v>
      </c>
      <c r="G7" s="61" t="s">
        <v>699</v>
      </c>
      <c r="H7" s="62"/>
    </row>
    <row r="8" customFormat="false" ht="28.35" hidden="false" customHeight="false" outlineLevel="0" collapsed="false">
      <c r="A8" s="27" t="s">
        <v>700</v>
      </c>
      <c r="B8" s="27" t="s">
        <v>701</v>
      </c>
      <c r="C8" s="27" t="s">
        <v>590</v>
      </c>
      <c r="D8" s="27" t="s">
        <v>702</v>
      </c>
      <c r="E8" s="27" t="s">
        <v>703</v>
      </c>
      <c r="F8" s="60" t="s">
        <v>694</v>
      </c>
      <c r="G8" s="61" t="s">
        <v>704</v>
      </c>
      <c r="H8" s="62"/>
    </row>
    <row r="9" customFormat="false" ht="28.35" hidden="false" customHeight="false" outlineLevel="0" collapsed="false">
      <c r="A9" s="27" t="s">
        <v>705</v>
      </c>
      <c r="B9" s="27" t="s">
        <v>706</v>
      </c>
      <c r="C9" s="27" t="s">
        <v>590</v>
      </c>
      <c r="D9" s="27" t="s">
        <v>707</v>
      </c>
      <c r="E9" s="27" t="s">
        <v>708</v>
      </c>
      <c r="F9" s="60" t="s">
        <v>698</v>
      </c>
      <c r="G9" s="61" t="s">
        <v>709</v>
      </c>
      <c r="H9" s="62"/>
    </row>
    <row r="10" customFormat="false" ht="55.2" hidden="false" customHeight="false" outlineLevel="0" collapsed="false">
      <c r="A10" s="27" t="s">
        <v>620</v>
      </c>
      <c r="B10" s="27" t="s">
        <v>710</v>
      </c>
      <c r="C10" s="27" t="s">
        <v>590</v>
      </c>
      <c r="D10" s="27" t="s">
        <v>590</v>
      </c>
      <c r="E10" s="27" t="s">
        <v>711</v>
      </c>
      <c r="F10" s="60" t="s">
        <v>698</v>
      </c>
      <c r="G10" s="61" t="s">
        <v>712</v>
      </c>
      <c r="H10" s="62"/>
    </row>
    <row r="11" customFormat="false" ht="41.75" hidden="false" customHeight="false" outlineLevel="0" collapsed="false">
      <c r="A11" s="27" t="s">
        <v>713</v>
      </c>
      <c r="B11" s="27" t="s">
        <v>714</v>
      </c>
      <c r="C11" s="27" t="s">
        <v>590</v>
      </c>
      <c r="D11" s="27" t="s">
        <v>715</v>
      </c>
      <c r="E11" s="27" t="s">
        <v>716</v>
      </c>
      <c r="F11" s="60" t="s">
        <v>698</v>
      </c>
      <c r="G11" s="61" t="s">
        <v>717</v>
      </c>
      <c r="H11" s="62"/>
    </row>
    <row r="12" customFormat="false" ht="41.75" hidden="false" customHeight="false" outlineLevel="0" collapsed="false">
      <c r="A12" s="27" t="s">
        <v>718</v>
      </c>
      <c r="B12" s="27" t="s">
        <v>719</v>
      </c>
      <c r="C12" s="27" t="s">
        <v>590</v>
      </c>
      <c r="D12" s="27" t="s">
        <v>590</v>
      </c>
      <c r="E12" s="27" t="s">
        <v>590</v>
      </c>
      <c r="F12" s="60" t="s">
        <v>698</v>
      </c>
      <c r="G12" s="61" t="s">
        <v>720</v>
      </c>
      <c r="H12" s="62"/>
    </row>
    <row r="13" customFormat="false" ht="28.35" hidden="false" customHeight="false" outlineLevel="0" collapsed="false">
      <c r="A13" s="27" t="s">
        <v>721</v>
      </c>
      <c r="B13" s="27" t="s">
        <v>722</v>
      </c>
      <c r="C13" s="27" t="s">
        <v>723</v>
      </c>
      <c r="D13" s="27" t="s">
        <v>724</v>
      </c>
      <c r="E13" s="27" t="s">
        <v>725</v>
      </c>
      <c r="F13" s="60" t="s">
        <v>726</v>
      </c>
      <c r="G13" s="63" t="s">
        <v>727</v>
      </c>
      <c r="H13" s="62"/>
    </row>
    <row r="14" customFormat="false" ht="28.35" hidden="false" customHeight="false" outlineLevel="0" collapsed="false">
      <c r="A14" s="27" t="s">
        <v>624</v>
      </c>
      <c r="B14" s="27" t="s">
        <v>728</v>
      </c>
      <c r="C14" s="27" t="s">
        <v>590</v>
      </c>
      <c r="D14" s="27" t="s">
        <v>590</v>
      </c>
      <c r="E14" s="27" t="s">
        <v>729</v>
      </c>
      <c r="F14" s="60" t="s">
        <v>730</v>
      </c>
      <c r="G14" s="61" t="s">
        <v>712</v>
      </c>
      <c r="H14" s="62"/>
    </row>
    <row r="15" customFormat="false" ht="28.35" hidden="false" customHeight="false" outlineLevel="0" collapsed="false">
      <c r="A15" s="27" t="s">
        <v>731</v>
      </c>
      <c r="B15" s="27" t="s">
        <v>732</v>
      </c>
      <c r="C15" s="27" t="s">
        <v>733</v>
      </c>
      <c r="D15" s="27" t="s">
        <v>734</v>
      </c>
      <c r="E15" s="27" t="s">
        <v>735</v>
      </c>
      <c r="F15" s="60" t="s">
        <v>736</v>
      </c>
      <c r="G15" s="63" t="s">
        <v>727</v>
      </c>
      <c r="H15" s="62"/>
    </row>
    <row r="16" customFormat="false" ht="28.35" hidden="false" customHeight="false" outlineLevel="0" collapsed="false">
      <c r="A16" s="27" t="s">
        <v>737</v>
      </c>
      <c r="B16" s="27" t="s">
        <v>738</v>
      </c>
      <c r="C16" s="27" t="s">
        <v>590</v>
      </c>
      <c r="D16" s="27" t="s">
        <v>590</v>
      </c>
      <c r="E16" s="27" t="s">
        <v>739</v>
      </c>
      <c r="F16" s="60" t="s">
        <v>698</v>
      </c>
      <c r="G16" s="61" t="s">
        <v>712</v>
      </c>
      <c r="H16" s="62"/>
    </row>
    <row r="17" customFormat="false" ht="41.75" hidden="false" customHeight="false" outlineLevel="0" collapsed="false">
      <c r="A17" s="27" t="s">
        <v>594</v>
      </c>
      <c r="B17" s="27" t="s">
        <v>740</v>
      </c>
      <c r="C17" s="27" t="s">
        <v>590</v>
      </c>
      <c r="D17" s="27" t="s">
        <v>590</v>
      </c>
      <c r="E17" s="27" t="s">
        <v>741</v>
      </c>
      <c r="F17" s="60" t="s">
        <v>698</v>
      </c>
      <c r="G17" s="61" t="s">
        <v>742</v>
      </c>
      <c r="H17" s="62"/>
    </row>
    <row r="18" customFormat="false" ht="41.75" hidden="false" customHeight="false" outlineLevel="0" collapsed="false">
      <c r="A18" s="27" t="s">
        <v>607</v>
      </c>
      <c r="B18" s="27" t="s">
        <v>743</v>
      </c>
      <c r="C18" s="27" t="s">
        <v>590</v>
      </c>
      <c r="D18" s="27" t="s">
        <v>744</v>
      </c>
      <c r="E18" s="27" t="s">
        <v>745</v>
      </c>
      <c r="F18" s="60" t="s">
        <v>746</v>
      </c>
      <c r="G18" s="61" t="s">
        <v>747</v>
      </c>
      <c r="H18" s="62"/>
    </row>
    <row r="19" customFormat="false" ht="41.75" hidden="false" customHeight="false" outlineLevel="0" collapsed="false">
      <c r="A19" s="27" t="s">
        <v>615</v>
      </c>
      <c r="B19" s="27" t="s">
        <v>748</v>
      </c>
      <c r="C19" s="27" t="s">
        <v>749</v>
      </c>
      <c r="D19" s="27" t="s">
        <v>750</v>
      </c>
      <c r="E19" s="27" t="s">
        <v>751</v>
      </c>
      <c r="F19" s="60" t="s">
        <v>752</v>
      </c>
      <c r="G19" s="63" t="s">
        <v>753</v>
      </c>
      <c r="H19" s="6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2026-09-30T21:38:36Z</dcterms:created>
  <dc:creator>openpyxl</dc:creator>
  <dc:description/>
  <dc:language>en-US</dc:language>
  <cp:lastModifiedBy/>
  <dcterms:modified xsi:type="dcterms:W3CDTF">2026-09-30T21:38:36Z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