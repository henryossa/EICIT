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henryossa/Documents/2026/EICIT-2026/008.Ma_Auxiliadora/000. Proceso/F4. Currículo y mallas/1.5.1 Definición de la arquitectura del plan de estudios/INSUMOS ARQProyección_CMA/"/>
    </mc:Choice>
  </mc:AlternateContent>
  <xr:revisionPtr revIDLastSave="0" documentId="13_ncr:2001_{EE5DCCCF-C346-8A4E-92E4-9A3D84C6FF2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arga Propuesta" sheetId="1" r:id="rId1"/>
    <sheet name="crono_academico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O51" i="1"/>
  <c r="D43" i="1"/>
  <c r="E43" i="1"/>
  <c r="F43" i="1"/>
  <c r="G43" i="1"/>
  <c r="H43" i="1"/>
  <c r="I43" i="1"/>
  <c r="J43" i="1"/>
  <c r="K43" i="1"/>
  <c r="L43" i="1"/>
  <c r="M43" i="1"/>
  <c r="N43" i="1"/>
  <c r="D36" i="1"/>
  <c r="E36" i="1"/>
  <c r="F36" i="1"/>
  <c r="G36" i="1"/>
  <c r="H36" i="1"/>
  <c r="I36" i="1"/>
  <c r="J36" i="1"/>
  <c r="K36" i="1"/>
  <c r="L36" i="1"/>
  <c r="M36" i="1"/>
  <c r="N36" i="1"/>
  <c r="D29" i="1"/>
  <c r="E29" i="1"/>
  <c r="F29" i="1"/>
  <c r="G29" i="1"/>
  <c r="H29" i="1"/>
  <c r="I29" i="1"/>
  <c r="J29" i="1"/>
  <c r="K29" i="1"/>
  <c r="L29" i="1"/>
  <c r="M29" i="1"/>
  <c r="N29" i="1"/>
  <c r="D25" i="1"/>
  <c r="E25" i="1"/>
  <c r="F25" i="1"/>
  <c r="G25" i="1"/>
  <c r="H25" i="1"/>
  <c r="I25" i="1"/>
  <c r="J25" i="1"/>
  <c r="K25" i="1"/>
  <c r="L25" i="1"/>
  <c r="M25" i="1"/>
  <c r="N25" i="1"/>
  <c r="D20" i="1"/>
  <c r="E20" i="1"/>
  <c r="F20" i="1"/>
  <c r="G20" i="1"/>
  <c r="H20" i="1"/>
  <c r="I20" i="1"/>
  <c r="J20" i="1"/>
  <c r="K20" i="1"/>
  <c r="L20" i="1"/>
  <c r="M20" i="1"/>
  <c r="N20" i="1"/>
  <c r="D18" i="1"/>
  <c r="E18" i="1"/>
  <c r="F18" i="1"/>
  <c r="G18" i="1"/>
  <c r="H18" i="1"/>
  <c r="I18" i="1"/>
  <c r="J18" i="1"/>
  <c r="K18" i="1"/>
  <c r="L18" i="1"/>
  <c r="M18" i="1"/>
  <c r="N18" i="1"/>
  <c r="D12" i="1"/>
  <c r="E12" i="1"/>
  <c r="F12" i="1"/>
  <c r="G12" i="1"/>
  <c r="H12" i="1"/>
  <c r="I12" i="1"/>
  <c r="J12" i="1"/>
  <c r="K12" i="1"/>
  <c r="L12" i="1"/>
  <c r="M12" i="1"/>
  <c r="N12" i="1"/>
  <c r="D8" i="1"/>
  <c r="E8" i="1"/>
  <c r="F8" i="1"/>
  <c r="G8" i="1"/>
  <c r="H8" i="1"/>
  <c r="I8" i="1"/>
  <c r="J8" i="1"/>
  <c r="K8" i="1"/>
  <c r="L8" i="1"/>
  <c r="M8" i="1"/>
  <c r="N8" i="1"/>
  <c r="C8" i="1"/>
  <c r="C12" i="1"/>
  <c r="C18" i="1"/>
  <c r="C25" i="1"/>
  <c r="C29" i="1"/>
  <c r="C36" i="1"/>
  <c r="C43" i="1"/>
  <c r="C20" i="1"/>
  <c r="O28" i="1"/>
  <c r="O38" i="1"/>
  <c r="O39" i="1"/>
  <c r="O40" i="1"/>
  <c r="O37" i="1"/>
  <c r="O26" i="1"/>
  <c r="O27" i="1"/>
  <c r="B12" i="2"/>
  <c r="O25" i="1" l="1"/>
  <c r="O36" i="1"/>
  <c r="O18" i="1"/>
  <c r="C51" i="1"/>
  <c r="C44" i="1" s="1"/>
  <c r="O20" i="1"/>
  <c r="I51" i="1"/>
  <c r="I44" i="1" s="1"/>
  <c r="N51" i="1"/>
  <c r="N44" i="1" s="1"/>
  <c r="J51" i="1"/>
  <c r="J44" i="1" s="1"/>
  <c r="K51" i="1"/>
  <c r="K44" i="1" s="1"/>
  <c r="L51" i="1"/>
  <c r="L44" i="1" s="1"/>
  <c r="O29" i="1"/>
  <c r="M51" i="1"/>
  <c r="M44" i="1" s="1"/>
  <c r="H51" i="1"/>
  <c r="H44" i="1" s="1"/>
  <c r="E51" i="1"/>
  <c r="E44" i="1" s="1"/>
  <c r="G51" i="1"/>
  <c r="G44" i="1" s="1"/>
  <c r="F51" i="1"/>
  <c r="F44" i="1" s="1"/>
  <c r="O43" i="1"/>
  <c r="O12" i="1"/>
  <c r="O8" i="1"/>
  <c r="D51" i="1"/>
  <c r="D44" i="1" s="1"/>
  <c r="O44" i="1" l="1"/>
</calcChain>
</file>

<file path=xl/sharedStrings.xml><?xml version="1.0" encoding="utf-8"?>
<sst xmlns="http://schemas.openxmlformats.org/spreadsheetml/2006/main" count="84" uniqueCount="74">
  <si>
    <t>PROYECCIÓN DEL CRONOGRAMA ACADÉMICO 2027</t>
  </si>
  <si>
    <t>Número de semanas lectivas previstas: 37 semanas de trabajo académico con estudiantes + 2 semanas de refuerzo y profundización</t>
  </si>
  <si>
    <t>1. Calendario Académico Proyectado por Períodos (2027)</t>
  </si>
  <si>
    <t>Período Académico</t>
  </si>
  <si>
    <t>Semanas</t>
  </si>
  <si>
    <t>Fecha de Inicio (Proyectada)</t>
  </si>
  <si>
    <t>Fecha de Finalización (Proyectada)</t>
  </si>
  <si>
    <t>Período 1</t>
  </si>
  <si>
    <t>AREA/Asignatura/Dimensión</t>
  </si>
  <si>
    <t>10 semanas</t>
  </si>
  <si>
    <t>Período 2</t>
  </si>
  <si>
    <t>09 semanas</t>
  </si>
  <si>
    <t>Período 3</t>
  </si>
  <si>
    <r>
      <rPr>
        <sz val="11"/>
        <color rgb="FF000000"/>
        <rFont val="Arial,sans-serif"/>
      </rPr>
      <t xml:space="preserve">14 de junio </t>
    </r>
    <r>
      <rPr>
        <b/>
        <sz val="11"/>
        <color rgb="FFFF0000"/>
        <rFont val="Arial,sans-serif"/>
      </rPr>
      <t>(junio 22 - inician 13 de julio Receso de mitad de año)</t>
    </r>
  </si>
  <si>
    <t>Período 4</t>
  </si>
  <si>
    <r>
      <rPr>
        <sz val="11"/>
        <color rgb="FF000000"/>
        <rFont val="Arial,sans-serif"/>
      </rPr>
      <t xml:space="preserve">6 de septiembre </t>
    </r>
    <r>
      <rPr>
        <b/>
        <sz val="11"/>
        <color rgb="FFFF0000"/>
        <rFont val="Arial,sans-serif"/>
      </rPr>
      <t>(del 11 al 15 de octubre receso escolar)</t>
    </r>
  </si>
  <si>
    <t>Refuerzos y Recuperaciones</t>
  </si>
  <si>
    <t>2 semanas</t>
  </si>
  <si>
    <t>T</t>
  </si>
  <si>
    <t xml:space="preserve">PRIMARIA </t>
  </si>
  <si>
    <t xml:space="preserve">SECUNDARIA 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</si>
  <si>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</si>
  <si>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</si>
  <si>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</si>
  <si>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</si>
  <si>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</si>
  <si>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</si>
  <si>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</si>
  <si>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</si>
  <si>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</si>
  <si>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CIENCIAS NATURALES</t>
  </si>
  <si>
    <t>Dimensión socioafectiva</t>
  </si>
  <si>
    <t>C. Naturales y Medio Ambie</t>
  </si>
  <si>
    <t>Química</t>
  </si>
  <si>
    <t>Total, de Área</t>
  </si>
  <si>
    <t>HUMANIDADES</t>
  </si>
  <si>
    <t>Dimensión Comunicativa</t>
  </si>
  <si>
    <t>Lengua Castellana</t>
  </si>
  <si>
    <t>Lengua Extranjera (inglés)</t>
  </si>
  <si>
    <t>CIENCIAS SOCIALES</t>
  </si>
  <si>
    <t>Física</t>
  </si>
  <si>
    <t>Dimensión Socioafectiva</t>
  </si>
  <si>
    <t>Historia</t>
  </si>
  <si>
    <t>Geografía</t>
  </si>
  <si>
    <t xml:space="preserve">Sociales </t>
  </si>
  <si>
    <t>CIENCIAS ECONÓMICAS Y POLITICAS</t>
  </si>
  <si>
    <t>EDUCACIÓN FÍSICA Y DEPORTES</t>
  </si>
  <si>
    <t>Educacion Fisica</t>
  </si>
  <si>
    <t>EDUCACIÓN ARTISTICA</t>
  </si>
  <si>
    <t>Dimensión Estética</t>
  </si>
  <si>
    <t>Artes (Dibujo Artesan)</t>
  </si>
  <si>
    <t>Música</t>
  </si>
  <si>
    <t>Danzas</t>
  </si>
  <si>
    <t>ÉTICA Y VALORES</t>
  </si>
  <si>
    <t>ED. RELIGIOSA</t>
  </si>
  <si>
    <t>FILOSOFÍA</t>
  </si>
  <si>
    <t>MATEMATICAS</t>
  </si>
  <si>
    <t>Dimensión Cognitiva</t>
  </si>
  <si>
    <t>Matemáticas</t>
  </si>
  <si>
    <t>Algebra</t>
  </si>
  <si>
    <t>Trigonometría</t>
  </si>
  <si>
    <t xml:space="preserve"> </t>
  </si>
  <si>
    <t>Calculo</t>
  </si>
  <si>
    <t>SUB TOTAL ÁREA ACADÉMICA</t>
  </si>
  <si>
    <t>ENFASIS</t>
  </si>
  <si>
    <t>TÉCNICA</t>
  </si>
  <si>
    <t>SUB TOTAL ÁREA TÉCNICA</t>
  </si>
  <si>
    <t>SENA</t>
  </si>
  <si>
    <t>TOTAL, DISTRIBUCIÓN EN LA INSTITUCIÓN</t>
  </si>
  <si>
    <t xml:space="preserve">sistema prerventivo </t>
  </si>
  <si>
    <t xml:space="preserve">Etiva y Valores </t>
  </si>
  <si>
    <t>Pensamiento lógico y computacional</t>
  </si>
  <si>
    <t>Infancia misionera</t>
  </si>
  <si>
    <t xml:space="preserve">Tecnología e Informática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</si>
</sst>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 de &quot;mmmm"/>
    <numFmt numFmtId="165" formatCode="d&quot; de &quot;mmmm"/>
  </numFmts>
  <fonts count="30">
    <font>
      <sz val="11"/>
      <color theme="1"/>
      <name val="Calibri"/>
      <scheme val="minor"/>
    </font>
    <font>
      <b/>
      <sz val="10"/>
      <color rgb="FF000000"/>
      <name val="Arial"/>
      <family val="2"/>
    </font>
    <font>
      <b/>
      <sz val="24"/>
      <color rgb="FF1A365D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8"/>
      <color rgb="FF2B6CB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4"/>
      <color theme="0"/>
      <name val="Arial Narrow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8"/>
      <color theme="1"/>
      <name val="Arial Narrow"/>
      <family val="2"/>
    </font>
    <font>
      <sz val="11"/>
      <color theme="0"/>
      <name val="Calibri"/>
      <family val="2"/>
    </font>
    <font>
      <b/>
      <sz val="11"/>
      <color theme="0"/>
      <name val="Arial Narrow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theme="1"/>
      <name val="Arial Narrow"/>
      <family val="2"/>
    </font>
    <font>
      <b/>
      <sz val="12"/>
      <color rgb="FF000000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rial,sans-serif"/>
    </font>
    <font>
      <b/>
      <sz val="11"/>
      <color rgb="FFFF0000"/>
      <name val="Arial,sans-serif"/>
    </font>
    <font>
      <sz val="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8CCE3"/>
        <bgColor rgb="FFB8CCE3"/>
      </patternFill>
    </fill>
    <fill>
      <patternFill patternType="solid">
        <fgColor rgb="FFDEEAF6"/>
        <bgColor rgb="FFDEEAF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02060"/>
        <bgColor rgb="FF00206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theme="0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4" borderId="13" xfId="0" applyFont="1" applyFill="1" applyBorder="1" applyAlignment="1">
      <alignment vertical="center" textRotation="255"/>
    </xf>
    <xf numFmtId="0" fontId="1" fillId="3" borderId="19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left" vertical="center" wrapText="1"/>
    </xf>
    <xf numFmtId="0" fontId="16" fillId="9" borderId="26" xfId="0" applyFont="1" applyFill="1" applyBorder="1" applyAlignment="1">
      <alignment horizontal="left" vertical="center" wrapText="1"/>
    </xf>
    <xf numFmtId="0" fontId="15" fillId="9" borderId="26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5" fillId="9" borderId="11" xfId="0" applyFont="1" applyFill="1" applyBorder="1" applyAlignment="1">
      <alignment horizontal="left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7" fillId="0" borderId="16" xfId="0" applyFont="1" applyBorder="1"/>
    <xf numFmtId="0" fontId="13" fillId="0" borderId="3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8" fillId="9" borderId="26" xfId="0" applyFont="1" applyFill="1" applyBorder="1"/>
    <xf numFmtId="0" fontId="19" fillId="9" borderId="26" xfId="0" applyFont="1" applyFill="1" applyBorder="1" applyAlignment="1">
      <alignment horizontal="center"/>
    </xf>
    <xf numFmtId="0" fontId="14" fillId="7" borderId="25" xfId="0" applyFont="1" applyFill="1" applyBorder="1" applyAlignment="1">
      <alignment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20" fillId="6" borderId="13" xfId="0" applyFont="1" applyFill="1" applyBorder="1" applyAlignment="1">
      <alignment vertical="center" wrapText="1"/>
    </xf>
    <xf numFmtId="0" fontId="21" fillId="7" borderId="13" xfId="0" applyFont="1" applyFill="1" applyBorder="1" applyAlignment="1">
      <alignment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vertical="center" wrapText="1"/>
    </xf>
    <xf numFmtId="0" fontId="21" fillId="7" borderId="30" xfId="0" applyFont="1" applyFill="1" applyBorder="1" applyAlignment="1">
      <alignment vertical="center" wrapText="1"/>
    </xf>
    <xf numFmtId="0" fontId="7" fillId="6" borderId="39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9" fillId="0" borderId="0" xfId="0" applyFont="1"/>
    <xf numFmtId="0" fontId="23" fillId="10" borderId="37" xfId="0" applyFont="1" applyFill="1" applyBorder="1" applyAlignment="1">
      <alignment horizontal="center" vertical="center" wrapText="1"/>
    </xf>
    <xf numFmtId="0" fontId="23" fillId="10" borderId="38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18" fillId="9" borderId="25" xfId="0" applyFont="1" applyFill="1" applyBorder="1"/>
    <xf numFmtId="0" fontId="25" fillId="0" borderId="17" xfId="0" applyFont="1" applyBorder="1" applyAlignment="1">
      <alignment horizontal="center" vertical="center" wrapText="1"/>
    </xf>
    <xf numFmtId="0" fontId="25" fillId="8" borderId="23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3" fillId="11" borderId="17" xfId="0" applyFont="1" applyFill="1" applyBorder="1" applyAlignment="1">
      <alignment horizontal="center" vertical="center" wrapText="1"/>
    </xf>
    <xf numFmtId="0" fontId="0" fillId="11" borderId="0" xfId="0" applyFill="1"/>
    <xf numFmtId="0" fontId="3" fillId="0" borderId="44" xfId="0" applyFont="1" applyBorder="1"/>
    <xf numFmtId="0" fontId="23" fillId="10" borderId="43" xfId="0" applyFont="1" applyFill="1" applyBorder="1" applyAlignment="1">
      <alignment horizontal="center" vertical="center" wrapText="1"/>
    </xf>
    <xf numFmtId="0" fontId="23" fillId="10" borderId="42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23" fillId="12" borderId="30" xfId="0" applyFont="1" applyFill="1" applyBorder="1" applyAlignment="1">
      <alignment horizontal="center" vertical="center" wrapText="1"/>
    </xf>
    <xf numFmtId="0" fontId="7" fillId="13" borderId="2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3" xfId="0" applyFont="1" applyBorder="1"/>
    <xf numFmtId="0" fontId="29" fillId="7" borderId="30" xfId="0" applyFont="1" applyFill="1" applyBorder="1" applyAlignment="1">
      <alignment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9" borderId="27" xfId="0" applyFont="1" applyFill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8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7" xfId="0" applyFont="1" applyBorder="1"/>
    <xf numFmtId="0" fontId="3" fillId="0" borderId="9" xfId="0" applyFont="1" applyBorder="1"/>
    <xf numFmtId="0" fontId="11" fillId="5" borderId="14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15" xfId="0" applyFont="1" applyBorder="1"/>
    <xf numFmtId="0" fontId="11" fillId="4" borderId="14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4" xfId="0" applyFont="1" applyBorder="1"/>
    <xf numFmtId="0" fontId="1" fillId="6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24" fillId="2" borderId="43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14" fillId="6" borderId="8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22" fillId="6" borderId="20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1" fillId="2" borderId="41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1" fillId="2" borderId="4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51"/>
  <sheetViews>
    <sheetView tabSelected="1" zoomScale="150" workbookViewId="0">
      <pane ySplit="4" topLeftCell="A34" activePane="bottomLeft" state="frozen"/>
      <selection pane="bottomLeft" activeCell="C54" sqref="C54"/>
    </sheetView>
  </sheetViews>
  <sheetFormatPr baseColWidth="10" defaultColWidth="14.5" defaultRowHeight="15" customHeight="1"/>
  <cols>
    <col min="1" max="1" width="41.1640625" customWidth="1"/>
    <col min="2" max="2" width="24.33203125" customWidth="1"/>
    <col min="3" max="3" width="5.1640625" bestFit="1" customWidth="1"/>
    <col min="4" max="14" width="4.1640625" customWidth="1"/>
    <col min="15" max="15" width="4.1640625" bestFit="1" customWidth="1"/>
    <col min="16" max="16" width="11.5" customWidth="1"/>
    <col min="17" max="17" width="3.6640625" customWidth="1"/>
    <col min="18" max="18" width="3" customWidth="1"/>
    <col min="19" max="19" width="2.83203125" customWidth="1"/>
    <col min="20" max="20" width="2.1640625" customWidth="1"/>
    <col min="21" max="35" width="7.5" hidden="1" customWidth="1"/>
    <col min="36" max="36" width="8.5" hidden="1" customWidth="1"/>
    <col min="37" max="46" width="16.5" hidden="1" customWidth="1"/>
    <col min="47" max="47" width="4.33203125" customWidth="1"/>
    <col min="48" max="52" width="3.5" customWidth="1"/>
  </cols>
  <sheetData>
    <row r="1" spans="1:15" ht="3" customHeight="1" thickBot="1">
      <c r="A1" s="74"/>
      <c r="B1" s="75"/>
      <c r="C1" s="6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.75" customHeight="1" thickBot="1">
      <c r="A2" s="76" t="s">
        <v>8</v>
      </c>
      <c r="B2" s="77"/>
      <c r="C2" s="65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15" ht="15.75" customHeight="1" thickBot="1">
      <c r="A3" s="78"/>
      <c r="B3" s="79"/>
      <c r="C3" s="8" t="s">
        <v>18</v>
      </c>
      <c r="D3" s="84" t="s">
        <v>19</v>
      </c>
      <c r="E3" s="85"/>
      <c r="F3" s="85"/>
      <c r="G3" s="85"/>
      <c r="H3" s="86"/>
      <c r="I3" s="87" t="s">
        <v>20</v>
      </c>
      <c r="J3" s="85"/>
      <c r="K3" s="85"/>
      <c r="L3" s="85"/>
      <c r="M3" s="85"/>
      <c r="N3" s="75"/>
    </row>
    <row r="4" spans="1:15" ht="15.75" customHeight="1" thickBot="1">
      <c r="A4" s="80"/>
      <c r="B4" s="81"/>
      <c r="C4" s="9">
        <v>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  <c r="J4" s="9" t="s">
        <v>27</v>
      </c>
      <c r="K4" s="9" t="s">
        <v>28</v>
      </c>
      <c r="L4" s="9" t="s">
        <v>29</v>
      </c>
      <c r="M4" s="9">
        <v>10</v>
      </c>
      <c r="N4" s="9">
        <v>11</v>
      </c>
    </row>
    <row r="5" spans="1:15" ht="15.75" customHeight="1" thickBot="1">
      <c r="A5" s="88" t="s">
        <v>30</v>
      </c>
      <c r="B5" s="10" t="s">
        <v>31</v>
      </c>
      <c r="C5" s="62">
        <v>3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5" ht="16.5" customHeight="1" thickBot="1">
      <c r="A6" s="89"/>
      <c r="B6" s="10" t="s">
        <v>32</v>
      </c>
      <c r="C6" s="12">
        <v>0</v>
      </c>
      <c r="D6" s="12">
        <v>4</v>
      </c>
      <c r="E6" s="12">
        <v>4</v>
      </c>
      <c r="F6" s="12">
        <v>4</v>
      </c>
      <c r="G6" s="12">
        <v>4</v>
      </c>
      <c r="H6" s="12">
        <v>4</v>
      </c>
      <c r="I6" s="13">
        <v>4</v>
      </c>
      <c r="J6" s="13">
        <v>4</v>
      </c>
      <c r="K6" s="13">
        <v>4</v>
      </c>
      <c r="L6" s="13">
        <v>4</v>
      </c>
      <c r="M6" s="13">
        <v>0</v>
      </c>
      <c r="N6" s="14">
        <v>0</v>
      </c>
    </row>
    <row r="7" spans="1:15" ht="15.75" customHeight="1" thickBot="1">
      <c r="A7" s="90"/>
      <c r="B7" s="10" t="s">
        <v>33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2">
        <v>0</v>
      </c>
      <c r="J7" s="12">
        <v>0</v>
      </c>
      <c r="K7" s="12">
        <v>0</v>
      </c>
      <c r="L7" s="12">
        <v>0</v>
      </c>
      <c r="M7" s="12">
        <v>3</v>
      </c>
      <c r="N7" s="12">
        <v>3</v>
      </c>
    </row>
    <row r="8" spans="1:15" ht="15.75" customHeight="1">
      <c r="A8" s="15"/>
      <c r="B8" s="16" t="s">
        <v>34</v>
      </c>
      <c r="C8" s="17">
        <f>SUM(C5:C7)</f>
        <v>3</v>
      </c>
      <c r="D8" s="17">
        <f t="shared" ref="D8:N8" si="0">SUM(D5:D7)</f>
        <v>4</v>
      </c>
      <c r="E8" s="17">
        <f t="shared" si="0"/>
        <v>4</v>
      </c>
      <c r="F8" s="17">
        <f t="shared" si="0"/>
        <v>4</v>
      </c>
      <c r="G8" s="17">
        <f t="shared" si="0"/>
        <v>4</v>
      </c>
      <c r="H8" s="17">
        <f t="shared" si="0"/>
        <v>4</v>
      </c>
      <c r="I8" s="17">
        <f t="shared" si="0"/>
        <v>4</v>
      </c>
      <c r="J8" s="17">
        <f t="shared" si="0"/>
        <v>4</v>
      </c>
      <c r="K8" s="17">
        <f t="shared" si="0"/>
        <v>4</v>
      </c>
      <c r="L8" s="17">
        <f t="shared" si="0"/>
        <v>4</v>
      </c>
      <c r="M8" s="17">
        <f t="shared" si="0"/>
        <v>3</v>
      </c>
      <c r="N8" s="17">
        <f t="shared" si="0"/>
        <v>3</v>
      </c>
      <c r="O8" s="57">
        <f>SUM(D8:N8)</f>
        <v>42</v>
      </c>
    </row>
    <row r="9" spans="1:15" ht="15.75" customHeight="1" thickBot="1">
      <c r="A9" s="91" t="s">
        <v>35</v>
      </c>
      <c r="B9" s="18" t="s">
        <v>36</v>
      </c>
      <c r="C9" s="56">
        <v>6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</row>
    <row r="10" spans="1:15" ht="15.75" customHeight="1" thickBot="1">
      <c r="A10" s="92"/>
      <c r="B10" s="18" t="s">
        <v>37</v>
      </c>
      <c r="C10" s="12">
        <v>0</v>
      </c>
      <c r="D10" s="12">
        <v>5</v>
      </c>
      <c r="E10" s="12">
        <v>5</v>
      </c>
      <c r="F10" s="12">
        <v>5</v>
      </c>
      <c r="G10" s="12">
        <v>5</v>
      </c>
      <c r="H10" s="12">
        <v>5</v>
      </c>
      <c r="I10" s="12">
        <v>5</v>
      </c>
      <c r="J10" s="12">
        <v>5</v>
      </c>
      <c r="K10" s="12">
        <v>5</v>
      </c>
      <c r="L10" s="12">
        <v>5</v>
      </c>
      <c r="M10" s="12">
        <v>4</v>
      </c>
      <c r="N10" s="12">
        <v>4</v>
      </c>
    </row>
    <row r="11" spans="1:15" ht="15.75" customHeight="1" thickBot="1">
      <c r="A11" s="93"/>
      <c r="B11" s="18" t="s">
        <v>38</v>
      </c>
      <c r="C11" s="56">
        <v>3</v>
      </c>
      <c r="D11" s="12">
        <v>4</v>
      </c>
      <c r="E11" s="12">
        <v>4</v>
      </c>
      <c r="F11" s="12">
        <v>4</v>
      </c>
      <c r="G11" s="12">
        <v>4</v>
      </c>
      <c r="H11" s="12">
        <v>4</v>
      </c>
      <c r="I11" s="12">
        <v>4</v>
      </c>
      <c r="J11" s="12">
        <v>4</v>
      </c>
      <c r="K11" s="12">
        <v>4</v>
      </c>
      <c r="L11" s="12">
        <v>4</v>
      </c>
      <c r="M11" s="12">
        <v>5</v>
      </c>
      <c r="N11" s="12">
        <v>5</v>
      </c>
    </row>
    <row r="12" spans="1:15" ht="15.75" customHeight="1" thickBot="1">
      <c r="A12" s="15"/>
      <c r="B12" s="19" t="s">
        <v>34</v>
      </c>
      <c r="C12" s="20">
        <f>SUM(C9:C11)</f>
        <v>9</v>
      </c>
      <c r="D12" s="20">
        <f t="shared" ref="D12:N12" si="1">SUM(D9:D11)</f>
        <v>9</v>
      </c>
      <c r="E12" s="20">
        <f t="shared" si="1"/>
        <v>9</v>
      </c>
      <c r="F12" s="20">
        <f t="shared" si="1"/>
        <v>9</v>
      </c>
      <c r="G12" s="20">
        <f t="shared" si="1"/>
        <v>9</v>
      </c>
      <c r="H12" s="20">
        <f t="shared" si="1"/>
        <v>9</v>
      </c>
      <c r="I12" s="20">
        <f t="shared" si="1"/>
        <v>9</v>
      </c>
      <c r="J12" s="20">
        <f t="shared" si="1"/>
        <v>9</v>
      </c>
      <c r="K12" s="20">
        <f t="shared" si="1"/>
        <v>9</v>
      </c>
      <c r="L12" s="20">
        <f t="shared" si="1"/>
        <v>9</v>
      </c>
      <c r="M12" s="20">
        <f t="shared" si="1"/>
        <v>9</v>
      </c>
      <c r="N12" s="20">
        <f t="shared" si="1"/>
        <v>9</v>
      </c>
      <c r="O12">
        <f>SUM(D12:N12)</f>
        <v>99</v>
      </c>
    </row>
    <row r="13" spans="1:15" ht="15.75" customHeight="1" thickBot="1">
      <c r="A13" s="91" t="s">
        <v>39</v>
      </c>
      <c r="B13" s="21" t="s">
        <v>41</v>
      </c>
      <c r="C13" s="62">
        <v>3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</row>
    <row r="14" spans="1:15" ht="15.75" customHeight="1" thickBot="1">
      <c r="A14" s="92"/>
      <c r="B14" s="22" t="s">
        <v>42</v>
      </c>
      <c r="C14" s="12">
        <v>0</v>
      </c>
      <c r="D14" s="23"/>
      <c r="E14" s="23"/>
      <c r="F14" s="23"/>
      <c r="G14" s="23"/>
      <c r="H14" s="23"/>
      <c r="I14" s="23"/>
      <c r="J14" s="23"/>
      <c r="K14" s="23"/>
      <c r="L14" s="23"/>
      <c r="M14" s="12">
        <v>0</v>
      </c>
      <c r="N14" s="12">
        <v>0</v>
      </c>
    </row>
    <row r="15" spans="1:15" ht="15.75" customHeight="1" thickBot="1">
      <c r="A15" s="92"/>
      <c r="B15" s="24" t="s">
        <v>43</v>
      </c>
      <c r="C15" s="25">
        <v>0</v>
      </c>
      <c r="D15" s="23"/>
      <c r="E15" s="23"/>
      <c r="F15" s="23"/>
      <c r="G15" s="23"/>
      <c r="H15" s="23"/>
      <c r="I15" s="23"/>
      <c r="J15" s="23"/>
      <c r="K15" s="23"/>
      <c r="L15" s="23"/>
      <c r="M15" s="25">
        <v>0</v>
      </c>
      <c r="N15" s="25">
        <v>0</v>
      </c>
    </row>
    <row r="16" spans="1:15" ht="15.75" customHeight="1" thickBot="1">
      <c r="A16" s="92"/>
      <c r="B16" s="21" t="s">
        <v>44</v>
      </c>
      <c r="C16" s="26">
        <v>0</v>
      </c>
      <c r="D16" s="12">
        <v>4</v>
      </c>
      <c r="E16" s="12">
        <v>4</v>
      </c>
      <c r="F16" s="12">
        <v>4</v>
      </c>
      <c r="G16" s="56">
        <v>4</v>
      </c>
      <c r="H16" s="56">
        <v>4</v>
      </c>
      <c r="I16" s="56">
        <v>5</v>
      </c>
      <c r="J16" s="56">
        <v>5</v>
      </c>
      <c r="K16" s="56">
        <v>5</v>
      </c>
      <c r="L16" s="56">
        <v>5</v>
      </c>
      <c r="M16" s="26">
        <v>0</v>
      </c>
      <c r="N16" s="26">
        <v>0</v>
      </c>
    </row>
    <row r="17" spans="1:15" ht="15.75" customHeight="1" thickBot="1">
      <c r="A17" s="92"/>
      <c r="B17" s="27" t="s">
        <v>45</v>
      </c>
      <c r="C17" s="28">
        <v>0</v>
      </c>
      <c r="D17" s="29">
        <v>0</v>
      </c>
      <c r="E17" s="28">
        <v>0</v>
      </c>
      <c r="F17" s="28">
        <v>0</v>
      </c>
      <c r="G17" s="28">
        <v>0</v>
      </c>
      <c r="H17" s="29">
        <v>0</v>
      </c>
      <c r="I17" s="28">
        <v>0</v>
      </c>
      <c r="J17" s="28">
        <v>0</v>
      </c>
      <c r="K17" s="28">
        <v>0</v>
      </c>
      <c r="L17" s="28">
        <v>0</v>
      </c>
      <c r="M17" s="30">
        <v>2</v>
      </c>
      <c r="N17" s="31">
        <v>2</v>
      </c>
    </row>
    <row r="18" spans="1:15" ht="15.75" customHeight="1">
      <c r="A18" s="95"/>
      <c r="B18" s="32"/>
      <c r="C18" s="33">
        <f>SUM(C13:C17)</f>
        <v>3</v>
      </c>
      <c r="D18" s="33">
        <f t="shared" ref="D18:N18" si="2">SUM(D13:D17)</f>
        <v>4</v>
      </c>
      <c r="E18" s="33">
        <f t="shared" si="2"/>
        <v>4</v>
      </c>
      <c r="F18" s="33">
        <f t="shared" si="2"/>
        <v>4</v>
      </c>
      <c r="G18" s="33">
        <f t="shared" si="2"/>
        <v>4</v>
      </c>
      <c r="H18" s="33">
        <f t="shared" si="2"/>
        <v>4</v>
      </c>
      <c r="I18" s="33">
        <f t="shared" si="2"/>
        <v>5</v>
      </c>
      <c r="J18" s="33">
        <f t="shared" si="2"/>
        <v>5</v>
      </c>
      <c r="K18" s="33">
        <f t="shared" si="2"/>
        <v>5</v>
      </c>
      <c r="L18" s="33">
        <f t="shared" si="2"/>
        <v>5</v>
      </c>
      <c r="M18" s="33">
        <f t="shared" si="2"/>
        <v>2</v>
      </c>
      <c r="N18" s="33">
        <f t="shared" si="2"/>
        <v>2</v>
      </c>
      <c r="O18">
        <f>SUM(D18:N18)</f>
        <v>44</v>
      </c>
    </row>
    <row r="19" spans="1:15" ht="15.75" customHeight="1">
      <c r="A19" s="91" t="s">
        <v>46</v>
      </c>
      <c r="B19" s="34" t="s">
        <v>47</v>
      </c>
      <c r="C19" s="64">
        <v>2</v>
      </c>
      <c r="D19" s="35">
        <v>2</v>
      </c>
      <c r="E19" s="35">
        <v>2</v>
      </c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1</v>
      </c>
      <c r="N19" s="35">
        <v>1</v>
      </c>
    </row>
    <row r="20" spans="1:15" ht="15.75" customHeight="1" thickBot="1">
      <c r="A20" s="95"/>
      <c r="B20" s="36" t="s">
        <v>34</v>
      </c>
      <c r="C20" s="70">
        <f>SUM(C19)</f>
        <v>2</v>
      </c>
      <c r="D20" s="70">
        <f t="shared" ref="D20:N20" si="3">SUM(D19)</f>
        <v>2</v>
      </c>
      <c r="E20" s="70">
        <f t="shared" si="3"/>
        <v>2</v>
      </c>
      <c r="F20" s="70">
        <f t="shared" si="3"/>
        <v>2</v>
      </c>
      <c r="G20" s="70">
        <f t="shared" si="3"/>
        <v>2</v>
      </c>
      <c r="H20" s="70">
        <f t="shared" si="3"/>
        <v>2</v>
      </c>
      <c r="I20" s="70">
        <f t="shared" si="3"/>
        <v>2</v>
      </c>
      <c r="J20" s="70">
        <f t="shared" si="3"/>
        <v>2</v>
      </c>
      <c r="K20" s="70">
        <f t="shared" si="3"/>
        <v>2</v>
      </c>
      <c r="L20" s="70">
        <f t="shared" si="3"/>
        <v>2</v>
      </c>
      <c r="M20" s="70">
        <f t="shared" si="3"/>
        <v>1</v>
      </c>
      <c r="N20" s="70">
        <f t="shared" si="3"/>
        <v>1</v>
      </c>
      <c r="O20">
        <f>SUM(D20:N20)</f>
        <v>20</v>
      </c>
    </row>
    <row r="21" spans="1:15" ht="15.75" customHeight="1" thickBot="1">
      <c r="A21" s="91" t="s">
        <v>48</v>
      </c>
      <c r="B21" s="68" t="s">
        <v>49</v>
      </c>
      <c r="C21" s="71">
        <v>2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</row>
    <row r="22" spans="1:15" ht="15.75" customHeight="1">
      <c r="A22" s="92"/>
      <c r="B22" s="69" t="s">
        <v>50</v>
      </c>
      <c r="C22" s="71">
        <v>0</v>
      </c>
      <c r="D22" s="71">
        <v>1</v>
      </c>
      <c r="E22" s="71">
        <v>1</v>
      </c>
      <c r="F22" s="71">
        <v>1</v>
      </c>
      <c r="G22" s="71">
        <v>1</v>
      </c>
      <c r="H22" s="71">
        <v>1</v>
      </c>
      <c r="I22" s="71">
        <v>1</v>
      </c>
      <c r="J22" s="71">
        <v>1</v>
      </c>
      <c r="K22" s="71">
        <v>1</v>
      </c>
      <c r="L22" s="71">
        <v>0</v>
      </c>
      <c r="M22" s="71">
        <v>0</v>
      </c>
      <c r="N22" s="71">
        <v>0</v>
      </c>
    </row>
    <row r="23" spans="1:15" ht="15.75" customHeight="1">
      <c r="A23" s="92"/>
      <c r="B23" s="37" t="s">
        <v>51</v>
      </c>
      <c r="C23" s="71">
        <v>1</v>
      </c>
      <c r="D23" s="71">
        <v>1</v>
      </c>
      <c r="E23" s="71">
        <v>1</v>
      </c>
      <c r="F23" s="71">
        <v>1</v>
      </c>
      <c r="G23" s="71">
        <v>1</v>
      </c>
      <c r="H23" s="71">
        <v>1</v>
      </c>
      <c r="I23" s="71">
        <v>1</v>
      </c>
      <c r="J23" s="71">
        <v>1</v>
      </c>
      <c r="K23" s="71">
        <v>1</v>
      </c>
      <c r="L23" s="71">
        <v>1</v>
      </c>
      <c r="M23" s="71">
        <v>1</v>
      </c>
      <c r="N23" s="71">
        <v>1</v>
      </c>
    </row>
    <row r="24" spans="1:15" ht="15.75" customHeight="1">
      <c r="A24" s="92"/>
      <c r="B24" s="37" t="s">
        <v>52</v>
      </c>
      <c r="C24" s="71">
        <v>1</v>
      </c>
      <c r="D24" s="71">
        <v>1</v>
      </c>
      <c r="E24" s="71">
        <v>1</v>
      </c>
      <c r="F24" s="71">
        <v>1</v>
      </c>
      <c r="G24" s="71">
        <v>1</v>
      </c>
      <c r="H24" s="71">
        <v>1</v>
      </c>
      <c r="I24" s="71">
        <v>1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</row>
    <row r="25" spans="1:15" ht="15.75" customHeight="1" thickBot="1">
      <c r="A25" s="93"/>
      <c r="B25" s="19" t="s">
        <v>34</v>
      </c>
      <c r="C25" s="20">
        <f>SUM(C21:C24)</f>
        <v>4</v>
      </c>
      <c r="D25" s="20">
        <f t="shared" ref="D25:N25" si="4">SUM(D21:D24)</f>
        <v>3</v>
      </c>
      <c r="E25" s="20">
        <f t="shared" si="4"/>
        <v>3</v>
      </c>
      <c r="F25" s="20">
        <f t="shared" si="4"/>
        <v>3</v>
      </c>
      <c r="G25" s="20">
        <f t="shared" si="4"/>
        <v>3</v>
      </c>
      <c r="H25" s="20">
        <f t="shared" si="4"/>
        <v>3</v>
      </c>
      <c r="I25" s="20">
        <f t="shared" si="4"/>
        <v>3</v>
      </c>
      <c r="J25" s="20">
        <f t="shared" si="4"/>
        <v>3</v>
      </c>
      <c r="K25" s="20">
        <f t="shared" si="4"/>
        <v>3</v>
      </c>
      <c r="L25" s="20">
        <f t="shared" si="4"/>
        <v>2</v>
      </c>
      <c r="M25" s="20">
        <f t="shared" si="4"/>
        <v>2</v>
      </c>
      <c r="N25" s="20">
        <f t="shared" si="4"/>
        <v>2</v>
      </c>
      <c r="O25">
        <f>SUM(D25:N25)</f>
        <v>30</v>
      </c>
    </row>
    <row r="26" spans="1:15" ht="15.75" customHeight="1" thickBot="1">
      <c r="A26" s="38" t="s">
        <v>53</v>
      </c>
      <c r="B26" s="39" t="s">
        <v>53</v>
      </c>
      <c r="C26" s="12">
        <v>1</v>
      </c>
      <c r="D26" s="12">
        <v>1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2</v>
      </c>
      <c r="N26" s="12">
        <v>2</v>
      </c>
      <c r="O26">
        <f>SUM(D26:N26)</f>
        <v>13</v>
      </c>
    </row>
    <row r="27" spans="1:15" ht="15.75" customHeight="1" thickBot="1">
      <c r="A27" s="38" t="s">
        <v>54</v>
      </c>
      <c r="B27" s="39" t="s">
        <v>54</v>
      </c>
      <c r="C27" s="12">
        <v>3</v>
      </c>
      <c r="D27" s="12">
        <v>3</v>
      </c>
      <c r="E27" s="12">
        <v>3</v>
      </c>
      <c r="F27" s="12">
        <v>3</v>
      </c>
      <c r="G27" s="12">
        <v>3</v>
      </c>
      <c r="H27" s="12">
        <v>3</v>
      </c>
      <c r="I27" s="12">
        <v>3</v>
      </c>
      <c r="J27" s="12">
        <v>3</v>
      </c>
      <c r="K27" s="12">
        <v>3</v>
      </c>
      <c r="L27" s="12">
        <v>3</v>
      </c>
      <c r="M27" s="12">
        <v>3</v>
      </c>
      <c r="N27" s="12">
        <v>3</v>
      </c>
      <c r="O27">
        <f>SUM(D27:N27)</f>
        <v>33</v>
      </c>
    </row>
    <row r="28" spans="1:15" ht="15.75" customHeight="1" thickBot="1">
      <c r="A28" s="41" t="s">
        <v>55</v>
      </c>
      <c r="B28" s="42" t="s">
        <v>55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</v>
      </c>
      <c r="N28" s="12">
        <v>2</v>
      </c>
      <c r="O28">
        <f>SUM(D28:N28)</f>
        <v>4</v>
      </c>
    </row>
    <row r="29" spans="1:15" ht="15.75" customHeight="1" thickBot="1">
      <c r="A29" s="43"/>
      <c r="B29" s="19" t="s">
        <v>34</v>
      </c>
      <c r="C29" s="20">
        <f>SUM(C26:C28)</f>
        <v>4</v>
      </c>
      <c r="D29" s="20">
        <f t="shared" ref="D29:N29" si="5">SUM(D26:D28)</f>
        <v>4</v>
      </c>
      <c r="E29" s="20">
        <f t="shared" si="5"/>
        <v>4</v>
      </c>
      <c r="F29" s="20">
        <f t="shared" si="5"/>
        <v>4</v>
      </c>
      <c r="G29" s="20">
        <f t="shared" si="5"/>
        <v>4</v>
      </c>
      <c r="H29" s="20">
        <f t="shared" si="5"/>
        <v>4</v>
      </c>
      <c r="I29" s="20">
        <f t="shared" si="5"/>
        <v>4</v>
      </c>
      <c r="J29" s="20">
        <f t="shared" si="5"/>
        <v>4</v>
      </c>
      <c r="K29" s="20">
        <f t="shared" si="5"/>
        <v>4</v>
      </c>
      <c r="L29" s="20">
        <f t="shared" si="5"/>
        <v>4</v>
      </c>
      <c r="M29" s="20">
        <f t="shared" si="5"/>
        <v>7</v>
      </c>
      <c r="N29" s="20">
        <f t="shared" si="5"/>
        <v>7</v>
      </c>
      <c r="O29">
        <f>SUM(D29:N29)</f>
        <v>50</v>
      </c>
    </row>
    <row r="30" spans="1:15" ht="15.75" customHeight="1" thickBot="1">
      <c r="A30" s="96" t="s">
        <v>56</v>
      </c>
      <c r="B30" s="21" t="s">
        <v>57</v>
      </c>
      <c r="C30" s="62">
        <v>6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12">
        <v>0</v>
      </c>
    </row>
    <row r="31" spans="1:15" ht="15.75" customHeight="1" thickBot="1">
      <c r="A31" s="97"/>
      <c r="B31" s="22" t="s">
        <v>58</v>
      </c>
      <c r="C31" s="44">
        <v>0</v>
      </c>
      <c r="D31" s="12">
        <v>5</v>
      </c>
      <c r="E31" s="12">
        <v>5</v>
      </c>
      <c r="F31" s="12">
        <v>5</v>
      </c>
      <c r="G31" s="12">
        <v>5</v>
      </c>
      <c r="H31" s="12">
        <v>5</v>
      </c>
      <c r="I31" s="12">
        <v>5</v>
      </c>
      <c r="J31" s="12">
        <v>5</v>
      </c>
      <c r="K31" s="12">
        <v>0</v>
      </c>
      <c r="L31" s="12">
        <v>0</v>
      </c>
      <c r="M31" s="12">
        <v>0</v>
      </c>
      <c r="N31" s="12">
        <v>0</v>
      </c>
    </row>
    <row r="32" spans="1:15" ht="15.75" customHeight="1" thickBot="1">
      <c r="A32" s="97"/>
      <c r="B32" s="22" t="s">
        <v>59</v>
      </c>
      <c r="C32" s="44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5</v>
      </c>
      <c r="L32" s="12">
        <v>5</v>
      </c>
      <c r="M32" s="12">
        <v>0</v>
      </c>
      <c r="N32" s="12">
        <v>0</v>
      </c>
    </row>
    <row r="33" spans="1:52" ht="15.75" customHeight="1" thickBot="1">
      <c r="A33" s="97"/>
      <c r="B33" s="22" t="s">
        <v>60</v>
      </c>
      <c r="C33" s="44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3</v>
      </c>
      <c r="N33" s="12">
        <v>0</v>
      </c>
    </row>
    <row r="34" spans="1:52" ht="15.75" customHeight="1" thickBot="1">
      <c r="A34" s="97"/>
      <c r="B34" s="10" t="s">
        <v>40</v>
      </c>
      <c r="C34" s="45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</v>
      </c>
      <c r="N34" s="12">
        <v>3</v>
      </c>
      <c r="AZ34" s="46" t="s">
        <v>61</v>
      </c>
    </row>
    <row r="35" spans="1:52" ht="15.75" customHeight="1" thickBot="1">
      <c r="A35" s="97"/>
      <c r="B35" s="22" t="s">
        <v>62</v>
      </c>
      <c r="C35" s="44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3</v>
      </c>
    </row>
    <row r="36" spans="1:52" ht="15.75" customHeight="1" thickBot="1">
      <c r="A36" s="73"/>
      <c r="B36" s="19" t="s">
        <v>34</v>
      </c>
      <c r="C36" s="20">
        <f>SUM(C30:C35)</f>
        <v>6</v>
      </c>
      <c r="D36" s="20">
        <f t="shared" ref="D36:N36" si="6">SUM(D30:D35)</f>
        <v>5</v>
      </c>
      <c r="E36" s="20">
        <f t="shared" si="6"/>
        <v>5</v>
      </c>
      <c r="F36" s="20">
        <f t="shared" si="6"/>
        <v>5</v>
      </c>
      <c r="G36" s="20">
        <f t="shared" si="6"/>
        <v>5</v>
      </c>
      <c r="H36" s="20">
        <f t="shared" si="6"/>
        <v>5</v>
      </c>
      <c r="I36" s="20">
        <f t="shared" si="6"/>
        <v>5</v>
      </c>
      <c r="J36" s="20">
        <f t="shared" si="6"/>
        <v>5</v>
      </c>
      <c r="K36" s="20">
        <f t="shared" si="6"/>
        <v>5</v>
      </c>
      <c r="L36" s="20">
        <f t="shared" si="6"/>
        <v>5</v>
      </c>
      <c r="M36" s="20">
        <f t="shared" si="6"/>
        <v>6</v>
      </c>
      <c r="N36" s="20">
        <f t="shared" si="6"/>
        <v>6</v>
      </c>
      <c r="O36">
        <f>SUM(D36:N36)</f>
        <v>57</v>
      </c>
    </row>
    <row r="37" spans="1:52" ht="15.75" customHeight="1" thickBot="1">
      <c r="A37" s="98" t="s">
        <v>64</v>
      </c>
      <c r="B37" s="67" t="s">
        <v>73</v>
      </c>
      <c r="C37" s="63">
        <v>3</v>
      </c>
      <c r="D37" s="40">
        <v>3</v>
      </c>
      <c r="E37" s="40">
        <v>3</v>
      </c>
      <c r="F37" s="40">
        <v>3</v>
      </c>
      <c r="G37" s="40">
        <v>3</v>
      </c>
      <c r="H37" s="40">
        <v>3</v>
      </c>
      <c r="I37" s="40">
        <v>3</v>
      </c>
      <c r="J37" s="40">
        <v>3</v>
      </c>
      <c r="K37" s="40">
        <v>3</v>
      </c>
      <c r="L37" s="40">
        <v>3</v>
      </c>
      <c r="M37" s="47">
        <v>3</v>
      </c>
      <c r="N37" s="48">
        <v>3</v>
      </c>
      <c r="O37">
        <f>SUM(D37:N37)</f>
        <v>33</v>
      </c>
    </row>
    <row r="38" spans="1:52" ht="15.75" customHeight="1" thickBot="1">
      <c r="A38" s="89"/>
      <c r="B38" s="67" t="s">
        <v>67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49">
        <v>4</v>
      </c>
      <c r="N38" s="49">
        <v>4</v>
      </c>
      <c r="O38">
        <f>SUM(D38:N38)</f>
        <v>8</v>
      </c>
    </row>
    <row r="39" spans="1:52" ht="15.75" customHeight="1" thickBot="1">
      <c r="A39" s="89"/>
      <c r="B39" s="67" t="s">
        <v>69</v>
      </c>
      <c r="C39" s="28"/>
      <c r="D39" s="28"/>
      <c r="E39" s="28"/>
      <c r="F39" s="28"/>
      <c r="G39" s="28"/>
      <c r="H39" s="28"/>
      <c r="I39" s="28"/>
      <c r="J39" s="28"/>
      <c r="K39" s="28"/>
      <c r="L39" s="28">
        <v>1</v>
      </c>
      <c r="M39" s="50"/>
      <c r="N39" s="50"/>
      <c r="O39">
        <f>SUM(D39:N39)</f>
        <v>1</v>
      </c>
    </row>
    <row r="40" spans="1:52" ht="15.75" customHeight="1" thickBot="1">
      <c r="A40" s="99"/>
      <c r="B40" s="67" t="s">
        <v>70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59"/>
      <c r="N40" s="60"/>
      <c r="O40">
        <f>SUM(D40:N40)</f>
        <v>0</v>
      </c>
    </row>
    <row r="41" spans="1:52" ht="15.75" customHeight="1" thickBot="1">
      <c r="A41" s="58"/>
      <c r="B41" s="67" t="s">
        <v>71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61"/>
      <c r="N41" s="61"/>
    </row>
    <row r="42" spans="1:52" ht="15.75" customHeight="1" thickBot="1">
      <c r="A42" s="58"/>
      <c r="B42" s="67" t="s">
        <v>72</v>
      </c>
      <c r="C42" s="28">
        <v>1</v>
      </c>
      <c r="D42" s="28">
        <v>1</v>
      </c>
      <c r="E42" s="28">
        <v>1</v>
      </c>
      <c r="F42" s="28">
        <v>1</v>
      </c>
      <c r="G42" s="28">
        <v>1</v>
      </c>
      <c r="H42" s="28">
        <v>1</v>
      </c>
      <c r="I42" s="28"/>
      <c r="J42" s="28"/>
      <c r="K42" s="28"/>
      <c r="L42" s="28"/>
      <c r="M42" s="61"/>
      <c r="N42" s="61"/>
    </row>
    <row r="43" spans="1:52" ht="15.75" customHeight="1">
      <c r="A43" s="51"/>
      <c r="B43" s="32"/>
      <c r="C43" s="33">
        <f>SUM(C37:C42)</f>
        <v>4</v>
      </c>
      <c r="D43" s="33">
        <f t="shared" ref="D43:N43" si="7">SUM(D37:D42)</f>
        <v>4</v>
      </c>
      <c r="E43" s="33">
        <f t="shared" si="7"/>
        <v>4</v>
      </c>
      <c r="F43" s="33">
        <f t="shared" si="7"/>
        <v>4</v>
      </c>
      <c r="G43" s="33">
        <f t="shared" si="7"/>
        <v>4</v>
      </c>
      <c r="H43" s="33">
        <f t="shared" si="7"/>
        <v>4</v>
      </c>
      <c r="I43" s="33">
        <f t="shared" si="7"/>
        <v>3</v>
      </c>
      <c r="J43" s="33">
        <f t="shared" si="7"/>
        <v>3</v>
      </c>
      <c r="K43" s="33">
        <f t="shared" si="7"/>
        <v>3</v>
      </c>
      <c r="L43" s="33">
        <f t="shared" si="7"/>
        <v>4</v>
      </c>
      <c r="M43" s="33">
        <f t="shared" si="7"/>
        <v>7</v>
      </c>
      <c r="N43" s="33">
        <f t="shared" si="7"/>
        <v>7</v>
      </c>
      <c r="O43">
        <f>SUM(D43:N43)</f>
        <v>47</v>
      </c>
    </row>
    <row r="44" spans="1:52" ht="15.75" customHeight="1">
      <c r="A44" s="100" t="s">
        <v>63</v>
      </c>
      <c r="B44" s="101"/>
      <c r="C44" s="94">
        <f>C51</f>
        <v>35</v>
      </c>
      <c r="D44" s="94">
        <f t="shared" ref="D44:N44" si="8">D51</f>
        <v>35</v>
      </c>
      <c r="E44" s="94">
        <f t="shared" si="8"/>
        <v>35</v>
      </c>
      <c r="F44" s="94">
        <f t="shared" si="8"/>
        <v>35</v>
      </c>
      <c r="G44" s="94">
        <f t="shared" si="8"/>
        <v>35</v>
      </c>
      <c r="H44" s="94">
        <f t="shared" si="8"/>
        <v>35</v>
      </c>
      <c r="I44" s="94">
        <f t="shared" si="8"/>
        <v>35</v>
      </c>
      <c r="J44" s="94">
        <f t="shared" si="8"/>
        <v>35</v>
      </c>
      <c r="K44" s="94">
        <f t="shared" si="8"/>
        <v>35</v>
      </c>
      <c r="L44" s="94">
        <f t="shared" si="8"/>
        <v>35</v>
      </c>
      <c r="M44" s="94">
        <f t="shared" si="8"/>
        <v>37</v>
      </c>
      <c r="N44" s="94">
        <f t="shared" si="8"/>
        <v>37</v>
      </c>
      <c r="O44" s="72">
        <f>+O43+O36+O29+O25+O20+O18+O12+O8</f>
        <v>389</v>
      </c>
    </row>
    <row r="45" spans="1:52" ht="15.75" customHeight="1" thickBot="1">
      <c r="A45" s="80"/>
      <c r="B45" s="81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</row>
    <row r="46" spans="1:52" ht="15.75" customHeight="1" thickBot="1">
      <c r="A46" s="103" t="s">
        <v>65</v>
      </c>
      <c r="B46" s="75"/>
      <c r="C46" s="52"/>
      <c r="D46" s="53"/>
      <c r="E46" s="53"/>
      <c r="F46" s="53"/>
      <c r="G46" s="53"/>
      <c r="H46" s="53"/>
      <c r="I46" s="52"/>
      <c r="J46" s="52"/>
      <c r="K46" s="52"/>
      <c r="L46" s="52"/>
      <c r="M46" s="52"/>
      <c r="N46" s="52"/>
    </row>
    <row r="47" spans="1:52" ht="15.75" customHeight="1" thickBot="1">
      <c r="A47" s="74" t="s">
        <v>66</v>
      </c>
      <c r="B47" s="75"/>
      <c r="C47" s="54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5">
        <v>0</v>
      </c>
      <c r="N47" s="55">
        <v>0</v>
      </c>
    </row>
    <row r="48" spans="1:52" ht="15.75" customHeight="1">
      <c r="A48" s="104" t="s">
        <v>68</v>
      </c>
      <c r="B48" s="77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</row>
    <row r="49" spans="1:15" ht="15.75" customHeight="1" thickBot="1">
      <c r="A49" s="80"/>
      <c r="B49" s="81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 spans="1:15" ht="15.75" customHeight="1"/>
    <row r="51" spans="1:15" ht="15.75" customHeight="1">
      <c r="C51">
        <f>C43+C36+C29+C25+C20+C18+C12+C8</f>
        <v>35</v>
      </c>
      <c r="D51">
        <f>D8+D12+D18+D20+D25+D29+D36+D43</f>
        <v>35</v>
      </c>
      <c r="E51">
        <f t="shared" ref="E51:N51" si="9">E8+E12+E18+E20+E25+E29+E36+E43</f>
        <v>35</v>
      </c>
      <c r="F51">
        <f t="shared" si="9"/>
        <v>35</v>
      </c>
      <c r="G51">
        <f t="shared" si="9"/>
        <v>35</v>
      </c>
      <c r="H51">
        <f t="shared" si="9"/>
        <v>35</v>
      </c>
      <c r="I51">
        <f t="shared" si="9"/>
        <v>35</v>
      </c>
      <c r="J51">
        <f t="shared" si="9"/>
        <v>35</v>
      </c>
      <c r="K51">
        <f t="shared" si="9"/>
        <v>35</v>
      </c>
      <c r="L51">
        <f t="shared" si="9"/>
        <v>35</v>
      </c>
      <c r="M51">
        <f t="shared" si="9"/>
        <v>37</v>
      </c>
      <c r="N51">
        <f t="shared" si="9"/>
        <v>37</v>
      </c>
      <c r="O51">
        <f>SUM(D51:N51)</f>
        <v>389</v>
      </c>
    </row>
    <row r="52" spans="1:15" ht="15.75" customHeight="1">
      <c r="C52">
        <v>38</v>
      </c>
    </row>
    <row r="53" spans="1:15" ht="15.75" customHeight="1">
      <c r="C53">
        <f>C51*C52</f>
        <v>1330</v>
      </c>
    </row>
    <row r="54" spans="1:15" ht="15.75" customHeight="1"/>
    <row r="55" spans="1:15" ht="15.75" customHeight="1"/>
    <row r="56" spans="1:15" ht="15.75" customHeight="1"/>
    <row r="57" spans="1:15" ht="15.75" customHeight="1"/>
    <row r="58" spans="1:15" ht="15.75" customHeight="1"/>
    <row r="59" spans="1:15" ht="15.75" customHeight="1"/>
    <row r="60" spans="1:15" ht="15.75" customHeight="1"/>
    <row r="61" spans="1:15" ht="15.75" customHeight="1"/>
    <row r="62" spans="1:15" ht="15.75" customHeight="1"/>
    <row r="63" spans="1:15" ht="15.75" customHeight="1"/>
    <row r="64" spans="1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mergeCells count="41">
    <mergeCell ref="L48:L49"/>
    <mergeCell ref="M48:M49"/>
    <mergeCell ref="N48:N49"/>
    <mergeCell ref="A46:B46"/>
    <mergeCell ref="A47:B47"/>
    <mergeCell ref="A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A44:B45"/>
    <mergeCell ref="C44:C45"/>
    <mergeCell ref="N44:N45"/>
    <mergeCell ref="D44:D45"/>
    <mergeCell ref="E44:E45"/>
    <mergeCell ref="F44:F45"/>
    <mergeCell ref="G44:G45"/>
    <mergeCell ref="H44:H45"/>
    <mergeCell ref="I44:I45"/>
    <mergeCell ref="J44:J45"/>
    <mergeCell ref="O44:O45"/>
    <mergeCell ref="A1:B1"/>
    <mergeCell ref="A2:B4"/>
    <mergeCell ref="D2:N2"/>
    <mergeCell ref="D3:H3"/>
    <mergeCell ref="I3:N3"/>
    <mergeCell ref="A5:A7"/>
    <mergeCell ref="A9:A11"/>
    <mergeCell ref="K44:K45"/>
    <mergeCell ref="L44:L45"/>
    <mergeCell ref="M44:M45"/>
    <mergeCell ref="A13:A18"/>
    <mergeCell ref="A19:A20"/>
    <mergeCell ref="A21:A25"/>
    <mergeCell ref="A30:A36"/>
    <mergeCell ref="A37:A40"/>
  </mergeCells>
  <printOptions verticalCentered="1"/>
  <pageMargins left="0.78740157480314965" right="0.78740157480314965" top="0.74803149606299213" bottom="0.74803149606299213" header="0" footer="0"/>
  <pageSetup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>
      <selection activeCell="A20" sqref="A20"/>
    </sheetView>
  </sheetViews>
  <sheetFormatPr baseColWidth="10" defaultColWidth="14.5" defaultRowHeight="15"/>
  <cols>
    <col min="1" max="1" width="40.6640625" customWidth="1"/>
    <col min="2" max="2" width="17.33203125" customWidth="1"/>
    <col min="3" max="3" width="32.6640625" customWidth="1"/>
    <col min="4" max="4" width="36.1640625" customWidth="1"/>
  </cols>
  <sheetData>
    <row r="1" spans="1:4" ht="30">
      <c r="A1" s="105" t="s">
        <v>0</v>
      </c>
      <c r="B1" s="106"/>
      <c r="C1" s="106"/>
      <c r="D1" s="106"/>
    </row>
    <row r="2" spans="1:4">
      <c r="A2" s="106"/>
      <c r="B2" s="106"/>
      <c r="C2" s="106"/>
      <c r="D2" s="106"/>
    </row>
    <row r="3" spans="1:4">
      <c r="A3" s="107" t="s">
        <v>1</v>
      </c>
      <c r="B3" s="106"/>
      <c r="C3" s="106"/>
      <c r="D3" s="106"/>
    </row>
    <row r="4" spans="1:4">
      <c r="A4" s="106"/>
      <c r="B4" s="106"/>
      <c r="C4" s="106"/>
      <c r="D4" s="106"/>
    </row>
    <row r="5" spans="1:4" ht="23">
      <c r="A5" s="108" t="s">
        <v>2</v>
      </c>
      <c r="B5" s="106"/>
      <c r="C5" s="106"/>
      <c r="D5" s="106"/>
    </row>
    <row r="6" spans="1:4">
      <c r="A6" s="2" t="s">
        <v>3</v>
      </c>
      <c r="B6" s="2" t="s">
        <v>4</v>
      </c>
      <c r="C6" s="2" t="s">
        <v>5</v>
      </c>
      <c r="D6" s="2" t="s">
        <v>6</v>
      </c>
    </row>
    <row r="7" spans="1:4">
      <c r="A7" s="3" t="s">
        <v>7</v>
      </c>
      <c r="B7" s="4" t="s">
        <v>9</v>
      </c>
      <c r="C7" s="5">
        <v>46055</v>
      </c>
      <c r="D7" s="5">
        <v>46121</v>
      </c>
    </row>
    <row r="8" spans="1:4">
      <c r="A8" s="3" t="s">
        <v>10</v>
      </c>
      <c r="B8" s="4" t="s">
        <v>11</v>
      </c>
      <c r="C8" s="6">
        <v>46125</v>
      </c>
      <c r="D8" s="6">
        <v>46184</v>
      </c>
    </row>
    <row r="9" spans="1:4" ht="30">
      <c r="A9" s="3" t="s">
        <v>12</v>
      </c>
      <c r="B9" s="4" t="s">
        <v>11</v>
      </c>
      <c r="C9" s="4" t="s">
        <v>13</v>
      </c>
      <c r="D9" s="6">
        <v>46268</v>
      </c>
    </row>
    <row r="10" spans="1:4" ht="30">
      <c r="A10" s="3" t="s">
        <v>14</v>
      </c>
      <c r="B10" s="4" t="s">
        <v>11</v>
      </c>
      <c r="C10" s="4" t="s">
        <v>15</v>
      </c>
      <c r="D10" s="6">
        <v>46338</v>
      </c>
    </row>
    <row r="11" spans="1:4">
      <c r="A11" s="3" t="s">
        <v>16</v>
      </c>
      <c r="B11" s="4" t="s">
        <v>17</v>
      </c>
      <c r="C11" s="6">
        <v>46342</v>
      </c>
      <c r="D11" s="6">
        <v>46352</v>
      </c>
    </row>
    <row r="12" spans="1:4">
      <c r="A12" s="7"/>
      <c r="B12" s="7">
        <f>10+9+9+9</f>
        <v>37</v>
      </c>
      <c r="C12" s="7"/>
      <c r="D12" s="7"/>
    </row>
  </sheetData>
  <mergeCells count="5">
    <mergeCell ref="A1:D1"/>
    <mergeCell ref="A3:D3"/>
    <mergeCell ref="A5:D5"/>
    <mergeCell ref="A4:D4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Propuesta</vt:lpstr>
      <vt:lpstr>crono_academico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HENRY A DE LA OSSA S</cp:lastModifiedBy>
  <dcterms:created xsi:type="dcterms:W3CDTF">2026-05-17T21:30:14Z</dcterms:created>
  <dcterms:modified xsi:type="dcterms:W3CDTF">2026-09-30T21:03:26Z</dcterms:modified>
</cp:coreProperties>
</file>